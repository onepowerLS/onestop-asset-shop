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T items database and tracker" sheetId="1" r:id="rId5"/>
    <sheet state="visible" name="RET items request log" sheetId="2" r:id="rId6"/>
    <sheet state="visible" name="Detailed Approval Records Formp" sheetId="3" r:id="rId7"/>
  </sheets>
  <definedNames>
    <definedName hidden="1" localSheetId="0" name="_xlnm._FilterDatabase">'RET items database and tracker'!$A$1:$B$995</definedName>
    <definedName hidden="1" localSheetId="1" name="_xlnm._FilterDatabase">'RET items request log'!$A$44:$J$220</definedName>
    <definedName hidden="1" localSheetId="0" name="Z_9BC31C20_3011_4311_A259_550D3CCEBDC7_.wvu.FilterData">'RET items database and tracker'!$A$1:$X$567</definedName>
  </definedNames>
  <calcPr/>
  <customWorkbookViews>
    <customWorkbookView activeSheetId="0" maximized="1" windowHeight="0" windowWidth="0" guid="{9BC31C20-3011-4311-A259-550D3CCEBDC7}"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approval records of the Form Approvals add-on are saved here. Do not sort, amend or remove the content of this sheet. Doing so will disrupt the add-on.</t>
      </text>
    </comment>
  </commentList>
</comments>
</file>

<file path=xl/sharedStrings.xml><?xml version="1.0" encoding="utf-8"?>
<sst xmlns="http://schemas.openxmlformats.org/spreadsheetml/2006/main" count="2213" uniqueCount="779">
  <si>
    <t>item</t>
  </si>
  <si>
    <t>item description</t>
  </si>
  <si>
    <t>unit</t>
  </si>
  <si>
    <t>quantity procured</t>
  </si>
  <si>
    <t>quantity balance  in store</t>
  </si>
  <si>
    <t>MAT</t>
  </si>
  <si>
    <t>TLH</t>
  </si>
  <si>
    <t>MAS</t>
  </si>
  <si>
    <t>SHG</t>
  </si>
  <si>
    <t>LEB</t>
  </si>
  <si>
    <t>RIB</t>
  </si>
  <si>
    <t>KET</t>
  </si>
  <si>
    <t>SEH</t>
  </si>
  <si>
    <t>TOS</t>
  </si>
  <si>
    <t>SEB</t>
  </si>
  <si>
    <t>MAK</t>
  </si>
  <si>
    <t>BOB</t>
  </si>
  <si>
    <t>MET</t>
  </si>
  <si>
    <t>NKU</t>
  </si>
  <si>
    <t>TLH CLINIC</t>
  </si>
  <si>
    <t>FAC</t>
  </si>
  <si>
    <t>EE</t>
  </si>
  <si>
    <t>HQ</t>
  </si>
  <si>
    <t>Notes</t>
  </si>
  <si>
    <t xml:space="preserve">Stay Rod non adjustable </t>
  </si>
  <si>
    <t>Stay Rod LV (M12*1.5m)</t>
  </si>
  <si>
    <t>pcs</t>
  </si>
  <si>
    <t>10mm CNE Airdac</t>
  </si>
  <si>
    <t>10mm</t>
  </si>
  <si>
    <t>meters</t>
  </si>
  <si>
    <t>10mm Housewire Black</t>
  </si>
  <si>
    <t>11kV/240 Stepdown Transformer</t>
  </si>
  <si>
    <t>11kV/240 Stepdown KL20231120</t>
  </si>
  <si>
    <t>11kV/240 Stepdown KL20230202</t>
  </si>
  <si>
    <t>11kV/240 Stepdown KL20231130</t>
  </si>
  <si>
    <t>3 way PVC junction box</t>
  </si>
  <si>
    <t>20mm</t>
  </si>
  <si>
    <t>ABC/ Bundle conductor</t>
  </si>
  <si>
    <t>ABC/ Bundle conductor single phase</t>
  </si>
  <si>
    <t>ABC strain clamp/ bundle strainer</t>
  </si>
  <si>
    <t>ABC strain clamp</t>
  </si>
  <si>
    <t>Airdac strain clamp</t>
  </si>
  <si>
    <t>Large 10-16mm</t>
  </si>
  <si>
    <t>Small 4 -10mm</t>
  </si>
  <si>
    <t>Bare Copper Wire</t>
  </si>
  <si>
    <t>70mm</t>
  </si>
  <si>
    <t xml:space="preserve">Base Plate </t>
  </si>
  <si>
    <t>Base Plate Stay 450 x450 x 6mm (MV)</t>
  </si>
  <si>
    <t>Base Plate</t>
  </si>
  <si>
    <t>Base Plate Stay 300x300x5mm (LV)</t>
  </si>
  <si>
    <t>stay rod base plate</t>
  </si>
  <si>
    <t>Bi-metallic Lug</t>
  </si>
  <si>
    <t>Bi metallic Lug 50mm black</t>
  </si>
  <si>
    <t>Binding Strap</t>
  </si>
  <si>
    <t>30m rolls</t>
  </si>
  <si>
    <t>Bolt Cutter</t>
  </si>
  <si>
    <t>Brazing Strap</t>
  </si>
  <si>
    <t>Buckles</t>
  </si>
  <si>
    <t xml:space="preserve">Strapping Buckles 12.7mm </t>
  </si>
  <si>
    <t>Cable cutter</t>
  </si>
  <si>
    <t>Cable ties</t>
  </si>
  <si>
    <t>Black cable ties</t>
  </si>
  <si>
    <t>packets</t>
  </si>
  <si>
    <t>Chain Block</t>
  </si>
  <si>
    <t>1.5ton</t>
  </si>
  <si>
    <t>Chisel</t>
  </si>
  <si>
    <t>Flat cold chisel</t>
  </si>
  <si>
    <t>Circuit breaker</t>
  </si>
  <si>
    <t>Circuit brteaker 63Amp</t>
  </si>
  <si>
    <t>Clevis Thimble</t>
  </si>
  <si>
    <t>Clevis Thimble B30573</t>
  </si>
  <si>
    <t>Coach Screw</t>
  </si>
  <si>
    <t>Copper lug</t>
  </si>
  <si>
    <t>M12*50mm</t>
  </si>
  <si>
    <t>M12*70mm</t>
  </si>
  <si>
    <t>M16*16mm</t>
  </si>
  <si>
    <t>Curved Square Washers</t>
  </si>
  <si>
    <t>M16</t>
  </si>
  <si>
    <t>D Shackle</t>
  </si>
  <si>
    <t>70kn</t>
  </si>
  <si>
    <t>Deadend</t>
  </si>
  <si>
    <t>Deadend for fox</t>
  </si>
  <si>
    <t>Earth Rod</t>
  </si>
  <si>
    <t>Earth Rod M12*1.2m</t>
  </si>
  <si>
    <t>Earth Rod M16*1.2m</t>
  </si>
  <si>
    <t>Earth Rod 70/16</t>
  </si>
  <si>
    <t xml:space="preserve">Earth Spike </t>
  </si>
  <si>
    <t>Earth spike M16x1.5m</t>
  </si>
  <si>
    <t>Earth spike M12x1.2m</t>
  </si>
  <si>
    <t>Earth Spike Clamp</t>
  </si>
  <si>
    <t>10pcs / box</t>
  </si>
  <si>
    <t>Earthing Kit</t>
  </si>
  <si>
    <t>CER Earthing Kit</t>
  </si>
  <si>
    <t xml:space="preserve">End Cap   </t>
  </si>
  <si>
    <t>End GPE5END 25-95mm</t>
  </si>
  <si>
    <t>Eye Nut</t>
  </si>
  <si>
    <t>M16 eye nut (LV)</t>
  </si>
  <si>
    <t>M20 eye nut (MV)</t>
  </si>
  <si>
    <t>Fencing Staples (U nails)</t>
  </si>
  <si>
    <t>1kg</t>
  </si>
  <si>
    <t>pkt</t>
  </si>
  <si>
    <t>Ferrule Crimp</t>
  </si>
  <si>
    <t>Filament</t>
  </si>
  <si>
    <t>PLA MODEL Filament</t>
  </si>
  <si>
    <t>ABS-GF25 Filament Model</t>
  </si>
  <si>
    <t>Fisher plug</t>
  </si>
  <si>
    <t>6 x 55 (100pcs/pack)</t>
  </si>
  <si>
    <t>Fuse Drop out</t>
  </si>
  <si>
    <t>Dropout with fuse tube-porcelain 11-24kV 100A</t>
  </si>
  <si>
    <t>Fuse Links</t>
  </si>
  <si>
    <t>5Amps</t>
  </si>
  <si>
    <t>10Amps</t>
  </si>
  <si>
    <t>Galvanised Saddle</t>
  </si>
  <si>
    <t>Galvanised Steel Conduit</t>
  </si>
  <si>
    <t>32mm</t>
  </si>
  <si>
    <t>GP Earth Wire Green/Yellow</t>
  </si>
  <si>
    <t>Cut 70mm</t>
  </si>
  <si>
    <t>Cut 6mm</t>
  </si>
  <si>
    <t>GP wire Green/Yellow</t>
  </si>
  <si>
    <t>16mm</t>
  </si>
  <si>
    <t>GP H/Wire Red</t>
  </si>
  <si>
    <t>Hammer</t>
  </si>
  <si>
    <t>4 pounds hammer</t>
  </si>
  <si>
    <t>Heatshrink</t>
  </si>
  <si>
    <t>9.5 &gt; 4.8mm</t>
  </si>
  <si>
    <t>Housewire</t>
  </si>
  <si>
    <t>6.0MM Black</t>
  </si>
  <si>
    <t>Line Post Insulator</t>
  </si>
  <si>
    <t>line Post Insulator 11kV, 7kN</t>
  </si>
  <si>
    <t>8 of them were transferred to production</t>
  </si>
  <si>
    <t>Link Stick</t>
  </si>
  <si>
    <t>Lug Crimp</t>
  </si>
  <si>
    <t>Lug 16x16 mm</t>
  </si>
  <si>
    <t>Lug 6mm x  6mm</t>
  </si>
  <si>
    <t>6mm x 8mm</t>
  </si>
  <si>
    <t>10mm x 12mm</t>
  </si>
  <si>
    <t>16mm x 12mm</t>
  </si>
  <si>
    <t>16mm x 16mm</t>
  </si>
  <si>
    <t>L:ug Crimp</t>
  </si>
  <si>
    <t>240mm x 20mm</t>
  </si>
  <si>
    <t>70mm x 12mm</t>
  </si>
  <si>
    <t xml:space="preserve">Mosdofer Bracket </t>
  </si>
  <si>
    <t>Mosdofer fuse holder Bracket 160A</t>
  </si>
  <si>
    <t>Mosdofer Fuses</t>
  </si>
  <si>
    <t>160amps</t>
  </si>
  <si>
    <t>Mostofer Holder</t>
  </si>
  <si>
    <t>Multifunction Crimping Tool</t>
  </si>
  <si>
    <t>Stay Rod MV</t>
  </si>
  <si>
    <t>Nuts</t>
  </si>
  <si>
    <t>Nuts M20</t>
  </si>
  <si>
    <t>Nuts M16</t>
  </si>
  <si>
    <t>M8</t>
  </si>
  <si>
    <t>PG Clamp</t>
  </si>
  <si>
    <t>PG Clamp 2BLT  16-120mm2   4-15 mm AL-AL</t>
  </si>
  <si>
    <t>Pigtail Bolt</t>
  </si>
  <si>
    <t>M16 x 380mm</t>
  </si>
  <si>
    <t>M12 x 340mm</t>
  </si>
  <si>
    <t>Pigtail Screws</t>
  </si>
  <si>
    <t>M8 X 150 MM</t>
  </si>
  <si>
    <t>Pin Insulator</t>
  </si>
  <si>
    <t>864mm</t>
  </si>
  <si>
    <t>Pole Top Make-Off</t>
  </si>
  <si>
    <t>7/3.35 (MV)</t>
  </si>
  <si>
    <t>3/3.35 (LV)</t>
  </si>
  <si>
    <t>Polymer Fuse cut out</t>
  </si>
  <si>
    <t>11kV</t>
  </si>
  <si>
    <t>Pre-insulated Bi-metallic Lug</t>
  </si>
  <si>
    <t>Pre-insulated Bi-metallic Lug 35mm</t>
  </si>
  <si>
    <t>Pre-insulated Bi-metallic Lug 50mm</t>
  </si>
  <si>
    <t>Pre-insulated Bi-metallic Lug 70mm</t>
  </si>
  <si>
    <t>Preformed galv. steel guy grip</t>
  </si>
  <si>
    <t>Preformed galv. steel guy grip (MV) 7*3.35</t>
  </si>
  <si>
    <t>Preformed galv. steel guy grip (LV) 3*3.35</t>
  </si>
  <si>
    <t>Prop Bracket</t>
  </si>
  <si>
    <t xml:space="preserve">PVC Conduit </t>
  </si>
  <si>
    <t>`</t>
  </si>
  <si>
    <t>50mm</t>
  </si>
  <si>
    <t>To be used on site and be returned to HQ.</t>
  </si>
  <si>
    <t>25mm</t>
  </si>
  <si>
    <t>PVC Coupling</t>
  </si>
  <si>
    <t>PVC Glue</t>
  </si>
  <si>
    <t>200ml</t>
  </si>
  <si>
    <t>PVC Swa 4 core</t>
  </si>
  <si>
    <t>95mm</t>
  </si>
  <si>
    <t>Question mark bracket</t>
  </si>
  <si>
    <t>Ratchet</t>
  </si>
  <si>
    <t>Smaller one</t>
  </si>
  <si>
    <t>Scotch Eye Auger Bit</t>
  </si>
  <si>
    <t>22mm</t>
  </si>
  <si>
    <t>Silicon Long Rod Insulator</t>
  </si>
  <si>
    <t>11kV, 70kN</t>
  </si>
  <si>
    <t>22kV</t>
  </si>
  <si>
    <t>Single-phase Smart Electricity Meter</t>
  </si>
  <si>
    <t>Single-phase DIN-rail 60 A  AC</t>
  </si>
  <si>
    <t xml:space="preserve">Sledge Hammer </t>
  </si>
  <si>
    <t>8 pounds Hammer</t>
  </si>
  <si>
    <t>Speed plug</t>
  </si>
  <si>
    <t>6mm*55mm</t>
  </si>
  <si>
    <t>Spindle</t>
  </si>
  <si>
    <t>M20*250mm</t>
  </si>
  <si>
    <t>Stay Insulator</t>
  </si>
  <si>
    <t>(MV)</t>
  </si>
  <si>
    <t>Stay insulator (LV)</t>
  </si>
  <si>
    <t>Stay Insulator 145mm LV</t>
  </si>
  <si>
    <t xml:space="preserve">Stay Insulator LV </t>
  </si>
  <si>
    <t>Stay Insulator LV Porcelain 95L X 57W</t>
  </si>
  <si>
    <t xml:space="preserve">Stay Insulator MV </t>
  </si>
  <si>
    <t>Stay Insulator MV Porcelain</t>
  </si>
  <si>
    <t>Stay Rod Adjustment</t>
  </si>
  <si>
    <t>Stay Rod Adjustment M20 X 2400</t>
  </si>
  <si>
    <t>Stay Thimble</t>
  </si>
  <si>
    <t xml:space="preserve">Stay Thimble 16mm galvanised steel </t>
  </si>
  <si>
    <t>Stay Wire (LV)</t>
  </si>
  <si>
    <t>Stay wire 3/3.35 LV</t>
  </si>
  <si>
    <t>Stay Wire (MV)</t>
  </si>
  <si>
    <t>Stay wire Galv</t>
  </si>
  <si>
    <t>7/3.35mm1100MPA1500M Drum+7x100m coils</t>
  </si>
  <si>
    <t>Steel Nails</t>
  </si>
  <si>
    <t>Flutted/ Steel Nails</t>
  </si>
  <si>
    <t>Steel Washers</t>
  </si>
  <si>
    <t>Pkt</t>
  </si>
  <si>
    <t>Strain Insulated ABC</t>
  </si>
  <si>
    <t>(LV) 35-70mm</t>
  </si>
  <si>
    <t>Surge Arrestor</t>
  </si>
  <si>
    <t>12kV (MV) 10kA</t>
  </si>
  <si>
    <t xml:space="preserve">surge Arrestor </t>
  </si>
  <si>
    <t>6kV (LV)10kA</t>
  </si>
  <si>
    <t>Suspension Clamp (LV)</t>
  </si>
  <si>
    <t>(LV)</t>
  </si>
  <si>
    <t xml:space="preserve">T Pull </t>
  </si>
  <si>
    <t>T Pull size 4</t>
  </si>
  <si>
    <t>Thimblest Stay</t>
  </si>
  <si>
    <t>Thimblest Stay 14mm wire</t>
  </si>
  <si>
    <t>Threaded Rod</t>
  </si>
  <si>
    <t>M20 x 450</t>
  </si>
  <si>
    <t>M20 by 600</t>
  </si>
  <si>
    <t>M20 by 350</t>
  </si>
  <si>
    <t>Threaded Rod M16 x 350</t>
  </si>
  <si>
    <t>Threaded Rod M 20 x 250</t>
  </si>
  <si>
    <t>TTD</t>
  </si>
  <si>
    <t>TTD 151</t>
  </si>
  <si>
    <t>TTD 201</t>
  </si>
  <si>
    <t>Twin Ties for Fox</t>
  </si>
  <si>
    <t xml:space="preserve"> </t>
  </si>
  <si>
    <t>T Junction Box</t>
  </si>
  <si>
    <t>T-junction box 20mm</t>
  </si>
  <si>
    <t xml:space="preserve">Adaptors </t>
  </si>
  <si>
    <t xml:space="preserve">Adaptors  25mm </t>
  </si>
  <si>
    <t>Black wire</t>
  </si>
  <si>
    <t xml:space="preserve">Black wire 35mm </t>
  </si>
  <si>
    <t>Meters</t>
  </si>
  <si>
    <t>M12</t>
  </si>
  <si>
    <t>Bulbs</t>
  </si>
  <si>
    <t>bulbs</t>
  </si>
  <si>
    <t>Bundle wire</t>
  </si>
  <si>
    <t>ABC/ Bundle wire</t>
  </si>
  <si>
    <t>drum</t>
  </si>
  <si>
    <t>PVC Couplings</t>
  </si>
  <si>
    <t>PVC Couplings 20mm</t>
  </si>
  <si>
    <t>Squirrel conductor</t>
  </si>
  <si>
    <t>Weasel conductor</t>
  </si>
  <si>
    <t>25KVA Single phase -oil immersed Transformer</t>
  </si>
  <si>
    <t>25KVA Single phase -oil immersed Transformer (stepdown)</t>
  </si>
  <si>
    <t>75KVA Single phase -oil immersed Transformer</t>
  </si>
  <si>
    <t>75KVA Single phase -oil immersed Transformer (stepup)</t>
  </si>
  <si>
    <t>180KVA Single phase -oil immersed Transformer</t>
  </si>
  <si>
    <t>180KVA Single phase -oil immersed Transformer (stepup)</t>
  </si>
  <si>
    <t>225KVA Single phase -oil immersed Transformer</t>
  </si>
  <si>
    <t>225KVA Single phase -oil immersed Transformer (step up)</t>
  </si>
  <si>
    <t>315KVA Single phase -oil immersed Transformer</t>
  </si>
  <si>
    <t>315KVA Single phase -oil immersed Transformer(step up)</t>
  </si>
  <si>
    <t>720KVA Single phase -oil immersed Transformer</t>
  </si>
  <si>
    <t>720KVA Single phase -oil immersed Transformer(step up)</t>
  </si>
  <si>
    <t>4 Core Wire 70mm</t>
  </si>
  <si>
    <t>4 Core Wire 70 mm</t>
  </si>
  <si>
    <t>35 mm</t>
  </si>
  <si>
    <t>CCS Grounding wire</t>
  </si>
  <si>
    <t>CCS Grounding WIre 19 No5</t>
  </si>
  <si>
    <t>Airdac wire</t>
  </si>
  <si>
    <t>8mm CNE Airdac, sheath orange colour</t>
  </si>
  <si>
    <t>M6-8mm</t>
  </si>
  <si>
    <t>1.5mm</t>
  </si>
  <si>
    <t>35-8mm</t>
  </si>
  <si>
    <t>8Amps fuse link</t>
  </si>
  <si>
    <t>DC Motorization</t>
  </si>
  <si>
    <t>Slew Drive Motor (EM90ZYX06 Model)</t>
  </si>
  <si>
    <t>Mostly Used by OnM Team .First issue was on 26/01/2026</t>
  </si>
  <si>
    <t>Iron Channel</t>
  </si>
  <si>
    <t>100*5*2.4m</t>
  </si>
  <si>
    <t>76mm*38mm*750mm</t>
  </si>
  <si>
    <t>Surge Arrester</t>
  </si>
  <si>
    <t>Surge Arrester 24KV (HY10W-24L</t>
  </si>
  <si>
    <t>(Neutral) 6kv</t>
  </si>
  <si>
    <t>Bolt and nut</t>
  </si>
  <si>
    <t>M6 Bolt and Nut</t>
  </si>
  <si>
    <t>Earth Wire Cable</t>
  </si>
  <si>
    <t>16mm 1core Earth Wire Cable</t>
  </si>
  <si>
    <t xml:space="preserve">Long Rod Insulator </t>
  </si>
  <si>
    <t>19-24kV 70KN C+T Silicone</t>
  </si>
  <si>
    <t>Transformer Lugs</t>
  </si>
  <si>
    <t>Lugs for transformers cable supply</t>
  </si>
  <si>
    <t>19-24kV 10kN Capped EP477 Porcelain Brown</t>
  </si>
  <si>
    <t>Twin Ties for Squirrel</t>
  </si>
  <si>
    <t>ATT-330</t>
  </si>
  <si>
    <t>M16 Nuts</t>
  </si>
  <si>
    <t>M16 Hex nuts</t>
  </si>
  <si>
    <t>M16 washers</t>
  </si>
  <si>
    <t>M16 square washers</t>
  </si>
  <si>
    <t>25-10mm</t>
  </si>
  <si>
    <t>36-16mm</t>
  </si>
  <si>
    <t>70-10mm</t>
  </si>
  <si>
    <t>16-6mm</t>
  </si>
  <si>
    <t>16-16mm</t>
  </si>
  <si>
    <t>50-10mm</t>
  </si>
  <si>
    <t>6-6mm</t>
  </si>
  <si>
    <t>63AMP</t>
  </si>
  <si>
    <t xml:space="preserve">Cut 25mm Bare Copper Earth Wire (0.22) </t>
  </si>
  <si>
    <t>Email Address</t>
  </si>
  <si>
    <t>Full Names of Requester</t>
  </si>
  <si>
    <t>Items Requested</t>
  </si>
  <si>
    <t>Concession/Site</t>
  </si>
  <si>
    <t>Estimated Time of Dispatch to Site</t>
  </si>
  <si>
    <t>Name of Assigned Receiver on Site</t>
  </si>
  <si>
    <t xml:space="preserve">Email of Assigned Receiver on Site </t>
  </si>
  <si>
    <t>notes</t>
  </si>
  <si>
    <t>database_updated</t>
  </si>
  <si>
    <t>jopi@1pwrafrica.com</t>
  </si>
  <si>
    <t xml:space="preserve">Leoma Jopi </t>
  </si>
  <si>
    <t>4pounds hummer(1)
8pounds hummer(1)
Chisels(2)</t>
  </si>
  <si>
    <t>Leoma Jopi</t>
  </si>
  <si>
    <t>all requested items given</t>
  </si>
  <si>
    <t>yes</t>
  </si>
  <si>
    <t>komete@1pwrafrica.com</t>
  </si>
  <si>
    <t xml:space="preserve">Mokhethi Komete </t>
  </si>
  <si>
    <t>4 pounds hammers (3)
Pvc conduits 20mm (25)
Pvc conduits 25mm (10)
Steel conduits 20mm (25)
Insulated copper conductor 6mm (100m)</t>
  </si>
  <si>
    <t>seshemane@1pwrafrica.com</t>
  </si>
  <si>
    <t>Lefa seshemane</t>
  </si>
  <si>
    <t>Buckles (200),binding strap (2), strain clamp(12) Lv stay rods (5)</t>
  </si>
  <si>
    <t xml:space="preserve">Seshemane </t>
  </si>
  <si>
    <t>monaheng@1pwrafrica.com</t>
  </si>
  <si>
    <t xml:space="preserve">Rethabile Monaheng </t>
  </si>
  <si>
    <t>4 pounds=1
 Flat Chisel=2</t>
  </si>
  <si>
    <t>Monaheng</t>
  </si>
  <si>
    <t>ramothule@1pwrafrica.com</t>
  </si>
  <si>
    <t>Motiki Ramothule</t>
  </si>
  <si>
    <t>4 pounds=2
Chisel flat=2</t>
  </si>
  <si>
    <t>kalake@1pwrafrica.com</t>
  </si>
  <si>
    <t xml:space="preserve">Tebello kalake </t>
  </si>
  <si>
    <t>4pounds hummer=2
Plat chiesel=1
Crimping tool=1
Chain block 1.5ton =1</t>
  </si>
  <si>
    <t>Tebello kalake</t>
  </si>
  <si>
    <t xml:space="preserve">Lefa Seshemane </t>
  </si>
  <si>
    <t>Chesel &amp; 8 pounds</t>
  </si>
  <si>
    <t>makhoalinyane@1pwrafrica.com</t>
  </si>
  <si>
    <t xml:space="preserve">Teboho Makhoalinyane </t>
  </si>
  <si>
    <t>8 pound=1, 4 pounds=2,chiesel=2</t>
  </si>
  <si>
    <t xml:space="preserve">Makhoalinyane Teboho </t>
  </si>
  <si>
    <t>mahlela@1pwrafrica.com</t>
  </si>
  <si>
    <t xml:space="preserve">Tiisetso Mahlehla </t>
  </si>
  <si>
    <t>4 pounds hammer=4, Chisels=2, cable cutter=1, Bolt cutter=1</t>
  </si>
  <si>
    <t>1 cable cutter</t>
  </si>
  <si>
    <t>Chisels (2)</t>
  </si>
  <si>
    <t>letseka@1pwrafrica.com</t>
  </si>
  <si>
    <t>Taole Letseka</t>
  </si>
  <si>
    <t>Small generator for park home lighting</t>
  </si>
  <si>
    <t>not yet given</t>
  </si>
  <si>
    <t>no</t>
  </si>
  <si>
    <t>lempe@1pwrafrica.com</t>
  </si>
  <si>
    <t>Rethabile Lempe</t>
  </si>
  <si>
    <t>Meters (4), Single channel enclosure (2), LV Stainers (8), m16 threaded rod (3), m16 eye nut (3), Earth spikes 1.2m (3), 20mm*6m Conduit (3), Suspension clamps        (5), Neutral wire 6mm*30m (1)</t>
  </si>
  <si>
    <t>Rasekeiti Mohlomi</t>
  </si>
  <si>
    <t>rasekeiti@1pwrafrica.com</t>
  </si>
  <si>
    <t>10 normal globes(60w)</t>
  </si>
  <si>
    <t>Cable ties  2 packets</t>
  </si>
  <si>
    <t xml:space="preserve">Makhoalinyane </t>
  </si>
  <si>
    <t>Insulated copper conductor 6mm (100m)
60W globes   (15)</t>
  </si>
  <si>
    <t>material not in store</t>
  </si>
  <si>
    <t>lichaba@1pwrafrica.com</t>
  </si>
  <si>
    <t>Lichaba West</t>
  </si>
  <si>
    <t>1 generator battery</t>
  </si>
  <si>
    <t>Lichaba West?</t>
  </si>
  <si>
    <t>Surge arrestor 12kv *2, surge arrestor 6kv*1,fuse link 5A *4</t>
  </si>
  <si>
    <t xml:space="preserve">Step down transformer </t>
  </si>
  <si>
    <t>Airdac Strainers 20 and cable ties 2 packets</t>
  </si>
  <si>
    <t>Airdac 500m,6mm black cable, earth spikes 1.5m</t>
  </si>
  <si>
    <t>Uninterruptable Power Supply (UPS)</t>
  </si>
  <si>
    <t>Teboho Makhoalinyane</t>
  </si>
  <si>
    <t>Cut-off assembly and 5A fuse</t>
  </si>
  <si>
    <t>serobanyane@1pwrafrica.com</t>
  </si>
  <si>
    <t>Neo Serobanyane</t>
  </si>
  <si>
    <t>Readyboard (1), 6mm earth wire (10m), TTD 151 (4), buckles (10), eye nut (1), ABC strainer (1)</t>
  </si>
  <si>
    <t>all requested items given except ABC Strainer</t>
  </si>
  <si>
    <t>TTD (151 * 2) for MAK line maintenance</t>
  </si>
  <si>
    <t>Komete</t>
  </si>
  <si>
    <t>only 1 found in stock</t>
  </si>
  <si>
    <t>eng-team@1pwrafrica.com</t>
  </si>
  <si>
    <t>Kananelo Shale</t>
  </si>
  <si>
    <t>Earthing Rod 1.6m(1), Earth clamp (1)</t>
  </si>
  <si>
    <t>kananelo@1pwrafrica.com</t>
  </si>
  <si>
    <t>mpapea@1pwrafrica.com</t>
  </si>
  <si>
    <t>Jame mpapea</t>
  </si>
  <si>
    <t>TTD 151 for repairing Lv termination  at MAK (6)</t>
  </si>
  <si>
    <t>Rethabile lemphe</t>
  </si>
  <si>
    <t>rethabile@1pwrafrica.com</t>
  </si>
  <si>
    <t>2, 20mm conduit pipes</t>
  </si>
  <si>
    <t>3 dryness batteries</t>
  </si>
  <si>
    <t>Window for TLH worker camp</t>
  </si>
  <si>
    <t>Longrods(12),Guy grip MV(12),eye nuds M20(12), 250mm(8), dead end 14,stay thimble 18,stay wire MV(50m).</t>
  </si>
  <si>
    <t>1 nut for TLH TCU</t>
  </si>
  <si>
    <t>Kananelo Mokobori</t>
  </si>
  <si>
    <t>20mm PVC conduit pipe (1)</t>
  </si>
  <si>
    <t>Guy grip (3), Thimble (2), M20x250 threaded bolt (1), M20 Eye nut (1), Stay wire (7m)</t>
  </si>
  <si>
    <t>Lefa Seshemane</t>
  </si>
  <si>
    <t xml:space="preserve">Spark meters (10)
Single Channel Enclosures (10)
U-nails (2kg)
Bandit strap (2)
pig tails M12 (30)
T Junction (30)
Steel conduit (15)
ABC Strainers (30)
Earth Spikes 1.5m (14)
6mm House wire 80m
Fisher plugs (1 box)
Buckles (60)
Thimble (12)
20mm Steel saddles (130)
steel nails
</t>
  </si>
  <si>
    <t>all requested items given except meters</t>
  </si>
  <si>
    <t>LV stay wire (40m)</t>
  </si>
  <si>
    <t>lichabajameswest@gmail.com</t>
  </si>
  <si>
    <t xml:space="preserve">20mm pvc conduit 4m x 3 
20mm pvc couplers x 10
240 x 12mm lugs x 20
earth spike clamps x3
line taps 35mm x2
</t>
  </si>
  <si>
    <t>all available items given</t>
  </si>
  <si>
    <t>Stay wire(2 rolls), stay rods(15),stay plates(15), stay insulators(15), stay thimble(15), pole top(15), gay grip(45), eyenut(18), bundle strainers(10), Bundle suspension(7), end cap(15), airdac(1roll), pvc conduit 20mm(5), Fisher plug(25), saddle galvanised 20mm(4), steel conduit 20mm(4), 
stainless steel strapping(2packets), strapping buckles(30)</t>
  </si>
  <si>
    <t>Stay rod(10), stay plate(10),bare wire/copper wire (1 roll)</t>
  </si>
  <si>
    <t>Readyboards (6) 2 channel enclosures (4) 3 channel enclosures (2)</t>
  </si>
  <si>
    <t>teboho@1pwrafrica.com</t>
  </si>
  <si>
    <t>Teboho Noko</t>
  </si>
  <si>
    <t>Bundle strainers=10
Bundle Suspension=5
3 way pole box =1
Readyboards=4
Stay wire 1 roll(100m)</t>
  </si>
  <si>
    <t>Mahlehla</t>
  </si>
  <si>
    <t>mahlehla@1pwrafrica.com</t>
  </si>
  <si>
    <t>Yes</t>
  </si>
  <si>
    <t>Airdac (40m), Earthwire (10m), 20mm conduit (4m), 25mm conduit (4m), 16mm pigtale (1), Earth spike (1)</t>
  </si>
  <si>
    <t>M20 Eye Nut (2), M20 Threaded rod (2), Thimble (2)</t>
  </si>
  <si>
    <t>maks@1pwrafrica.com</t>
  </si>
  <si>
    <t>Makoanyane</t>
  </si>
  <si>
    <t>3 x 50mm pvc pipe
4 x 50mm pvc elbows
3 x 20mm pvc pipe
100m stay wire
2 x 4m x  20mm steel pipe
10 x I-nut</t>
  </si>
  <si>
    <t>Makoanyane Khakanyo</t>
  </si>
  <si>
    <t>15m air dec</t>
  </si>
  <si>
    <t>Neo Makosholo</t>
  </si>
  <si>
    <t>neo@1pwrafrica.com</t>
  </si>
  <si>
    <t>12 lipped crossarms</t>
  </si>
  <si>
    <t>10KVA genset, 80m x 25mm bare earth wire.</t>
  </si>
  <si>
    <t>U-nails by 2kg, 100m stay wire, binding wire</t>
  </si>
  <si>
    <t>monoane@1pwrafrica.com</t>
  </si>
  <si>
    <t>Sello Monoane</t>
  </si>
  <si>
    <t>1 genset, 1 drill, micro blasting kit</t>
  </si>
  <si>
    <t>Pvc conduits 25 mm ×2
Pvc conduits 20 mm ×5
Earth spikes 1.5 m        ×5</t>
  </si>
  <si>
    <t>Airdac, airdac Strainers* 2, pick tails *2,fisher plugs, conduit 20mm*6m,conduit 25mm*1m,earth spike +lugs 1.5*1, black house wire 6mm*10m,guider bolt 6mm *1</t>
  </si>
  <si>
    <t xml:space="preserve">Spare meter, spare breaker, wires, furrels, airdac 20m, airdac Strainers </t>
  </si>
  <si>
    <t xml:space="preserve">                For Procurement                                                                
                Item                Specification                        Qty. Per                Unit        
                Step Up                                        0                        
                step down                                        0                        
                Combi Unit Set                                        0                        
                Dropout w/ Fuse Tube (Dropout SET)                                        0                        
                Question Mark Bracket (Dropout)                                        0                        
                Dropout Fuse - 5A                                        0                        
                Dropout Fuse - 10A                                        0                        
                Solid links                                        2                        
                Surge Arrestor - 12kV (MV)                                        0                        
                surge arrestors(6kv)                                        0                        
                Bi-metalic lugs                                        0                        
                Copper Lug(???mm)                                        0                        
                Copper lugs 70mm                                        0                        
                16mmx12mm lug                                        12                        
                Wire Lug - 10*12                                        72                        
                Wire Lug - 6x6                                        60                        
                Pre-insulated lugs-35mm                                        0                        
                Pre-insulated lugs-70mm                                        0                        
                Bolt and nut 6x20                                        30                        
                PG Clamp                                        12                        
                Earth Spike Clamp                                        0                        
                Earth Spike - 1.2m                                        75                        
                Earth Spike - M16x1.5                                        0                        
                FOX                                        1920                m        
                Wire - ABC - 1-Phase (35mm)                                        750                m        
                Wire - AIRDAC - 10mm - CNE                                        2300                m        
                Wire - Earth - BCEW - 70mm (HEE)                                        0                m        
                Wire - House - 70mm - Green/Yellow (HEE)                                        0                m        
                16mm green/yellow                                        12                m        
                Wire - House - 06mm - Black (HEE)                                        550                m        
                Earth Wire (stay wire)                                        92.05                m        
                Conduit Steel -20mm                                        16.2                        
                Conduit PVC - 25mm                                        12                        
                Conduit PVC - 20mm                                        30                        
                Stock - Plastic - PVC - Pipe - 50mm                                        0.75                        
                Conduit - 20mm - T-Piece                                        40                        
                Conduit - 20mm - Coupling                                        0                        
                Saddle - Galvanized - 20mm (HEE)                                        180                        
                Cable Tie - 200mm                                        600                        
                Pitail Bolt and Nut Assembly M12                                                                
                Pigtail Screw M12                                         30                        
                Pigtail Bolt - M16                                        30                        
                Eye Nut - M16                                        6                        
                Eye Nut - M20                                        14                        
                Hardware - Screw - Anchor - Nail-In - 06x055                                        5                        
                steel nail 30mmx2.8mm                                        500                        
                TTD Connectors 151                                                                                                     130                        
                TTD Connectors 201                                                                                                       170                        
                Airdac-10mm strainers                                        130                        
                Airdac suspension clamp                                        30                        
                Strain Clamp - Large (ABC)                                        22                        
                Suspension Clamp                                        4                        
                Ready Board (HEE)                                        45                        
                Cement                                        200                Kg        
                End Cap                                        33                        
                Long Rod Insulator                                        14                        
                Pin Insulators/Line Post Insulator                                        4                        
                Thimble Clevis  - 70kN (MV)                                        14                        
                D-Shackle - 70kN                                        14                        
                Spindle - M20                                        6                        
                Twin Ties - Fox                                        12                        
                Dead End - Fox                                        14                        
                Strapping                                        36                        
                Strapping Buckle                                        72                        
                U Nail (HEE)                                        202.1                        
                steel nail 30mmx2.8mm                                        200                        
                Hardware - Screw - Coach                                        6                        
                Threaded Rod Assembly - M20x450                                        1                        
                Threaded Rod Assembly - M20x250                                        12                        
                Threaded Rod Assembly - M20x350                                        0                        
                Flat Bracing Strap - 910x50x6                                        2                        
                Pole - Cross-Arm - 2.5m                                        0                        
                Transformer Channels( Small)                                        0                        
                Transformer Channels( Big)                                        0                        
                Stay Rod Base Plate (LV)                                        15                        
                Stay Rod (LV)                                        15                        
                Stay Insulator - 90mm (LV)                                        15                        
                Stay Thimble                                        15                        
                Wire - Stay - 3x3.35 (LV)                                        105                m        
                Guy Grip - 3x3.35 (LV)                                        45                        
                Pole Top Make-Off - 3x3.35 (LV)                                        15                        
                Stay Rod Base Plate (MV)                                        6                        
                Stay Rod (MV)                                        6                        
                Wire - Stay - 7x3.35 (MV) (HEE)                                        60                m        
                Stay Insulator - 145mm (MV)                                        6                        
                Guy Grip - 7x3.35 (MV)                                        18                        
                Pole Top Make-Off - 7x3.35 (MV)                                        6                        
                globes                                        15                        
                                                                                </t>
  </si>
  <si>
    <t>Lv stay rod=6, lv stay plate=6,thimbles=6,stay wire=100m,lv gay grip=18,lv pole tops=6,pigtails=10,M16 eye nut=3,strainers=6,suspension=5,cable ties=100,TTD 201=8,Unails=23,ABC bundle=1000m,end caps=9,50mmpvc conduit=4m,20mm pvc conduit=2,steel nails=60,6mm black wire=100m,airdac 50m,buckles=20,20mm saddles=12,M12 pig tail=1, bolt and nut=1,6mm lug=1,16mm lugs=3,airdag strainers=2,20mm steel pipe=1,1.2 earth spike=2,strap bundit=100m,TTD 151=4,chain block 0.75t=1,grimping tool=1,cable cutter=1,running wheel=2,lugs 70 by 12=2, mv stay rod=1,mv stay plate=1,pick 3 way junction box=1</t>
  </si>
  <si>
    <t>tiisetsomahlehla@gmail.com</t>
  </si>
  <si>
    <t xml:space="preserve">Sello Monoane </t>
  </si>
  <si>
    <t>Crowbars (3)</t>
  </si>
  <si>
    <t>Single channel *1 spare meter, airdac 50m</t>
  </si>
  <si>
    <t>63A breaker, 20mm conduit pipe, saddles, lugs 10*12 *2</t>
  </si>
  <si>
    <t>all requested given</t>
  </si>
  <si>
    <t xml:space="preserve">20mm pvc conduit (35)
20mm pvc T junction (30)
50mm pvc conduit (1)
D-shackle (20)
20mm steel pipe (15)
1.5m earth spikes (20)
Earth resistance tester (1)
Earth kid (1)
M20 × 350mm threaded rods (3)
Rock drill (1)
Rock drill  bits (2)
Link stick (1)
</t>
  </si>
  <si>
    <t>Kalake@1pwrafrica.com</t>
  </si>
  <si>
    <t>Airdac (drum)
Steel pipes (20)
Bold and nuts 6mm (30)
6mm lungs(30)</t>
  </si>
  <si>
    <t>M16 pig tail(2)
Lv guy grip(17)
Lv stay rods(14)
Lv stay plates(14)
Lv stay insulator(10)
Mv stay rods(2)
Mv stay plates (2)
Mv guy grip (6)
M12 pig tails(10)
Mv dead ends(20)
Mv pin insulator(6)
Mv spindle(6)
Mv stay wire(roll)</t>
  </si>
  <si>
    <t xml:space="preserve">Lefa seshemane </t>
  </si>
  <si>
    <t xml:space="preserve">Thimble clevis=6
D shackles=14
Green &amp; yellow earth= 2m
</t>
  </si>
  <si>
    <t xml:space="preserve">Seshemane Lefa </t>
  </si>
  <si>
    <t xml:space="preserve">Pig tail M16 </t>
  </si>
  <si>
    <t>Eye nut M16=13 , Steel saddle = 200( 2  pcts)</t>
  </si>
  <si>
    <t>Seshemane@1pwrafrica.com</t>
  </si>
  <si>
    <t>Rethabile Lebajoa</t>
  </si>
  <si>
    <t>Rock drill and bits</t>
  </si>
  <si>
    <t>Airdac 500m</t>
  </si>
  <si>
    <t>M20 &amp; M16 wood drill bits</t>
  </si>
  <si>
    <t>Molupe Foso</t>
  </si>
  <si>
    <t>foso@1pwrafrica.com</t>
  </si>
  <si>
    <t xml:space="preserve">SESHEMANE LEFA </t>
  </si>
  <si>
    <t>Earth spike 10, Transformer 1,threated rods 250mm 8,drop out bracket 2</t>
  </si>
  <si>
    <t xml:space="preserve">Cable ties*1, 12mm pick tails </t>
  </si>
  <si>
    <t>1 crowbar, 4 chisels and 4 Hammers.</t>
  </si>
  <si>
    <t>Mokhethi Komete</t>
  </si>
  <si>
    <t>Spare alternator from 100kva generator for MAK</t>
  </si>
  <si>
    <t>Makhoalilinane</t>
  </si>
  <si>
    <t>petlane@1pwrafrica.com</t>
  </si>
  <si>
    <t xml:space="preserve">Petlane </t>
  </si>
  <si>
    <t>Stay rod 7/3.35 (4)
Stay plate 7/3.35 (4)
Stay Insulator 7/3.35 (4)
Pole top make off 7/3.35 (10)
Coach screw (6)
Guy grip 7/3.35  (12)
Stay wire 7/3.35 (100m)
U nails ( 1 packet)
Stay wire 3/3.35 (200m)
ABC strain clamp (11)
TTD 25-95  (21)
Stay plate 3/3.35 (3)
Stay rod  3/3.35 (3)
Pole top 3/3.35  (3)
Cable ties T120s (200)</t>
  </si>
  <si>
    <t xml:space="preserve">Petlane Lekau </t>
  </si>
  <si>
    <t>4 pounds hammer (2)
Chisels    (3)</t>
  </si>
  <si>
    <t>Petlane</t>
  </si>
  <si>
    <t xml:space="preserve">20mm steel pipes (15)
20mm coduit pipes (30)
Steel saddles  box  (137)
Airdac  strains (60)
ABC strains (10)
Steel nails (0.5kg)
Cable ties (800) 
</t>
  </si>
  <si>
    <t>James mpapea</t>
  </si>
  <si>
    <t>Blackwire 6mm*2</t>
  </si>
  <si>
    <t>kaleke@1pwrafrica.com</t>
  </si>
  <si>
    <t>ABC bundle (58m), Guy grip (3), LV pole top (1), LV stay insulator (1), LV stay wire (30m), stay plate (1), 6mm black wire (10m), 20mm PVC conduit (4m), 20mm steel saddle (4), M12 pigtale (1), M20 eye nut (2), 1.2m earth spike (4), LV airdac strainer (3), ABC bundle strainer (5), 10x12mm lug (2)</t>
  </si>
  <si>
    <t xml:space="preserve">ABC bundle (110m), M20 eye nut (2), 70mm self tapping screws (10), Airdac (30), binding strap (box), 20mm steel saddle (10), generator (1), 16mm earth wire (7m), 20mm galvanized steel pipe (4m), thimble (2), 20mm boro (1), chain block (1), pole climbing shoes (1)
</t>
  </si>
  <si>
    <t xml:space="preserve">LEFA SESHEMANE </t>
  </si>
  <si>
    <t xml:space="preserve">Long Rods=28,D shackles=28
Pig tail M16=48
Question Mark=2
Mustofor bracket=2
M12 pig tail=17
Clevis=28
Mv stay insulator 4
House wire 6mm 100m
Mv stay 100m
Cable ties 5p
Unail 2KG
Strain clamp ABC 28
Stay rods=24
Pg clamp=20
Guy grip=30
Threated rods 650mm=2
Twin tie=4
Pole top lv =30
Pole top mv 10
</t>
  </si>
  <si>
    <t>lekhelebane@1pwrafrica.com</t>
  </si>
  <si>
    <t xml:space="preserve">RANTSO LEKHELEBANE </t>
  </si>
  <si>
    <t xml:space="preserve">Mv stay wire*100m
Pigtails M16 × 106
Dead-end *17
Bandit strap* 300m
Stay plates LV *58
Stay plates MV*15
ABC Strain Clamps *
Threaded rods 250mm*22
Airdac strain clamps*188
Guy grip LV*174
PVC Glue*1
Pigtails M12*94
Twin ties(fox)*11
Threade rods 450mm*3
End caps*85
Buckles *200
Thimble*58
PG Clamps*35
TTD 201*77
T junction 20mm × 94
Pole tops MV*15
Pole tops LV*58
Cable ties 360*1112
Couplings 20mm*94
House wire 6mm*
Thimble clevis*17
D shackles *17
Long rods *17
Saddles 20mm*827
U nails *1355
Suspension clamps*31
Wire lugs 16*16mm*
Wire lugs 06*8mm
Eye nut M16*
Eye nut M20*17
Pin Insulator*15
Guy grip MV*45
Ready board*17
Mosdorfer Bracket*3
Mosdorfer fuse holder*8
Fuse 160A*8
Neutral arrest *3
Earth spike clamp*42
Spindle*1
Curved square washer*22
Line post insulator*11
Drop out*5
Earth spike 1.5*10
Green n yellow 70mm*30m
Drop outfuse*5
Pre insulated lugs 35*15
Pre insulation lugs 50*8
? Mark bracket*5
ABC conductor 35*1 *1000m
Conduit 20mm*200
</t>
  </si>
  <si>
    <t xml:space="preserve">Rantso Lekhelebane </t>
  </si>
  <si>
    <t>35mmx8mm lugs (8), 35mm 4 core cable (30m), hydraulic crimping tool (1)</t>
  </si>
  <si>
    <t>LV guy grip (6), LV Isolator (2), stay rod (2), base plate (1)</t>
  </si>
  <si>
    <t>Stay rod 20 are taken by Tos team from Mashai ret items.....</t>
  </si>
  <si>
    <t xml:space="preserve">Airdac (30m), 201 TTD (8), M20 pigtail (6), LV pole top (4), generator (1), 1 way junction box (10), steel nail (30), 20mm PVC conduit (12m)
</t>
  </si>
  <si>
    <t>12kv surge arrestor (1), steel nail (packet)</t>
  </si>
  <si>
    <t>Rethabile lebajoa</t>
  </si>
  <si>
    <t>Bundle conductor (1000m)
Pigtail m12 (60)
Airdec (500m)
Strainer clamps (54)
Steel pipe 20mm (20)
Pvc conduit pipe 25mm (6)
TTD 201 (20)
Pole box single channel (10)
                 3channel (6)
                 2channel (5)</t>
  </si>
  <si>
    <t>ramothule@1pwafrica.com</t>
  </si>
  <si>
    <t>Fox 3000m ,bundle 1000m &amp; airdac 1000m</t>
  </si>
  <si>
    <t>Tiisetso Mahlehla</t>
  </si>
  <si>
    <t>Fox 3000m &amp; bundle 1000m</t>
  </si>
  <si>
    <t>Tebello Kalake</t>
  </si>
  <si>
    <t>Jsmes mpapea</t>
  </si>
  <si>
    <t xml:space="preserve">Pvc confuit pipe 20mmx4m  24
Brazing dtrsp  6
Stay plate.    7/3.35  7
Stay rod.      7/3.35   7
Pin insulators 7/3.35  7
Pin insulators 3/3.35 29
Long rods. 10
Threaded rod 250mm  
Question mark brackets 4
Mosdofer brackets  6
Binding seal  10
Pig tail M16  60
Pig tail M12   8
Metal lugs x 70mm 18
Pg clamps  15
Square washer  20
Steel saddle  20mm 600
M20 nut 20
End cap  42
Fisher placks(8)  200
1.2m earthspike  6
Guy grip 4/3.35  91
Mosdofer fuse 5A 6
Dropout 4
Clevis thimble 10
D-dhackle 10
M20 eye nut  20
M16 eye nut  56
Dead end for fox 20
Guy grip 7/3.35 21
Twin ties for fox 32
Stay rod 3/3.35  33
Stay plate 3/3.35 29
6mm black wire 500m
Pole top make off 3/3.35 30
Pole top make off 7/3.35  8
1.5m earthspike  50
Cable ties 600
TTD 151  200
TTD 201  30
Fisher placks(6) 330
 Buckles  200
Pre-insulated lugs 70mm 5
Pre insulated lugs 35mm 10
Coach screw  36
Pvc T-junction box 20mm  68
U nails   8 packets 
Stay thimble  29
ABC suspension 16
10A fuse  4
</t>
  </si>
  <si>
    <t>Petlane Lekau</t>
  </si>
  <si>
    <t>Guy grip (lv) 15,Bundle 1000m,Fox 1000m,Long Rods 12,D shackles =12,Thimble clevis =12, Pig tail M16=20,airdac strain=36,Pin insulator =12,Dead End=20,wire cable 6mm=100m, Lv stay wire 200m</t>
  </si>
  <si>
    <t>MOLUPE FOSO</t>
  </si>
  <si>
    <t xml:space="preserve">Lv stay rods(20)
Lv stay plate(17)
Lv stay wire (1 roll)
</t>
  </si>
  <si>
    <t xml:space="preserve">Twin ties (18)
Long rods(26)
M20 eye nuts (30)
M16 eye nuts (20)
Lv stay wire (100)m
Cable ties (300)
Vimble clevis (30)
D shackle (30)
Lv train clamp (50)
Lv suspension (15)
Unails (3kg)
M20*250mm (30)
M20*450mm(1)
Mv stay insulator (10)
Lv stay insulator(12)
PG clamps (20)
Mv pole top (2)
Lv pole top(9)
Stay vimble(23)
Lv stay plate(1)
Mv stay rods (5)
Mv stay plate (5)
Mv guy grip(40)
Lv guy grip(41)
Prop bracket(3)
Dead ends(40)
Braising strap(2)
Pin insulator(10)
</t>
  </si>
  <si>
    <t>1.2 earthspike (20)</t>
  </si>
  <si>
    <t xml:space="preserve">Molupe Foso </t>
  </si>
  <si>
    <t>Drum of Airdec (1)</t>
  </si>
  <si>
    <t>LV  stay rods 8
ABC strainers 40
6mm conductor 300M
M16 pig tail bolts  60
1.2 Earth spikes 20
Airdac cable  2 drums (1000M)</t>
  </si>
  <si>
    <t>Pick axe</t>
  </si>
  <si>
    <t xml:space="preserve">Pigtails(40)
Straps(4)
Abc strainers(35)
Mv stay plates(10)
Cross arms(3)
</t>
  </si>
  <si>
    <t xml:space="preserve">Rethabile lebajoa </t>
  </si>
  <si>
    <t>Airdec 500m
Pvc condiuts 24
Steel pipe 20mm 15
Black wire 6mm *2
TTD 201 50</t>
  </si>
  <si>
    <t>ralekaota@1pwrafrica.com</t>
  </si>
  <si>
    <t xml:space="preserve">Lebohang Ralekaota </t>
  </si>
  <si>
    <t>Surge arrestors 12kv×2,bare earth wire 70mm×30m,1packet saddles, 1packet steel nails,1 packet u nails,ready boards×15</t>
  </si>
  <si>
    <t xml:space="preserve">Spindle(26)
Cable ties(3 packers)
Eye nuts m16(30)
Bandit strap(5 boxes)
Bolt nut m6 ×25mm(60)
Lugs  70 by 12mm(10)
Earth spike clamp (6)
Drop out(2)
Treathed rod M20 x 450mm (3)
Stay insulator lv (12)
Airdac strainers (64)
Stay wire MV (100m)
Abc suspension(15)
Preinsulated lugs 70mm(10)
Pre insulated lug 35mm(10)
TTD 201 (150)
Drop out brakets (2)
Mostofer holder(3)
Fisher plugs (3 boxes)
Mostoffer fuse(3)
Fuse link 5 Am (3)
Fuse link 10 Am(3)
Earth spikes 1.2 (30)
Earth spike 1.8 (8)
Earth wire 6mm (300m)
70mm copper wire (10m)
Coach srew (10)
</t>
  </si>
  <si>
    <t xml:space="preserve">1.2m earth spike=23
Steel pipe 20mm=30
Pvc conduit 20mm=25
Airdac =500m
Earth resistance test =1
Bolt and nuts 6mm=30
Boro 22mm and 16mm
</t>
  </si>
  <si>
    <t>LEBOHANG RALEKAOTA</t>
  </si>
  <si>
    <t>Lebohang@1pwrafrica.com</t>
  </si>
  <si>
    <t>Bundle conductor
Lv stay rod 5
Lv stay plate 5</t>
  </si>
  <si>
    <t>Kalake</t>
  </si>
  <si>
    <t>bulbs 12</t>
  </si>
  <si>
    <t xml:space="preserve">Airdec(one drum)
Ready board(17)
Earth Spike (24)
</t>
  </si>
  <si>
    <t>teboho@1pwrafica.com</t>
  </si>
  <si>
    <t>Airdac stariners 60 and 10 Suspensions</t>
  </si>
  <si>
    <t>6 MM black earth wire, 40 Airdac strainer and 10 Suspensions</t>
  </si>
  <si>
    <t>Readyboard *1, meter*1 + c/b*1,airdac 40m,20mm*1 conduit, M12 *1 pigtail</t>
  </si>
  <si>
    <t>House wire 6mm=200m
Cable tie=2pck
Airdac Strainers =30
T junction 20mm=20
Earth spikes 1.2m=10
Airdac =500m</t>
  </si>
  <si>
    <t>TTD 201 =150, LV STAY WIRE= 200M, CABLE TIES= 2 PARKETS, ABC STRAINERS= 102, EARTH SPIKES 1.2M= 30, AIRDAG STRINERS= 250, LV GAY GRIPS= 110, M16 PIGTAILS= 30, 6MM LUGS= 100, LV STAY INULATORS= 32, LV STAY RODS= 12, LV STAY PLATES= 5, BUGLES= 200, BLACK WIRE 6MM= 2 ROLLS, 3 WAY JUNCTION BOX= 80, LV SUSPENSION= 100, STAY THIMBE=13, LV POLE TOPS= 15, READYBOARDS= 50</t>
  </si>
  <si>
    <t xml:space="preserve">Motiki Ramothule </t>
  </si>
  <si>
    <t xml:space="preserve">Pigtails screw (17)
Pigtails big (6)
Pole top (45)
Long rods (4)
D shacle (26)
U nails (2kg)
Eye nut LV (16)
Eye nut MV (20)
Spindle (5)
Rods 250 (10)
Strainer LV (17)
Strainer Airdac (20)
Thimble clevis (22)
Stay thimble (14)
Binding strap (1)
Suspension LV(26)
TTD 201 (100)
Stay wire (100M)
Pigtails screw M12 (40)
Guy grip MV (100)
Guy grip LV (100)
</t>
  </si>
  <si>
    <t>TTD 201F*50
Lv pole top*30
Lv bundle suspension *27
M12 nuts*50
M12 pigtail*40
Guy grip lv*40
Mv guy grip*33
Lv eye nut*20
Lv bundle strainer*12
M20 eyenut*27
Airdag pigscrew*30
Airdag strainer*20
Mv Thimble clevis *21
Mv d shackles *26
U nails pack*3
Spindle *3
Thimble*3</t>
  </si>
  <si>
    <t>Ready board*1,airdac*50m, M12 pigtail*1, conduit 20mm *2.</t>
  </si>
  <si>
    <t xml:space="preserve">Kalake </t>
  </si>
  <si>
    <t xml:space="preserve">Pig tail M16 (20)
MV guy grip(30)
D-sharkles(14)
350MM stuts(2)
250MM(70)
Long rods(14)
LV guy grip(60)
Pigtail M12(40)
Bundle trainers(12)
Airder strainer(20)
Suspension (29)
Pig tail screws (17)
Lv thimble(4)
Eye nut  M16 (42)
Lv pole top(20)
Lv stay wire(100M)
Spindle (3)
M12 nut(60)
</t>
  </si>
  <si>
    <t xml:space="preserve">Monaheng </t>
  </si>
  <si>
    <t>Clobes(20)</t>
  </si>
  <si>
    <t>Stay rods LV (2)
Stay rod MV(1)
Stay insulators MV (3)
Stay insulators LV (11)
Stay plates LV(2)
Stay plate MV(1)</t>
  </si>
  <si>
    <t>Pigtail M12</t>
  </si>
  <si>
    <t>Airdac 25m</t>
  </si>
  <si>
    <t>Airdac 75m</t>
  </si>
  <si>
    <t>M12 pigtail*1, airdac strainers*2, suspension*1</t>
  </si>
  <si>
    <t xml:space="preserve">25 PVC conduits
M20 eye nut 15
Binding strap  1
stay wire lv 100m
M16 and M19 drill bit </t>
  </si>
  <si>
    <t>lefa seshemane</t>
  </si>
  <si>
    <t>Chain block 0.75t  
Bundle strainer 15
Airdec strainer.  10
6mm house wire Black.  1
Earth spike 1.2m    20</t>
  </si>
  <si>
    <t>komete mokhethi</t>
  </si>
  <si>
    <t>Bundle strainer.    12
M20 eye nut.    15
pig tail screw.    3t
D shackles.    26
Thimble clevis.   18
M12 pig tail   40
ABC suspension.   28.  
Airdec strainer.   23
Base stay plate 23
stay wire.    100m
House wire 6mm black. 1 roll</t>
  </si>
  <si>
    <t xml:space="preserve">
Stay base plate</t>
  </si>
  <si>
    <t xml:space="preserve">komete mokhethi </t>
  </si>
  <si>
    <t>Lebohang Ralekaota</t>
  </si>
  <si>
    <t>1.stepup transformer=1
2.green/yellow 16mm=12.5m
3.Arrestor 6kva=3
4.Arrestor 12kva=6
5.dropout brackets=4
6.mustofor brackets=4
7.mustofer fuses=5
8mustofer holders=10
9 bare copper 70mm=60m
10.450mm threaded rods=5
11.brassing straps=6
12.long rods=20
13.250mm threaded rods=30
14.pin insulators=21
15.spindles=21
16.lv stay wire=100m
17.mv stay wire=100m
18.mv stay rods=26
19.mv stay plats=26
20.mv stay insulators=16
21.mv pole tops=26
22.earth spikes 1.5mm=24
23.earth spikes 1.2mm=10
24.35mm pre-insulated lugs=10
25.mv guy grip=90
26.dead ends=20
27.pg clamps=35
28.cable ties=1packet
29.abc strainers=38
30.lv stay thimble=10
31.mv thimble clevis=20
32.mv d shackles=20
33.lv suspensions=40
34.airdac strainers=40
35.pvc conduit pipes=1
36.6mm black wire=100m
37.pvc 20mm conduit pipes=24
38.m16 pig tale strews=20
39.lv guy grips=35</t>
  </si>
  <si>
    <t>40 steel pipes</t>
  </si>
  <si>
    <t>500m airdac for MAS</t>
  </si>
  <si>
    <t>Komete Mokhethi</t>
  </si>
  <si>
    <t>ralekaota@pwrafrica.com</t>
  </si>
  <si>
    <t xml:space="preserve">
Pin insulator 30pcs
Guy grip (LV) 200PCS
Long rods 48pcs
Eye nut (MV) 7pcs
U nail 2 packs
Dead end 50pcs
Spindle 24pcs
PVC conduit 50mm 3pcs
Pole top (MV) 4pcs
Pole top (LV) 73
PG clamp 41pcs
Stay wire (MV) 100 meters
Stay wire (LV) 200 meters
Stay insulator LV 2pcs
TTD 151 23pcs
Hole bore 19mm 2pcs
Hole bore 16mm 2pcs
Foam spray 2pcs
LED lights 3pcs
pole climbing shoes 1 pair 
X-arms=3
16kva/19000/240v transformer
rock drill=1
250mm threaded rods=15
20mm steel pipes=15
20mm  pvc conduit pipes=25
50mm pvc conduit pipes=5
25mm pvc conduit pipes=20
70mm green/yellow=40m
70mm bare copper wire=70m</t>
  </si>
  <si>
    <t>AIRDACS=4</t>
  </si>
  <si>
    <t>Airdac (500)
ABC bundle (3000)
Squarrel (4000)
Stay rod MV (5)
M16 pig tails (150)
M16 eye nut (10)
Strainer (90)
Suspension (120)
Airdac strainer (200)
Pigtails screw (100)
TTD 201 (200)
TTD 151 (100)
Strupbinding (5)
Pvc conduit 20mm(200)
Pvc conduit 25mm(30)
Steel conduit (100)
Stay plates LV (10)
Cable ties(25)
Saddle steel(5 PACs)
Stay wire LV (100M)
Back wire (600M)
Guy grip LV (20)
Dropout fuse holder(6)
Dropout fuses 5A(6)
Monstofa brackets (2)
Bare cupper 70mm(100M)
Green and yellow 70mm(32M)
Bimetallic lug 70mm(6)</t>
  </si>
  <si>
    <t xml:space="preserve">Arrestors 6kv(2)
Arrestors 12kv(6)
? brackets (60)
Pg clamps (32)
Thimble LV(50)
</t>
  </si>
  <si>
    <t xml:space="preserve">Monaheng Rethabile </t>
  </si>
  <si>
    <t xml:space="preserve">Airdec  (2500M)
ABC Bundle (7000M)
Squarrel conductor(3000M)
LV stay rods and plates(40) each 
MV Stay rods and plates(8)each
M16 pig tails(103)
ABC strainers(96)
Airdec strainers(132)
Pig tail screws(100)
Binding strap (4pcs)
PVC Conduit 20mm(150)
PVC Conduit 25mm(20)
Steel pipe 20mm(80)
Cable ties(25packets)
Steel saddles (4pcs)
Lv stay wire(300M)
Mv stay wire(100M)
Transfomer(1)
Black wire 6mm(300M)
Lv guy grips(120)
Drop out fuse holder(2)
Drop out fuse 5A(2)
Mosdofer brackets (1)
Bare copper 70mm(50M)
Green and yellow 70mm(16M)
Biematalic lug 70mm(2)
Arrestor 6kv (1)
Arrestor 12kv(2)
Question mark brackets (2)
PG clambs(24)
Steel nails(4kg)
Lv thimbles(90)
</t>
  </si>
  <si>
    <t>Monaheng@1pwrafrica.com</t>
  </si>
  <si>
    <t xml:space="preserve">Stay insulatos(4)
Dead ends(30)
Earth spike (40)
TTDs 151(60)
TTDs 201(100)
</t>
  </si>
  <si>
    <t xml:space="preserve">
 Bolt pigtails  101
pole top  27
LV guy grip  174
stay wire 300
stay rods  57
stay plates. 35
stay thimble. 57
stay insulator  57
ABC strainers  88 
M16 eye nut  35
ABC conductor 5500</t>
  </si>
  <si>
    <t>Eye nut M20(10)</t>
  </si>
  <si>
    <t>Eye nut MV (40)</t>
  </si>
  <si>
    <t>Jack hummer of a power pack (1)</t>
  </si>
  <si>
    <t>Airdag 5050m, Bundle 5000m, Stay rod Lv 55, Lv stay plate 55, Lv pole top 55, Lv stay insulator 55, Lv stay thimble 55, m16 pigtail 100, m16 eye nut 40, Abc strainers 90, Abc suspension 60, Airdag strainers 100, pintail screw 60, 201 TTDS 100, 151 TTDS 100, readyboards 20, strap binding, pvc conduit 20mm 100, pvc conduit 25mm 20, steel conduit 20mm 70,cable ties 4pcs, saddle steel 2 pcs, stay wire lv 300m, gay grip lv 120, steel nails 2kg, end cap 50, pvc pipe 50mm 4m,</t>
  </si>
  <si>
    <t xml:space="preserve">Mahlehla </t>
  </si>
  <si>
    <t>Borrow M16(3)</t>
  </si>
  <si>
    <t>All given</t>
  </si>
  <si>
    <t xml:space="preserve">Cable ties (5 porkets)
Earth spike clamps (10)
Pre insulated lugs 35mm  (7)
Pre insulated lugs 70 mm (4)
Pin insulators (12)
Pole top lv  (50)
Long rods (30)
</t>
  </si>
  <si>
    <t>pigtails bold M12*4,pigtail bold M16*4,eyes nuts M16*4,6MM black wire 20m,earth spikes 1.2m*6,conduict pipe 20mm*4,u nails*20,airdac strainers*10,cable ties *100,suspensions*4,</t>
  </si>
  <si>
    <t>airdac drum</t>
  </si>
  <si>
    <t>Makhoalinyane</t>
  </si>
  <si>
    <t>TTD 151 *12</t>
  </si>
  <si>
    <t>16 kvA transformer 
Airdec 1000m
Bundle 1500m
TTD 151  80
steel nail. 4p 
pole top 35
Airdec strainers 100
copper lug. 10
Earth spike 1.2m. 10</t>
  </si>
  <si>
    <t>6mm earth wire (200M)
Lv stay rod (10)
Lv stay plate (20)
Lv guy grip(60)
M16 pig tail(40)
Binding strap (2)</t>
  </si>
  <si>
    <t>Rafube Pemane</t>
  </si>
  <si>
    <t>pemane@1pwrafrica.com</t>
  </si>
  <si>
    <t>Cable ties(5packets)
Steel nail(4packets)
Binding strap(3)</t>
  </si>
  <si>
    <t xml:space="preserve">Rafube Pemane </t>
  </si>
  <si>
    <t xml:space="preserve">12kvA arrestor 
5 packets of cable ties </t>
  </si>
  <si>
    <t>Cable ties 5pcs,, still nails 4 pcs</t>
  </si>
  <si>
    <t>twin ties 14,dead end 74,fuse links 9,cable ties 8packets,mv stay rods+plates 10,lv guy grip95,lv stay rods 26,lv stay insulators 30,mv eye nuts 30,bundle conductor 1000m,fox conductor 20000m,cable cutter</t>
  </si>
  <si>
    <t>Thimble clevis (20)
Eye nut MV (20)
D shackles (20)</t>
  </si>
  <si>
    <t>TTD 151 48
airdec strainer 100</t>
  </si>
  <si>
    <t>Lv pole top(25)
6mm earth wire(400M)
Airdec strainers (60)
Cable ties (4packets)
TTDs 151 (56)
Airdec (1000M)</t>
  </si>
  <si>
    <t>Lv stay plates (10)
Lv guy grips (75)
M16 pigtails( 40)
Cable ties (3 pck)</t>
  </si>
  <si>
    <t>Earth spike 1.2M(30)</t>
  </si>
  <si>
    <t xml:space="preserve"> M16 Pick tails *1, airdac 20m, spare meter + 80A breaker </t>
  </si>
  <si>
    <t>5 pcs of 6MM BLACK WIRE</t>
  </si>
  <si>
    <t xml:space="preserve">5 pcs of 6MM BLACK WIRE </t>
  </si>
  <si>
    <t>Airdac 40m</t>
  </si>
  <si>
    <t>Makhoalinyane Teboho</t>
  </si>
  <si>
    <t xml:space="preserve">Dead end(19)
Guy grip Mv (4)
Pole top Mv(1)
</t>
  </si>
  <si>
    <t xml:space="preserve">Solid link (2)
Solid link brackets (2)
250mm studs(3)
450mm studs(1)
Mv eye nud(2)
D-shackles(2)
Tie trap(2)
Lv pole top(1)
Lv guy grips(3)
Lv stay insulator(1)
</t>
  </si>
  <si>
    <t xml:space="preserve">Hoses, regulator, gauge VFD, tanker's pad
</t>
  </si>
  <si>
    <t>Seshemane Lefa</t>
  </si>
  <si>
    <t>Stay rods and Thier plates (13)
Stay Insulators (5)
Pig tails (20)
Eye nuts (22)
Cable ties pcs(3)
Stay wire LV (110)M
10mm black wire (200)M
6mm black wire (200)M
Saddles (176)
Lugs 6mm (100)
Still nails pcs (2)
Airdac strainers (30)
Pvc conduit 25mm (25)</t>
  </si>
  <si>
    <t>Mpapea@1pwrafrica.com</t>
  </si>
  <si>
    <t xml:space="preserve">Stay rod (20)
Stay plate (8)
Pigtail m20(40)
3 way junction box(20)
Cable ties(5 pack)
Wallplug (200)
Terminal lug(100)
Fridge (1)
Microwave (1)
</t>
  </si>
  <si>
    <t xml:space="preserve">TIISETSO MAHLEHLA </t>
  </si>
  <si>
    <t>Lv stay plats 14, Lv guy grip 59, 20 mm steel conduit 14, M16 pigtail 53, 500M bundle, Lv pole tops 24</t>
  </si>
  <si>
    <t>Guy grip 3/3.35.       21 
Guy grip 7/4.35.      12
U nails.                     3kg
Pig tail M16.           30
Twin ties for fox.  10
Stay rod 3/3.35.   5
Stay plate 3/3.35  5
Earth spike clamp. 12
M20 × 250mm.        5
M20 eye nut.           12
Clevis themble.        8
6mm black wire.    200m
Cable ties black.   5packets
Drop out bracket.   2
Surge arrestor 12kv 2
Surge arrestor 6kv.  1
Bundle 500m.          1 Question mark brackets 2</t>
  </si>
  <si>
    <t>Dead ends21
Twin ties 28</t>
  </si>
  <si>
    <t>Rock drill</t>
  </si>
  <si>
    <t>tiisetso@1pwrafrica.com</t>
  </si>
  <si>
    <t>300M bundle, 3 Lv stay rods and 25MM conduit × 25</t>
  </si>
  <si>
    <t>Earthspike 1.2m=30</t>
  </si>
  <si>
    <t>motiki@1pwrafrica.com</t>
  </si>
  <si>
    <t>Solar Cables 100m black and red</t>
  </si>
  <si>
    <t>Not given</t>
  </si>
  <si>
    <t xml:space="preserve">LV POLE TOP =5
Lv guy grip=15
6mm black wire=200m
Mostofar fuse=1
Rock drill=2
Lv stay wire=110m
TTD 201
</t>
  </si>
  <si>
    <t>All Given</t>
  </si>
  <si>
    <t>Bundle 500m</t>
  </si>
  <si>
    <t xml:space="preserve">Cable ties packet </t>
  </si>
  <si>
    <t xml:space="preserve">Lv stay rod (10)
Mv stay plate(10)
M16 pig tails(12)
Airdac strainers (10)
</t>
  </si>
  <si>
    <t>Stay plate*1(MV), M16 pigtail*1,ABC bundle*70m,LV stay rod*1,TTD*8,couch screw *2</t>
  </si>
  <si>
    <t xml:space="preserve">Thakholi </t>
  </si>
  <si>
    <t>thakholi@1pwrafrica.com</t>
  </si>
  <si>
    <t xml:space="preserve">Mahlehla Tiisetso </t>
  </si>
  <si>
    <t xml:space="preserve">1706 Meters  Bundle </t>
  </si>
  <si>
    <t xml:space="preserve">Transformer1
Mosdorfer 3
Question mark bracket*2
Long rods 13
Steel pipe 20mm*10
PG clamps*15
Earth spike clamp*10
Mosdorfer fuse *3
Steel nail pack 1
Threatened rod 250mm *2
Threatened rod 350mm *3
Earth spike 1.5 *8
Earth spike 1.2 *8
TTD 16
Bidding Buckles *150
Binding strap*5
G/Y Earth wire 70mm 15m
saddles *90
Wire 6mm 100m
Drop out *2 
Drop out fuse link *2
Fuse link*4
Surgery arrestor12 *1
</t>
  </si>
  <si>
    <t xml:space="preserve">Earth spike 1.2M×40, 8mm CNE Airdag 500m </t>
  </si>
  <si>
    <t xml:space="preserve">6mm black wire 500M </t>
  </si>
  <si>
    <t>Bundle drum 1706</t>
  </si>
  <si>
    <t xml:space="preserve">gripping tool(1)
Earth resistance testor (1)
Ttds 16
Pre insulated lug 35mm*10, 75mm*3
Pin type insulators 9
Fuse links 10A*4
Tin ties 10
Cable ties 2packets
M16 pigtails*3
   </t>
  </si>
  <si>
    <t>Jopi</t>
  </si>
  <si>
    <t>Airdac 1532m
earth spikes 1.2. *30</t>
  </si>
  <si>
    <t>Rantso lekhelebane</t>
  </si>
  <si>
    <t>rantso@1pwrafrica.com</t>
  </si>
  <si>
    <t xml:space="preserve">MOKHETHI KOMETE </t>
  </si>
  <si>
    <t>4 pounds hammers (2)
Chisels (2)</t>
  </si>
  <si>
    <t>Pole box Single channel 26, 2 channel 8, 3 channel 6, 4 channel 4, Pvc conduit 25mm 25, steel saddle 20mm 2 parkets, Airdac strainers 120, strap binding 1 parket, cable ties 2 parkets</t>
  </si>
  <si>
    <t>Single channel   10
2 channel.           2
3 channel.          4
4 channel           3</t>
  </si>
  <si>
    <t>Airdac strainers (12), suspensions(4), 12mm pigtails (6),airdac roll,20mm conduit pipes(5),LV stay assemble (1),TTDs (16),6mm black cable(50m),still nails (30), fisher plugs(30),cable ties(100).</t>
  </si>
  <si>
    <t>Bundle200m
Strainers 4
M12 pig tails 48
1.2 spikes 30
Single channel 11
Double 4
3channel 1
Saddles 2packets
Ready boards12
Steal conduits 11
Guy grips 10
6mm black wire 100m
Airdac strainers 120</t>
  </si>
  <si>
    <t>lug 6mm * 200</t>
  </si>
  <si>
    <t>Tsietsi Lejakane</t>
  </si>
  <si>
    <t>lejakane@1pwrafrica.com</t>
  </si>
  <si>
    <t>jamesmpapea2@gmail.com</t>
  </si>
  <si>
    <t>Threaded rod M20 450mm*8
Threaded rod  M16 350mm*1
Threaded rod M20 650mm*2
Threaded rod M20 250mm*12
Fuse link 8 Amps *6
Coach screws*10</t>
  </si>
  <si>
    <t>Mpapea james</t>
  </si>
  <si>
    <t>Airdec strainer50
6mm Earth wire 100m*2
1.2m Earth spikes*50
3way junction boxes 2packets 
20mm couplers 1packet
End caps 30</t>
  </si>
  <si>
    <t>moletsane@1pwrafrica.com</t>
  </si>
  <si>
    <t>Rebusoajoang Moletsane</t>
  </si>
  <si>
    <t>Tracker Motor (1)</t>
  </si>
  <si>
    <t>5 x M12 pigtail bolts and Nuts with 1 x M8 pigtail screw, 6 x ready boards and 6 mm Black house wire</t>
  </si>
  <si>
    <t>Jopi Leoma</t>
  </si>
  <si>
    <t>Readyboards(6)
Cable ties (10pkts)</t>
  </si>
  <si>
    <t xml:space="preserve">Step up TRM (1) 180KVA
Step down TRM (3) 25KVA
Surge arestors 24KV (15)
Surge arestors 6KV (4)
Drop out fuses 5A (14)
Machanele 2.5M (10)
Machanele 0.9 (16)
Mostophor fuses 60A (8)
Rods 250mm (6)
Rods 350mm (12)
Rods 450mm (4)
Rods M16*250mm (16)
Cross arm 2.5M (4)
Drop out brackets (2)
Drop out (2)
L bracket (2)
</t>
  </si>
  <si>
    <t>Lugs 70*12(40)
Bimetallic lugs 35(8)
Boro 22mm(1)</t>
  </si>
  <si>
    <t>pebane@1pwrafrica.com</t>
  </si>
  <si>
    <t xml:space="preserve">Pebane Retselisitsoe </t>
  </si>
  <si>
    <t>Diesel Heater (1)</t>
  </si>
  <si>
    <t>Retselisitsoe Pebane</t>
  </si>
  <si>
    <t>pebane@1pwrafrica.con</t>
  </si>
  <si>
    <t>Generator air filter(1) and thread seal (1)</t>
  </si>
  <si>
    <t xml:space="preserve">Steel nails (1 packet)
6mm earth wire (100M)
</t>
  </si>
  <si>
    <t>Climbing  shoes</t>
  </si>
  <si>
    <t>Link stick
Earth kit</t>
  </si>
  <si>
    <t>Motiki</t>
  </si>
  <si>
    <t>16mmx16mm lugs (20),70mmx12 lug (20)</t>
  </si>
  <si>
    <t>Motiki@1pwrafrica.com</t>
  </si>
  <si>
    <t>Eath resident test</t>
  </si>
  <si>
    <t>M16 nuts =20
16mmx16mm lugs =20
Complete drop out =2
Drop out fuse 5A=15</t>
  </si>
  <si>
    <t xml:space="preserve">Motiki </t>
  </si>
  <si>
    <t>3channel enclosures(4), ABC Bundle(300m)</t>
  </si>
  <si>
    <t>jooi@1pwrafrica.com</t>
  </si>
  <si>
    <t>Stay rod lv 32
Stay plate lv 32
ABC strainer 50
Pole top lv 32
Lv guy grip 96
M16 pig tail 50</t>
  </si>
  <si>
    <t>Mosehle mokoatle</t>
  </si>
  <si>
    <t>mosehle@1pwrafrica.com</t>
  </si>
  <si>
    <t>House wire black 6mm * 6
Airdec strainer 120</t>
  </si>
  <si>
    <t xml:space="preserve">Mosehle mokoatle </t>
  </si>
  <si>
    <t xml:space="preserve">Airdac (100m)
Copper wire 6mm (500m)
Airdac strains clamps (153)
Earth spikes 1.2m        100
U nailes (4kg)
ABC conductor single phase  (1706m×2)
Stayrods lv  (40)
Stay plates lv (40)
Guy grips   lv (120)
Pole top lv  (40)
Stay vimble (40)
Pig tails M16  (60)
Strain clamps ABC (50)
Pig tails M12  (80)
Pre insulated lugs 35mm (6)
Band it strap  (17)
Steel nails (2kg)
End caps (50)
Steel saddles (200)
Eye nuts M16 (100)
Lugs 6mm (100)
Prop bracket (1)
Drill bit 22mm (1)
Drill bit 19mm (2)
Buckles (200)
</t>
  </si>
  <si>
    <t>not given</t>
  </si>
  <si>
    <t>Stay rods lv (40)
Stay plates lv (40)
Stay vimble (100)
End caps (50)
6×6 lugs (100)
12×12 lugs (100)
Pole tops lv (40)
Pig tails M16 (60)
Pig tails M12 (80)
Cable ties 4 pockets (400)
Steel saddles (200)
U nailes (4kg)
Steel nails (2kg)
6 mm earth wire (300m)
Eye nuts M16 (100)
Guader bolts (100)
Guy grips lv (120)</t>
  </si>
  <si>
    <t xml:space="preserve">LeomaJopi </t>
  </si>
  <si>
    <t>Pole top LV (40)
Stay plates LV (33)
Stay rods LV (33)
Guy grips Lv (100)
Pigtails M16 (40)
              M12 (80)
Eye nut M16(100)
ABC stainers (50)
Cable tie (4pts)
Tjunctions (86)
6mm Earth 100*2
U nails 4pts 
End caps (84)
Steel nails 1pt
Earth spikes 1.2m (60)
PVC conduits 20mm(14)
                         59mm(1)
Bundle conductor (1706m)</t>
  </si>
  <si>
    <t xml:space="preserve">ABC (bundle) 1706M
Airdac 1000M
Stay plates LV (40)
Stay rods LV (40)
Guy grips LV (120)
Earth spikes 1.2M (80)
Bold and nuts 6mm (100)
Lugs 6*8mm (120)
Earth spikes clamps (200)
Poletop LV (40)
Strainers LV (100)
Strainers Airdac (240)
U-nails 4packets
Steel nail 4packets 
Cable ties big (6)
Cable ties small (4)
Pigtails M16 (120)
Pigtails M12 (160)
</t>
  </si>
  <si>
    <t>Monaheng Rethabile</t>
  </si>
  <si>
    <t>makoetje@1pwrafrica.com</t>
  </si>
  <si>
    <t>Lebusa Makoetje</t>
  </si>
  <si>
    <t>Strapping 5boxes
U-nail 3packets
Buckles 300 ea
ABC strainers 100 ea
Airdac strainers 240 ea
Pole top make-off 56 LV, ea
ABC suspension 12 ea
Airdac 1000m
20mm steel conduit 20ea
Earth spike 1.2m 160pcs
20mm T-junction 80pcs
6mm earthing wire 100m
Earth spike clamp 160
ABC Bundle 3412m</t>
  </si>
  <si>
    <t>makhoalinyanetseko@gmail.com</t>
  </si>
  <si>
    <t>MC4s *8</t>
  </si>
  <si>
    <t>Earth spike *4,U nails 1kg,cable ties*100,6mm *100m, binding strap* 30m,buckles * 8, earth sticks clamps *8</t>
  </si>
  <si>
    <t>Jopi@1pwrafrica.com</t>
  </si>
  <si>
    <t>Airdac (2) rolls</t>
  </si>
  <si>
    <t xml:space="preserve">20mm saddle (1 pkt) </t>
  </si>
  <si>
    <t>Cable ties(6 packets)
Lv stay insulator(50)</t>
  </si>
  <si>
    <t>Mahlehla@1pwrafrica.com</t>
  </si>
  <si>
    <t>Katleho Thakholi</t>
  </si>
  <si>
    <t>Meter box single channel, MAS 073 , containing meter with number SMRSD-04-0002FD55 and another meter box MAS -078 Containing meter with number  SMRSD-04-00029907</t>
  </si>
  <si>
    <t>Diesel heater(2) tag numbets 1PWR00554 &amp; 1PWR00547
Diesel fuel mixture 20L x2</t>
  </si>
  <si>
    <t xml:space="preserve">Pigtale screws 50
Gutter bolt and nuts 100
Square washer M16 *20
M16 nuts*60
Guy grip lv*100
201 TTDs *80
151 TTD*80
Steel nail*2 packets
3packet cable ties
35mm lugs(pre insulated)*1packet
</t>
  </si>
  <si>
    <t>Ralekaota@1pwrafrica.com</t>
  </si>
  <si>
    <t xml:space="preserve">Pig tale screws 60
Square washer M16 *20 (100)
M16 nuts*(100)
201 TTDs (40)
151 TTD (200)
Lv Stay wire (100M)
20mm Conduit PVC (25)
25mm Conduit pvc(1)
Tie strap (2 packets)
Bugles(1packet)
</t>
  </si>
  <si>
    <t>Bundle*1700m
Airdac *1
Lv bracket*1
Lv(ABC) suspension *50</t>
  </si>
  <si>
    <t xml:space="preserve">Ralekaota@1pwrafrica.com </t>
  </si>
  <si>
    <t>Timestamp</t>
  </si>
  <si>
    <t>Response Id</t>
  </si>
  <si>
    <t>Request #</t>
  </si>
  <si>
    <t>Revision #</t>
  </si>
  <si>
    <t>Overall Status</t>
  </si>
  <si>
    <t>Requestor</t>
  </si>
  <si>
    <t>Edit Response Url</t>
  </si>
  <si>
    <t>Total Recipients</t>
  </si>
  <si>
    <t>Participant Ids</t>
  </si>
  <si>
    <t>Recipient 1</t>
  </si>
  <si>
    <t>Recipient 1 Status</t>
  </si>
  <si>
    <t>Recipient 1 Issue Date</t>
  </si>
  <si>
    <t>Recipient 1 Response Date</t>
  </si>
  <si>
    <t>Recipient 1 Comment</t>
  </si>
  <si>
    <t>Recipient 1 Settings</t>
  </si>
  <si>
    <t>Recipient 2</t>
  </si>
  <si>
    <t>Recipient 2 Status</t>
  </si>
  <si>
    <t>Recipient 2 Issue Date</t>
  </si>
  <si>
    <t>Recipient 2 Response Date</t>
  </si>
  <si>
    <t>Recipient 2 Comment</t>
  </si>
  <si>
    <t>Recipient 2 Settings</t>
  </si>
  <si>
    <t>Recipient 3</t>
  </si>
  <si>
    <t>Recipient 3 Status</t>
  </si>
  <si>
    <t>Recipient 3 Issue Date</t>
  </si>
  <si>
    <t>Recipient 3 Response Date</t>
  </si>
  <si>
    <t>Recipient 3 Comment</t>
  </si>
  <si>
    <t>Recipient 3 Settings</t>
  </si>
  <si>
    <t>Recipient 4</t>
  </si>
  <si>
    <t>Recipient 4 Status</t>
  </si>
  <si>
    <t>Recipient 4 Issue Date</t>
  </si>
  <si>
    <t>Recipient 4 Response Date</t>
  </si>
  <si>
    <t>Recipient 4 Comment</t>
  </si>
  <si>
    <t>Recipient 4 Settings</t>
  </si>
  <si>
    <t>Recipient 5</t>
  </si>
  <si>
    <t>Recipient 5 Status</t>
  </si>
  <si>
    <t>Recipient 5 Issue Date</t>
  </si>
  <si>
    <t>Recipient 5 Response Date</t>
  </si>
  <si>
    <t>Recipient 5 Comment</t>
  </si>
  <si>
    <t>Recipient 5 Settings</t>
  </si>
  <si>
    <t>Recipient 6</t>
  </si>
  <si>
    <t>Recipient 6 Status</t>
  </si>
  <si>
    <t>Recipient 6 Issue Date</t>
  </si>
  <si>
    <t>Recipient 6 Response Date</t>
  </si>
  <si>
    <t>Recipient 6 Comment</t>
  </si>
  <si>
    <t>Recipient 6 Settings</t>
  </si>
  <si>
    <t>Recipient 7</t>
  </si>
  <si>
    <t>Recipient 7 Status</t>
  </si>
  <si>
    <t>Recipient 7 Issue Date</t>
  </si>
  <si>
    <t>Recipient 7 Response Date</t>
  </si>
  <si>
    <t>Recipient 7 Comment</t>
  </si>
  <si>
    <t>Recipient 7 Settings</t>
  </si>
  <si>
    <t>Recipient 8</t>
  </si>
  <si>
    <t>Recipient 8 Status</t>
  </si>
  <si>
    <t>Recipient 8 Issue Date</t>
  </si>
  <si>
    <t>Recipient 8 Response Date</t>
  </si>
  <si>
    <t>Recipient 8 Comment</t>
  </si>
  <si>
    <t>Recipient 8 Settings</t>
  </si>
  <si>
    <t>Recipient 9</t>
  </si>
  <si>
    <t>Recipient 9 Status</t>
  </si>
  <si>
    <t>Recipient 9 Issue Date</t>
  </si>
  <si>
    <t>Recipient 9 Response Date</t>
  </si>
  <si>
    <t>Recipient 9 Comment</t>
  </si>
  <si>
    <t>Recipient 9 Settings</t>
  </si>
  <si>
    <t>Recipient 10</t>
  </si>
  <si>
    <t>Recipient 10 Status</t>
  </si>
  <si>
    <t>Recipient 10 Issue Date</t>
  </si>
  <si>
    <t>Recipient 10 Response Date</t>
  </si>
  <si>
    <t>Recipient 10 Comment</t>
  </si>
  <si>
    <t>Recipient 10 Settings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</si>
</sst>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5">
    <font>
      <sz val="10.0"/>
      <color rgb="FF000000"/>
      <name val="Arial"/>
      <scheme val="minor"/>
    </font>
    <font>
      <b/>
      <color theme="1"/>
      <name val="Arial"/>
      <scheme val="minor"/>
    </font>
    <font>
      <color theme="1"/>
      <name val="Arial"/>
      <scheme val="minor"/>
    </font>
    <font>
      <sz val="12.0"/>
      <color rgb="FF000000"/>
      <name val="&quot;Times New Roman&quot;"/>
    </font>
    <font>
      <color rgb="FFFFFFFF"/>
      <name val="Arial"/>
      <scheme val="minor"/>
    </font>
  </fonts>
  <fills count="4">
    <fill>
      <patternFill patternType="none"/>
    </fill>
    <fill>
      <patternFill patternType="lightGray"/>
    </fill>
    <fill>
      <patternFill patternType="solid">
        <fgColor rgb="FFFFFFFF"/>
        <bgColor rgb="FFFFFFFF"/>
      </patternFill>
    </fill>
    <fill>
      <patternFill patternType="solid">
        <fgColor rgb="FF607D8B"/>
        <bgColor rgb="FF607D8B"/>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xf>
    <xf borderId="0" fillId="0" fontId="2" numFmtId="0" xfId="0" applyAlignment="1" applyFont="1">
      <alignment readingOrder="0"/>
    </xf>
    <xf borderId="0" fillId="0" fontId="2" numFmtId="0" xfId="0" applyFont="1"/>
    <xf borderId="0" fillId="0" fontId="2" numFmtId="0" xfId="0" applyAlignment="1" applyFont="1">
      <alignment readingOrder="0" shrinkToFit="0" wrapText="1"/>
    </xf>
    <xf borderId="0" fillId="2" fontId="3" numFmtId="0" xfId="0" applyAlignment="1" applyFill="1" applyFont="1">
      <alignment readingOrder="0" shrinkToFit="0" vertical="bottom" wrapText="0"/>
    </xf>
    <xf borderId="0" fillId="0" fontId="2" numFmtId="0" xfId="0" applyAlignment="1" applyFont="1">
      <alignment horizontal="center" readingOrder="0"/>
    </xf>
    <xf borderId="0" fillId="0" fontId="1" numFmtId="0" xfId="0" applyAlignment="1" applyFont="1">
      <alignment horizontal="center"/>
    </xf>
    <xf borderId="0" fillId="0" fontId="1" numFmtId="0" xfId="0" applyAlignment="1" applyFont="1">
      <alignment horizontal="center" shrinkToFit="0" wrapText="1"/>
    </xf>
    <xf borderId="0" fillId="0" fontId="2" numFmtId="164" xfId="0" applyAlignment="1" applyFont="1" applyNumberFormat="1">
      <alignment readingOrder="0"/>
    </xf>
    <xf borderId="0" fillId="0" fontId="2" numFmtId="14" xfId="0" applyAlignment="1" applyFont="1" applyNumberFormat="1">
      <alignment readingOrder="0"/>
    </xf>
    <xf borderId="0" fillId="0" fontId="2" numFmtId="0" xfId="0" applyAlignment="1" applyFont="1">
      <alignment shrinkToFit="0" wrapText="1"/>
    </xf>
    <xf borderId="0" fillId="3" fontId="4"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31.88"/>
    <col customWidth="1" min="2" max="2" width="35.88"/>
    <col customWidth="1" min="3" max="4" width="15.0"/>
    <col customWidth="1" min="5" max="5" width="21.13"/>
    <col customWidth="1" min="6" max="6" width="4.38"/>
    <col customWidth="1" min="7" max="7" width="4.13"/>
    <col customWidth="1" min="8" max="8" width="4.63"/>
    <col customWidth="1" min="9" max="9" width="4.5"/>
    <col customWidth="1" min="10" max="10" width="4.13"/>
    <col customWidth="1" min="11" max="11" width="3.75"/>
    <col customWidth="1" min="12" max="12" width="6.0"/>
    <col customWidth="1" min="13" max="13" width="4.25"/>
    <col customWidth="1" min="14" max="14" width="4.38"/>
    <col customWidth="1" min="15" max="15" width="4.25"/>
    <col customWidth="1" min="16" max="17" width="4.75"/>
    <col customWidth="1" min="18" max="18" width="4.5"/>
    <col customWidth="1" min="19" max="19" width="4.63"/>
    <col customWidth="1" min="20" max="20" width="10.25"/>
    <col customWidth="1" min="21" max="23" width="12.63"/>
    <col customWidth="1" min="24" max="24" width="21.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2"/>
      <c r="Z1" s="2"/>
      <c r="AA1" s="2"/>
      <c r="AB1" s="2"/>
      <c r="AC1" s="2"/>
      <c r="AD1" s="2"/>
      <c r="AE1" s="2"/>
    </row>
    <row r="2" hidden="1">
      <c r="A2" s="3" t="s">
        <v>24</v>
      </c>
      <c r="B2" s="3" t="s">
        <v>25</v>
      </c>
      <c r="C2" s="3" t="s">
        <v>26</v>
      </c>
      <c r="D2" s="3">
        <f>39+36+163+50+1096</f>
        <v>1384</v>
      </c>
      <c r="E2" s="4">
        <f t="shared" ref="E2:E115" si="1">D2-(SUM(F2:W2))</f>
        <v>951</v>
      </c>
      <c r="F2" s="3">
        <f>2+30+5</f>
        <v>37</v>
      </c>
      <c r="G2" s="3">
        <v>3.0</v>
      </c>
      <c r="H2" s="4">
        <f>57+32</f>
        <v>89</v>
      </c>
      <c r="I2" s="3">
        <f>2+12+55</f>
        <v>69</v>
      </c>
      <c r="L2" s="3">
        <f>4+2+26</f>
        <v>32</v>
      </c>
      <c r="M2" s="3">
        <f>10+10+40</f>
        <v>60</v>
      </c>
      <c r="N2" s="3">
        <f>10+20+40</f>
        <v>70</v>
      </c>
      <c r="O2" s="3">
        <f>20</f>
        <v>20</v>
      </c>
      <c r="P2" s="3">
        <f>18+1+33</f>
        <v>52</v>
      </c>
      <c r="T2" s="4">
        <f>1</f>
        <v>1</v>
      </c>
    </row>
    <row r="3" hidden="1">
      <c r="A3" s="3" t="s">
        <v>27</v>
      </c>
      <c r="B3" s="3" t="s">
        <v>28</v>
      </c>
      <c r="C3" s="3" t="s">
        <v>29</v>
      </c>
      <c r="D3" s="3">
        <f>1000+1500+17000+19532</f>
        <v>39032</v>
      </c>
      <c r="E3" s="4">
        <f t="shared" si="1"/>
        <v>25492</v>
      </c>
      <c r="F3" s="3">
        <f>500+1500</f>
        <v>2000</v>
      </c>
      <c r="G3" s="4">
        <f>500</f>
        <v>500</v>
      </c>
      <c r="H3" s="3">
        <f>500+500+500+1500+1000</f>
        <v>4000</v>
      </c>
      <c r="I3" s="4">
        <f>1500</f>
        <v>1500</v>
      </c>
      <c r="L3" s="3">
        <f>2000+500</f>
        <v>2500</v>
      </c>
      <c r="M3" s="3">
        <f>500+1000</f>
        <v>1500</v>
      </c>
      <c r="N3" s="4">
        <f>1000+500</f>
        <v>1500</v>
      </c>
      <c r="P3" s="4">
        <f>40</f>
        <v>40</v>
      </c>
    </row>
    <row r="4" hidden="1">
      <c r="A4" s="3" t="s">
        <v>30</v>
      </c>
      <c r="B4" s="3" t="s">
        <v>28</v>
      </c>
      <c r="C4" s="3" t="s">
        <v>29</v>
      </c>
      <c r="D4" s="3">
        <f>1350+300+2100</f>
        <v>3750</v>
      </c>
      <c r="E4" s="4">
        <f t="shared" si="1"/>
        <v>1100</v>
      </c>
      <c r="F4" s="3">
        <f t="shared" ref="F4:G4" si="2">200+100</f>
        <v>300</v>
      </c>
      <c r="G4" s="3">
        <f t="shared" si="2"/>
        <v>300</v>
      </c>
      <c r="H4" s="3">
        <f>200</f>
        <v>200</v>
      </c>
      <c r="I4" s="3">
        <f>100+100</f>
        <v>200</v>
      </c>
      <c r="L4" s="3">
        <f>200+50+200</f>
        <v>450</v>
      </c>
      <c r="M4" s="3">
        <f t="shared" ref="M4:O4" si="3">200</f>
        <v>200</v>
      </c>
      <c r="N4" s="3">
        <f t="shared" si="3"/>
        <v>200</v>
      </c>
      <c r="O4" s="3">
        <f t="shared" si="3"/>
        <v>200</v>
      </c>
      <c r="P4" s="4">
        <f>200+300</f>
        <v>500</v>
      </c>
      <c r="V4" s="3">
        <v>100.0</v>
      </c>
    </row>
    <row r="5" hidden="1">
      <c r="A5" s="3" t="s">
        <v>31</v>
      </c>
      <c r="B5" s="3" t="s">
        <v>32</v>
      </c>
      <c r="C5" s="3" t="s">
        <v>26</v>
      </c>
      <c r="D5" s="3">
        <v>339.0</v>
      </c>
      <c r="E5" s="4">
        <f t="shared" si="1"/>
        <v>47</v>
      </c>
      <c r="F5" s="3">
        <v>5.0</v>
      </c>
      <c r="G5" s="3">
        <v>25.0</v>
      </c>
      <c r="H5" s="3">
        <v>200.0</v>
      </c>
      <c r="L5" s="3">
        <f>3+24</f>
        <v>27</v>
      </c>
      <c r="M5" s="3">
        <v>8.0</v>
      </c>
      <c r="P5" s="3">
        <f>4+20</f>
        <v>24</v>
      </c>
      <c r="U5" s="3"/>
      <c r="V5" s="3"/>
      <c r="W5" s="3">
        <v>3.0</v>
      </c>
    </row>
    <row r="6" hidden="1">
      <c r="A6" s="3" t="s">
        <v>31</v>
      </c>
      <c r="B6" s="3" t="s">
        <v>33</v>
      </c>
      <c r="C6" s="3" t="s">
        <v>26</v>
      </c>
      <c r="D6" s="3">
        <v>56.0</v>
      </c>
      <c r="E6" s="4">
        <f t="shared" si="1"/>
        <v>0</v>
      </c>
      <c r="F6" s="3">
        <v>5.0</v>
      </c>
      <c r="G6" s="3">
        <v>5.0</v>
      </c>
      <c r="H6" s="3">
        <f>22+10</f>
        <v>32</v>
      </c>
      <c r="I6" s="3">
        <v>8.0</v>
      </c>
      <c r="P6" s="3">
        <f>1+1+3</f>
        <v>5</v>
      </c>
      <c r="U6" s="3"/>
      <c r="V6" s="3"/>
      <c r="W6" s="3">
        <v>1.0</v>
      </c>
    </row>
    <row r="7" hidden="1">
      <c r="A7" s="3" t="s">
        <v>31</v>
      </c>
      <c r="B7" s="3" t="s">
        <v>34</v>
      </c>
      <c r="C7" s="3" t="s">
        <v>26</v>
      </c>
      <c r="D7" s="3">
        <v>3.0</v>
      </c>
      <c r="E7" s="4">
        <f t="shared" si="1"/>
        <v>3</v>
      </c>
      <c r="F7" s="3"/>
      <c r="G7" s="3"/>
      <c r="H7" s="3"/>
      <c r="I7" s="3"/>
      <c r="P7" s="3"/>
      <c r="U7" s="3"/>
      <c r="V7" s="3"/>
      <c r="W7" s="3"/>
    </row>
    <row r="8" hidden="1">
      <c r="A8" s="3" t="s">
        <v>35</v>
      </c>
      <c r="B8" s="3" t="s">
        <v>36</v>
      </c>
      <c r="C8" s="3" t="s">
        <v>26</v>
      </c>
      <c r="D8" s="3">
        <f>80+382</f>
        <v>462</v>
      </c>
      <c r="E8" s="4">
        <f t="shared" si="1"/>
        <v>402</v>
      </c>
      <c r="F8" s="3"/>
      <c r="G8" s="3"/>
      <c r="H8" s="3"/>
      <c r="I8" s="3"/>
      <c r="N8" s="4">
        <f>20</f>
        <v>20</v>
      </c>
      <c r="P8" s="3">
        <f>40</f>
        <v>40</v>
      </c>
      <c r="U8" s="3"/>
      <c r="V8" s="3"/>
      <c r="W8" s="3"/>
    </row>
    <row r="9" hidden="1">
      <c r="A9" s="3" t="s">
        <v>37</v>
      </c>
      <c r="B9" s="3" t="s">
        <v>38</v>
      </c>
      <c r="C9" s="3" t="s">
        <v>29</v>
      </c>
      <c r="D9" s="3">
        <f>14500+20466+3300+1000</f>
        <v>39266</v>
      </c>
      <c r="E9" s="4">
        <f t="shared" si="1"/>
        <v>9760</v>
      </c>
      <c r="F9" s="4">
        <f>5000+500</f>
        <v>5500</v>
      </c>
      <c r="H9" s="3">
        <f>2000+1500+1706</f>
        <v>5206</v>
      </c>
      <c r="I9" s="3">
        <f>2000+500+500+300+500+1706</f>
        <v>5506</v>
      </c>
      <c r="L9" s="3">
        <f>3000+1000+500</f>
        <v>4500</v>
      </c>
      <c r="M9" s="4">
        <f>1706</f>
        <v>1706</v>
      </c>
      <c r="N9" s="4">
        <f>3412+1700</f>
        <v>5112</v>
      </c>
      <c r="P9" s="3">
        <f>70+200+1706</f>
        <v>1976</v>
      </c>
    </row>
    <row r="10" hidden="1">
      <c r="A10" s="3" t="s">
        <v>39</v>
      </c>
      <c r="B10" s="3" t="s">
        <v>40</v>
      </c>
      <c r="C10" s="3" t="s">
        <v>26</v>
      </c>
      <c r="D10" s="3">
        <f>18+167+27+1650</f>
        <v>1862</v>
      </c>
      <c r="E10" s="4">
        <f t="shared" si="1"/>
        <v>1400</v>
      </c>
      <c r="F10" s="4">
        <f>12+5</f>
        <v>17</v>
      </c>
      <c r="H10" s="3">
        <f>8+20+12+15</f>
        <v>55</v>
      </c>
      <c r="I10" s="3">
        <f>102+12</f>
        <v>114</v>
      </c>
      <c r="L10" s="3">
        <f>6+17</f>
        <v>23</v>
      </c>
      <c r="M10" s="4">
        <f t="shared" ref="M10:N10" si="4">100</f>
        <v>100</v>
      </c>
      <c r="N10" s="4">
        <f t="shared" si="4"/>
        <v>100</v>
      </c>
      <c r="P10" s="3">
        <f>3+50</f>
        <v>53</v>
      </c>
    </row>
    <row r="11" ht="21.0" hidden="1" customHeight="1">
      <c r="A11" s="3" t="s">
        <v>41</v>
      </c>
      <c r="B11" s="3" t="s">
        <v>42</v>
      </c>
      <c r="C11" s="3" t="s">
        <v>26</v>
      </c>
      <c r="D11" s="3">
        <f>98+346</f>
        <v>444</v>
      </c>
      <c r="E11" s="4">
        <f t="shared" si="1"/>
        <v>294</v>
      </c>
      <c r="F11" s="4">
        <f>12</f>
        <v>12</v>
      </c>
      <c r="H11" s="3">
        <v>30.0</v>
      </c>
      <c r="L11" s="3">
        <f>68+30</f>
        <v>98</v>
      </c>
      <c r="P11" s="4">
        <f>10</f>
        <v>10</v>
      </c>
    </row>
    <row r="12" hidden="1">
      <c r="A12" s="3" t="s">
        <v>41</v>
      </c>
      <c r="B12" s="3" t="s">
        <v>43</v>
      </c>
      <c r="C12" s="3" t="s">
        <v>26</v>
      </c>
      <c r="D12" s="3">
        <f>45+1074+400+4833</f>
        <v>6352</v>
      </c>
      <c r="E12" s="4">
        <f t="shared" si="1"/>
        <v>4434</v>
      </c>
      <c r="F12" s="3">
        <f>30+20+120+60</f>
        <v>230</v>
      </c>
      <c r="G12" s="4">
        <f>10</f>
        <v>10</v>
      </c>
      <c r="H12" s="3">
        <f>40+20+10+100+50+120</f>
        <v>340</v>
      </c>
      <c r="I12" s="3">
        <f>60+250+23+120</f>
        <v>453</v>
      </c>
      <c r="L12" s="4">
        <f>20+200</f>
        <v>220</v>
      </c>
      <c r="M12" s="4">
        <f>10+240</f>
        <v>250</v>
      </c>
      <c r="N12" s="4">
        <f>240</f>
        <v>240</v>
      </c>
      <c r="P12" s="3">
        <f>15+120+40</f>
        <v>175</v>
      </c>
    </row>
    <row r="13" hidden="1">
      <c r="A13" s="3" t="s">
        <v>44</v>
      </c>
      <c r="B13" s="3" t="s">
        <v>45</v>
      </c>
      <c r="C13" s="3" t="s">
        <v>29</v>
      </c>
      <c r="D13" s="3">
        <f>36+30+376</f>
        <v>442</v>
      </c>
      <c r="E13" s="4">
        <f t="shared" si="1"/>
        <v>0</v>
      </c>
      <c r="F13" s="3">
        <f>8+50</f>
        <v>58</v>
      </c>
      <c r="H13" s="3">
        <f>22+30</f>
        <v>52</v>
      </c>
      <c r="L13" s="3">
        <f>71+60+70+100</f>
        <v>301</v>
      </c>
      <c r="P13" s="3">
        <f>1+30</f>
        <v>31</v>
      </c>
    </row>
    <row r="14" hidden="1">
      <c r="A14" s="3" t="s">
        <v>46</v>
      </c>
      <c r="B14" s="3" t="s">
        <v>47</v>
      </c>
      <c r="C14" s="3" t="s">
        <v>26</v>
      </c>
      <c r="D14" s="3">
        <f>81+52+48+307</f>
        <v>488</v>
      </c>
      <c r="E14" s="4">
        <f t="shared" si="1"/>
        <v>308</v>
      </c>
      <c r="F14" s="3">
        <f>2+8</f>
        <v>10</v>
      </c>
      <c r="I14" s="3">
        <v>23.0</v>
      </c>
      <c r="L14" s="3">
        <f>56+2+26+10</f>
        <v>94</v>
      </c>
      <c r="M14" s="3">
        <f>18+10</f>
        <v>28</v>
      </c>
      <c r="P14" s="3">
        <f>4+20+1</f>
        <v>25</v>
      </c>
    </row>
    <row r="15" hidden="1">
      <c r="A15" s="3" t="s">
        <v>48</v>
      </c>
      <c r="B15" s="3" t="s">
        <v>49</v>
      </c>
      <c r="C15" s="3" t="s">
        <v>26</v>
      </c>
      <c r="D15" s="3">
        <f>42+247+50+1096</f>
        <v>1435</v>
      </c>
      <c r="E15" s="4">
        <f t="shared" si="1"/>
        <v>961</v>
      </c>
      <c r="F15" s="3">
        <f>12+30+5</f>
        <v>47</v>
      </c>
      <c r="H15" s="4">
        <f>22+10+32</f>
        <v>64</v>
      </c>
      <c r="I15" s="3">
        <f>5+23+14</f>
        <v>42</v>
      </c>
      <c r="L15" s="3">
        <f>110+20+2+23+13</f>
        <v>168</v>
      </c>
      <c r="M15" s="4">
        <f>40</f>
        <v>40</v>
      </c>
      <c r="N15" s="4">
        <f>8+40</f>
        <v>48</v>
      </c>
      <c r="P15" s="3">
        <f>2+30+33</f>
        <v>65</v>
      </c>
    </row>
    <row r="16" hidden="1">
      <c r="A16" s="3" t="s">
        <v>48</v>
      </c>
      <c r="B16" s="3" t="s">
        <v>50</v>
      </c>
      <c r="C16" s="3" t="s">
        <v>26</v>
      </c>
      <c r="D16" s="3">
        <f>13+26</f>
        <v>39</v>
      </c>
      <c r="E16" s="4">
        <f t="shared" si="1"/>
        <v>28</v>
      </c>
      <c r="L16" s="4">
        <f>1</f>
        <v>1</v>
      </c>
      <c r="P16" s="3">
        <v>10.0</v>
      </c>
    </row>
    <row r="17" hidden="1">
      <c r="A17" s="3" t="s">
        <v>51</v>
      </c>
      <c r="B17" s="3" t="s">
        <v>52</v>
      </c>
      <c r="C17" s="3" t="s">
        <v>26</v>
      </c>
      <c r="D17" s="3">
        <f>50+100+50</f>
        <v>200</v>
      </c>
      <c r="E17" s="4">
        <f t="shared" si="1"/>
        <v>13</v>
      </c>
      <c r="F17" s="3">
        <v>28.0</v>
      </c>
      <c r="H17" s="3">
        <v>17.0</v>
      </c>
      <c r="L17" s="3">
        <f>10+100</f>
        <v>110</v>
      </c>
      <c r="P17" s="3">
        <f>2+30</f>
        <v>32</v>
      </c>
    </row>
    <row r="18" hidden="1">
      <c r="A18" s="3" t="s">
        <v>53</v>
      </c>
      <c r="B18" s="3" t="s">
        <v>54</v>
      </c>
      <c r="C18" s="3" t="s">
        <v>26</v>
      </c>
      <c r="D18" s="4">
        <f>3+77+16+123</f>
        <v>219</v>
      </c>
      <c r="E18" s="4">
        <f t="shared" si="1"/>
        <v>193</v>
      </c>
      <c r="F18" s="4">
        <f>1+5</f>
        <v>6</v>
      </c>
      <c r="I18" s="4">
        <f>1</f>
        <v>1</v>
      </c>
      <c r="L18" s="4">
        <f>1+5+1</f>
        <v>7</v>
      </c>
      <c r="M18" s="4">
        <f>2</f>
        <v>2</v>
      </c>
      <c r="N18" s="4">
        <f>4</f>
        <v>4</v>
      </c>
      <c r="P18" s="3">
        <f>1+5</f>
        <v>6</v>
      </c>
    </row>
    <row r="19" hidden="1">
      <c r="A19" s="3" t="s">
        <v>55</v>
      </c>
      <c r="C19" s="3" t="s">
        <v>26</v>
      </c>
      <c r="D19" s="3">
        <f>24</f>
        <v>24</v>
      </c>
      <c r="E19" s="4">
        <f t="shared" si="1"/>
        <v>0</v>
      </c>
      <c r="F19" s="3">
        <v>2.0</v>
      </c>
      <c r="L19" s="3">
        <v>20.0</v>
      </c>
      <c r="P19" s="3">
        <f>1+1</f>
        <v>2</v>
      </c>
    </row>
    <row r="20" hidden="1">
      <c r="A20" s="3" t="s">
        <v>56</v>
      </c>
      <c r="C20" s="3" t="s">
        <v>26</v>
      </c>
      <c r="D20" s="3">
        <f>37+54</f>
        <v>91</v>
      </c>
      <c r="E20" s="4">
        <f t="shared" si="1"/>
        <v>50</v>
      </c>
      <c r="L20" s="4">
        <f>5+5</f>
        <v>10</v>
      </c>
      <c r="N20" s="4">
        <f>5</f>
        <v>5</v>
      </c>
      <c r="P20" s="3">
        <f>12+12+2</f>
        <v>26</v>
      </c>
    </row>
    <row r="21" hidden="1">
      <c r="A21" s="3" t="s">
        <v>57</v>
      </c>
      <c r="B21" s="3" t="s">
        <v>58</v>
      </c>
      <c r="C21" s="3" t="s">
        <v>26</v>
      </c>
      <c r="D21" s="3">
        <f>10+122+31+78+450+7057</f>
        <v>7748</v>
      </c>
      <c r="E21" s="4">
        <f t="shared" si="1"/>
        <v>6762</v>
      </c>
      <c r="F21" s="3">
        <v>100.0</v>
      </c>
      <c r="H21" s="3">
        <f>77+30</f>
        <v>107</v>
      </c>
      <c r="I21" s="3">
        <f>9+62+200</f>
        <v>271</v>
      </c>
      <c r="L21" s="3">
        <f>20+8</f>
        <v>28</v>
      </c>
      <c r="M21" s="4">
        <f>1</f>
        <v>1</v>
      </c>
      <c r="N21" s="4">
        <f>300</f>
        <v>300</v>
      </c>
      <c r="P21" s="3">
        <f>8+11+10+150</f>
        <v>179</v>
      </c>
    </row>
    <row r="22" hidden="1">
      <c r="A22" s="3" t="s">
        <v>59</v>
      </c>
      <c r="C22" s="3" t="s">
        <v>26</v>
      </c>
      <c r="D22" s="3">
        <v>28.0</v>
      </c>
      <c r="E22" s="4">
        <f t="shared" si="1"/>
        <v>0</v>
      </c>
      <c r="I22" s="3">
        <v>4.0</v>
      </c>
      <c r="P22" s="3">
        <v>24.0</v>
      </c>
    </row>
    <row r="23" hidden="1">
      <c r="A23" s="3" t="s">
        <v>60</v>
      </c>
      <c r="B23" s="3" t="s">
        <v>61</v>
      </c>
      <c r="C23" s="3" t="s">
        <v>62</v>
      </c>
      <c r="D23" s="3">
        <f>22+7+2+47+30+10</f>
        <v>118</v>
      </c>
      <c r="E23" s="4">
        <f t="shared" si="1"/>
        <v>12</v>
      </c>
      <c r="F23" s="3">
        <f>2+2+5</f>
        <v>9</v>
      </c>
      <c r="H23" s="3">
        <f>5+5+6</f>
        <v>16</v>
      </c>
      <c r="I23" s="3">
        <f>2+2+4</f>
        <v>8</v>
      </c>
      <c r="L23" s="3">
        <f>3+8+3+18+1</f>
        <v>33</v>
      </c>
      <c r="M23" s="4">
        <f>1+10</f>
        <v>11</v>
      </c>
      <c r="N23" s="4">
        <f>5+4+3</f>
        <v>12</v>
      </c>
      <c r="P23" s="4">
        <f>2+10+4</f>
        <v>16</v>
      </c>
      <c r="T23" s="3">
        <v>1.0</v>
      </c>
    </row>
    <row r="24" hidden="1">
      <c r="A24" s="3" t="s">
        <v>63</v>
      </c>
      <c r="B24" s="3" t="s">
        <v>64</v>
      </c>
      <c r="C24" s="3" t="s">
        <v>26</v>
      </c>
      <c r="D24" s="3">
        <f>232+80</f>
        <v>312</v>
      </c>
      <c r="E24" s="4">
        <f t="shared" si="1"/>
        <v>0</v>
      </c>
      <c r="F24" s="3">
        <v>12.0</v>
      </c>
      <c r="H24" s="3">
        <f>18+38</f>
        <v>56</v>
      </c>
      <c r="I24" s="3">
        <v>66.0</v>
      </c>
      <c r="L24" s="3">
        <f>91+10</f>
        <v>101</v>
      </c>
      <c r="M24" s="3">
        <v>45.0</v>
      </c>
      <c r="P24" s="3">
        <f>6+26</f>
        <v>32</v>
      </c>
    </row>
    <row r="25" hidden="1">
      <c r="A25" s="3" t="s">
        <v>65</v>
      </c>
      <c r="B25" s="3" t="s">
        <v>66</v>
      </c>
      <c r="C25" s="3" t="s">
        <v>26</v>
      </c>
      <c r="D25" s="3">
        <f>129</f>
        <v>129</v>
      </c>
      <c r="E25" s="4">
        <f t="shared" si="1"/>
        <v>0</v>
      </c>
      <c r="H25" s="3">
        <v>18.0</v>
      </c>
      <c r="I25" s="3">
        <v>66.0</v>
      </c>
      <c r="M25" s="3">
        <v>45.0</v>
      </c>
    </row>
    <row r="26" hidden="1">
      <c r="A26" s="3" t="s">
        <v>67</v>
      </c>
      <c r="B26" s="3" t="s">
        <v>68</v>
      </c>
      <c r="C26" s="3" t="s">
        <v>26</v>
      </c>
      <c r="D26" s="3">
        <f>600+280</f>
        <v>880</v>
      </c>
      <c r="E26" s="4">
        <f t="shared" si="1"/>
        <v>360</v>
      </c>
      <c r="H26" s="3">
        <v>280.0</v>
      </c>
      <c r="I26" s="3">
        <v>200.0</v>
      </c>
      <c r="P26" s="3">
        <v>40.0</v>
      </c>
    </row>
    <row r="27" hidden="1">
      <c r="A27" s="3" t="s">
        <v>69</v>
      </c>
      <c r="B27" s="3" t="s">
        <v>70</v>
      </c>
      <c r="C27" s="3" t="s">
        <v>26</v>
      </c>
      <c r="D27" s="3">
        <f>69+80</f>
        <v>149</v>
      </c>
      <c r="E27" s="4">
        <f t="shared" si="1"/>
        <v>52</v>
      </c>
      <c r="F27" s="4">
        <f>4+8</f>
        <v>12</v>
      </c>
      <c r="H27" s="3">
        <f>2+21</f>
        <v>23</v>
      </c>
      <c r="I27" s="3">
        <f>2+18</f>
        <v>20</v>
      </c>
      <c r="L27" s="4">
        <f>22+20</f>
        <v>42</v>
      </c>
    </row>
    <row r="28" hidden="1">
      <c r="A28" s="3" t="s">
        <v>71</v>
      </c>
      <c r="B28" s="3" t="s">
        <v>71</v>
      </c>
      <c r="C28" s="3" t="s">
        <v>26</v>
      </c>
      <c r="D28" s="3">
        <f>730+200+388</f>
        <v>1318</v>
      </c>
      <c r="E28" s="4">
        <f t="shared" si="1"/>
        <v>575</v>
      </c>
      <c r="H28" s="3">
        <v>130.0</v>
      </c>
      <c r="L28" s="3">
        <f>600+10</f>
        <v>610</v>
      </c>
      <c r="P28" s="4">
        <f>2</f>
        <v>2</v>
      </c>
      <c r="T28" s="3">
        <v>1.0</v>
      </c>
    </row>
    <row r="29" ht="21.0" hidden="1" customHeight="1">
      <c r="A29" s="3" t="s">
        <v>72</v>
      </c>
      <c r="B29" s="3" t="s">
        <v>73</v>
      </c>
      <c r="C29" s="3" t="s">
        <v>26</v>
      </c>
      <c r="D29" s="3">
        <v>38.0</v>
      </c>
      <c r="E29" s="4">
        <f t="shared" si="1"/>
        <v>15</v>
      </c>
      <c r="H29" s="3">
        <v>8.0</v>
      </c>
      <c r="I29" s="3">
        <v>3.0</v>
      </c>
      <c r="L29" s="3">
        <v>10.0</v>
      </c>
      <c r="M29" s="3">
        <v>2.0</v>
      </c>
    </row>
    <row r="30" hidden="1">
      <c r="A30" s="3" t="s">
        <v>72</v>
      </c>
      <c r="B30" s="3" t="s">
        <v>74</v>
      </c>
      <c r="C30" s="3" t="s">
        <v>26</v>
      </c>
      <c r="D30" s="3">
        <f>300</f>
        <v>300</v>
      </c>
      <c r="E30" s="4">
        <f t="shared" si="1"/>
        <v>0</v>
      </c>
      <c r="H30" s="3">
        <v>200.0</v>
      </c>
      <c r="L30" s="4">
        <f>40+20</f>
        <v>60</v>
      </c>
      <c r="M30" s="3">
        <v>30.0</v>
      </c>
      <c r="P30" s="3">
        <v>10.0</v>
      </c>
    </row>
    <row r="31" hidden="1">
      <c r="A31" s="3" t="s">
        <v>72</v>
      </c>
      <c r="B31" s="3" t="s">
        <v>75</v>
      </c>
      <c r="C31" s="3" t="s">
        <v>26</v>
      </c>
      <c r="D31" s="3">
        <v>100.0</v>
      </c>
      <c r="E31" s="4">
        <f t="shared" si="1"/>
        <v>46</v>
      </c>
      <c r="H31" s="3">
        <v>30.0</v>
      </c>
      <c r="L31" s="4">
        <f>20</f>
        <v>20</v>
      </c>
      <c r="M31" s="3">
        <v>3.0</v>
      </c>
      <c r="U31" s="3"/>
      <c r="V31" s="3"/>
      <c r="W31" s="3">
        <v>1.0</v>
      </c>
    </row>
    <row r="32" hidden="1">
      <c r="A32" s="3" t="s">
        <v>76</v>
      </c>
      <c r="B32" s="3" t="s">
        <v>77</v>
      </c>
      <c r="C32" s="3" t="s">
        <v>26</v>
      </c>
      <c r="D32" s="3">
        <v>99.0</v>
      </c>
      <c r="E32" s="4">
        <f t="shared" si="1"/>
        <v>0</v>
      </c>
      <c r="F32" s="3">
        <v>18.0</v>
      </c>
      <c r="H32" s="3">
        <v>24.0</v>
      </c>
      <c r="I32" s="3">
        <v>22.0</v>
      </c>
      <c r="L32" s="3">
        <v>29.0</v>
      </c>
      <c r="M32" s="3">
        <v>6.0</v>
      </c>
    </row>
    <row r="33" hidden="1">
      <c r="A33" s="3" t="s">
        <v>78</v>
      </c>
      <c r="B33" s="3" t="s">
        <v>79</v>
      </c>
      <c r="C33" s="3" t="s">
        <v>26</v>
      </c>
      <c r="D33" s="3">
        <f>141+80</f>
        <v>221</v>
      </c>
      <c r="E33" s="4">
        <f t="shared" si="1"/>
        <v>60</v>
      </c>
      <c r="F33" s="4">
        <f>14</f>
        <v>14</v>
      </c>
      <c r="H33" s="3">
        <f>1+26</f>
        <v>27</v>
      </c>
      <c r="I33" s="3">
        <f>2+26</f>
        <v>28</v>
      </c>
      <c r="K33" s="3">
        <v>20.0</v>
      </c>
      <c r="L33" s="3">
        <f>24+26+20</f>
        <v>70</v>
      </c>
      <c r="P33" s="4">
        <f>2</f>
        <v>2</v>
      </c>
    </row>
    <row r="34" hidden="1">
      <c r="A34" s="3" t="s">
        <v>80</v>
      </c>
      <c r="B34" s="3" t="s">
        <v>81</v>
      </c>
      <c r="C34" s="3" t="s">
        <v>26</v>
      </c>
      <c r="D34" s="3">
        <f>553+128</f>
        <v>681</v>
      </c>
      <c r="E34" s="4">
        <f t="shared" si="1"/>
        <v>14</v>
      </c>
      <c r="F34" s="3">
        <v>200.0</v>
      </c>
      <c r="I34" s="3">
        <v>300.0</v>
      </c>
      <c r="L34" s="4">
        <f>50+74</f>
        <v>124</v>
      </c>
      <c r="P34" s="3">
        <f>3+19+21</f>
        <v>43</v>
      </c>
    </row>
    <row r="35" hidden="1">
      <c r="A35" s="3" t="s">
        <v>82</v>
      </c>
      <c r="B35" s="3" t="s">
        <v>83</v>
      </c>
      <c r="C35" s="3" t="s">
        <v>26</v>
      </c>
      <c r="D35" s="3">
        <f>9+26+207</f>
        <v>242</v>
      </c>
      <c r="E35" s="4">
        <f t="shared" si="1"/>
        <v>225</v>
      </c>
      <c r="H35" s="3">
        <v>2.0</v>
      </c>
      <c r="I35" s="3">
        <v>2.0</v>
      </c>
      <c r="L35" s="3">
        <v>8.0</v>
      </c>
      <c r="N35" s="3">
        <v>2.0</v>
      </c>
      <c r="P35" s="3">
        <v>3.0</v>
      </c>
    </row>
    <row r="36" hidden="1">
      <c r="A36" s="3" t="s">
        <v>82</v>
      </c>
      <c r="B36" s="3" t="s">
        <v>84</v>
      </c>
      <c r="C36" s="3" t="s">
        <v>26</v>
      </c>
      <c r="D36" s="3">
        <f>60+849</f>
        <v>909</v>
      </c>
      <c r="E36" s="4">
        <f t="shared" si="1"/>
        <v>704</v>
      </c>
      <c r="F36" s="3">
        <v>15.0</v>
      </c>
      <c r="H36" s="3">
        <v>15.0</v>
      </c>
      <c r="I36" s="3">
        <v>27.0</v>
      </c>
      <c r="L36" s="3">
        <v>16.0</v>
      </c>
      <c r="M36" s="3">
        <v>12.0</v>
      </c>
      <c r="P36" s="3">
        <f>5+15+40+60</f>
        <v>120</v>
      </c>
    </row>
    <row r="37" hidden="1">
      <c r="A37" s="3" t="s">
        <v>82</v>
      </c>
      <c r="B37" s="3" t="s">
        <v>85</v>
      </c>
      <c r="C37" s="3" t="s">
        <v>26</v>
      </c>
      <c r="D37" s="3">
        <f>103+65+44+60</f>
        <v>272</v>
      </c>
      <c r="E37" s="4">
        <f t="shared" si="1"/>
        <v>175</v>
      </c>
      <c r="H37" s="3">
        <v>20.0</v>
      </c>
      <c r="I37" s="3">
        <v>10.0</v>
      </c>
      <c r="L37" s="3">
        <f>42+10</f>
        <v>52</v>
      </c>
      <c r="M37" s="3">
        <v>15.0</v>
      </c>
    </row>
    <row r="38" hidden="1">
      <c r="A38" s="3" t="s">
        <v>86</v>
      </c>
      <c r="B38" s="3" t="s">
        <v>87</v>
      </c>
      <c r="C38" s="3" t="s">
        <v>26</v>
      </c>
      <c r="D38" s="3">
        <f>100+20+56+418+16+376</f>
        <v>986</v>
      </c>
      <c r="E38" s="4">
        <f t="shared" si="1"/>
        <v>792</v>
      </c>
      <c r="F38" s="3">
        <f>50</f>
        <v>50</v>
      </c>
      <c r="G38" s="3">
        <v>100.0</v>
      </c>
      <c r="L38" s="3">
        <f>5+24</f>
        <v>29</v>
      </c>
      <c r="P38" s="4">
        <f>8</f>
        <v>8</v>
      </c>
      <c r="U38" s="3">
        <v>7.0</v>
      </c>
    </row>
    <row r="39" hidden="1">
      <c r="A39" s="3" t="s">
        <v>86</v>
      </c>
      <c r="B39" s="3" t="s">
        <v>88</v>
      </c>
      <c r="C39" s="3" t="s">
        <v>26</v>
      </c>
      <c r="D39" s="3">
        <f>4+7+537+3313</f>
        <v>3861</v>
      </c>
      <c r="E39" s="4">
        <f t="shared" si="1"/>
        <v>3220</v>
      </c>
      <c r="F39" s="3">
        <f>10+40+30</f>
        <v>80</v>
      </c>
      <c r="G39" s="4">
        <f>6</f>
        <v>6</v>
      </c>
      <c r="H39" s="4">
        <f>20+10</f>
        <v>30</v>
      </c>
      <c r="I39" s="3">
        <f>30+50+40</f>
        <v>120</v>
      </c>
      <c r="L39" s="4">
        <f>10+30+4</f>
        <v>44</v>
      </c>
      <c r="M39" s="4">
        <f>80</f>
        <v>80</v>
      </c>
      <c r="N39" s="4">
        <f t="shared" ref="N39:N40" si="5">160</f>
        <v>160</v>
      </c>
      <c r="P39" s="3">
        <f>3+8+30+30+50</f>
        <v>121</v>
      </c>
    </row>
    <row r="40" hidden="1">
      <c r="A40" s="3" t="s">
        <v>89</v>
      </c>
      <c r="B40" s="3" t="s">
        <v>90</v>
      </c>
      <c r="C40" s="3" t="s">
        <v>26</v>
      </c>
      <c r="D40" s="3">
        <f>2+18+36+10+556</f>
        <v>622</v>
      </c>
      <c r="E40" s="4">
        <f t="shared" si="1"/>
        <v>189</v>
      </c>
      <c r="F40" s="3">
        <f>12</f>
        <v>12</v>
      </c>
      <c r="H40" s="3">
        <f>2+10</f>
        <v>12</v>
      </c>
      <c r="L40" s="3">
        <f>6+16+8</f>
        <v>30</v>
      </c>
      <c r="M40" s="4">
        <f>200</f>
        <v>200</v>
      </c>
      <c r="N40" s="4">
        <f t="shared" si="5"/>
        <v>160</v>
      </c>
      <c r="P40" s="3">
        <f>2+10</f>
        <v>12</v>
      </c>
      <c r="U40" s="4">
        <f>7</f>
        <v>7</v>
      </c>
    </row>
    <row r="41" hidden="1">
      <c r="A41" s="3" t="s">
        <v>91</v>
      </c>
      <c r="B41" s="3" t="s">
        <v>92</v>
      </c>
      <c r="C41" s="3" t="s">
        <v>26</v>
      </c>
      <c r="D41" s="3">
        <f>5+125+283</f>
        <v>413</v>
      </c>
      <c r="E41" s="4">
        <f t="shared" si="1"/>
        <v>404</v>
      </c>
      <c r="P41" s="3">
        <v>9.0</v>
      </c>
    </row>
    <row r="42" hidden="1">
      <c r="A42" s="3" t="s">
        <v>93</v>
      </c>
      <c r="B42" s="3" t="s">
        <v>94</v>
      </c>
      <c r="C42" s="3" t="s">
        <v>26</v>
      </c>
      <c r="D42" s="3">
        <f>16+135+29+106+445</f>
        <v>731</v>
      </c>
      <c r="E42" s="4">
        <f t="shared" si="1"/>
        <v>479</v>
      </c>
      <c r="F42" s="3">
        <v>20.0</v>
      </c>
      <c r="H42" s="3">
        <v>62.0</v>
      </c>
      <c r="I42" s="4">
        <f>50</f>
        <v>50</v>
      </c>
      <c r="N42" s="4">
        <f>50</f>
        <v>50</v>
      </c>
      <c r="P42" s="3">
        <f>40+30</f>
        <v>70</v>
      </c>
    </row>
    <row r="43" hidden="1">
      <c r="A43" s="3" t="s">
        <v>95</v>
      </c>
      <c r="B43" s="3" t="s">
        <v>96</v>
      </c>
      <c r="C43" s="3" t="s">
        <v>26</v>
      </c>
      <c r="D43" s="3">
        <f>204+1292</f>
        <v>1496</v>
      </c>
      <c r="E43" s="4">
        <f t="shared" si="1"/>
        <v>1115</v>
      </c>
      <c r="F43" s="4">
        <f>100+42</f>
        <v>142</v>
      </c>
      <c r="G43" s="4">
        <f>4</f>
        <v>4</v>
      </c>
      <c r="H43" s="3">
        <f>55</f>
        <v>55</v>
      </c>
      <c r="I43" s="4">
        <f>17</f>
        <v>17</v>
      </c>
      <c r="L43" s="4">
        <f>63</f>
        <v>63</v>
      </c>
      <c r="P43" s="3">
        <f>100</f>
        <v>100</v>
      </c>
    </row>
    <row r="44" hidden="1">
      <c r="A44" s="3" t="s">
        <v>95</v>
      </c>
      <c r="B44" s="3" t="s">
        <v>97</v>
      </c>
      <c r="C44" s="3" t="s">
        <v>26</v>
      </c>
      <c r="D44" s="3">
        <f>69+46+47+84+957</f>
        <v>1203</v>
      </c>
      <c r="E44" s="4">
        <f t="shared" si="1"/>
        <v>983</v>
      </c>
      <c r="F44" s="3">
        <f>2+15+16+12</f>
        <v>45</v>
      </c>
      <c r="H44" s="3">
        <f>2+27</f>
        <v>29</v>
      </c>
      <c r="I44" s="4">
        <f>15</f>
        <v>15</v>
      </c>
      <c r="L44" s="4">
        <f>20+7+32+30+20</f>
        <v>109</v>
      </c>
      <c r="P44" s="3">
        <f>20+2</f>
        <v>22</v>
      </c>
    </row>
    <row r="45" hidden="1">
      <c r="A45" s="3" t="s">
        <v>98</v>
      </c>
      <c r="B45" s="3" t="s">
        <v>99</v>
      </c>
      <c r="C45" s="3" t="s">
        <v>100</v>
      </c>
      <c r="D45" s="3">
        <f>10+24</f>
        <v>34</v>
      </c>
      <c r="E45" s="4">
        <f t="shared" si="1"/>
        <v>6</v>
      </c>
      <c r="F45" s="4">
        <f>3</f>
        <v>3</v>
      </c>
      <c r="G45" s="3">
        <v>1.0</v>
      </c>
      <c r="H45" s="4">
        <f>3</f>
        <v>3</v>
      </c>
      <c r="L45" s="4">
        <f>2+2+1</f>
        <v>5</v>
      </c>
      <c r="M45" s="4">
        <f>4</f>
        <v>4</v>
      </c>
      <c r="N45" s="4">
        <f>4+3</f>
        <v>7</v>
      </c>
      <c r="P45" s="4">
        <f>4</f>
        <v>4</v>
      </c>
      <c r="T45" s="4">
        <f>1</f>
        <v>1</v>
      </c>
    </row>
    <row r="46" hidden="1">
      <c r="A46" s="3" t="s">
        <v>101</v>
      </c>
      <c r="B46" s="3" t="s">
        <v>28</v>
      </c>
      <c r="C46" s="3" t="s">
        <v>26</v>
      </c>
      <c r="D46" s="3">
        <f>4+180</f>
        <v>184</v>
      </c>
      <c r="E46" s="4">
        <f t="shared" si="1"/>
        <v>178</v>
      </c>
      <c r="L46" s="3">
        <v>6.0</v>
      </c>
    </row>
    <row r="47" hidden="1">
      <c r="A47" s="3" t="s">
        <v>102</v>
      </c>
      <c r="B47" s="3" t="s">
        <v>103</v>
      </c>
      <c r="C47" s="3" t="s">
        <v>26</v>
      </c>
      <c r="D47" s="3">
        <v>825.0</v>
      </c>
      <c r="E47" s="4">
        <f t="shared" si="1"/>
        <v>0</v>
      </c>
      <c r="H47" s="3">
        <v>400.0</v>
      </c>
      <c r="I47" s="3">
        <v>200.0</v>
      </c>
      <c r="L47" s="3">
        <v>200.0</v>
      </c>
      <c r="M47" s="3">
        <v>25.0</v>
      </c>
    </row>
    <row r="48" hidden="1">
      <c r="A48" s="3" t="s">
        <v>102</v>
      </c>
      <c r="B48" s="3" t="s">
        <v>104</v>
      </c>
      <c r="C48" s="3" t="s">
        <v>26</v>
      </c>
      <c r="D48" s="3">
        <v>8.0</v>
      </c>
      <c r="E48" s="4">
        <f t="shared" si="1"/>
        <v>2</v>
      </c>
      <c r="H48" s="3">
        <v>2.0</v>
      </c>
      <c r="I48" s="3">
        <v>2.0</v>
      </c>
      <c r="P48" s="3">
        <v>2.0</v>
      </c>
    </row>
    <row r="49" hidden="1">
      <c r="A49" s="3" t="s">
        <v>105</v>
      </c>
      <c r="B49" s="3" t="s">
        <v>106</v>
      </c>
      <c r="C49" s="3" t="s">
        <v>26</v>
      </c>
      <c r="D49" s="3">
        <f>216+2197</f>
        <v>2413</v>
      </c>
      <c r="E49" s="4">
        <f t="shared" si="1"/>
        <v>2297</v>
      </c>
      <c r="F49" s="3">
        <v>8.0</v>
      </c>
      <c r="L49" s="3">
        <v>6.0</v>
      </c>
      <c r="N49" s="4">
        <f>100</f>
        <v>100</v>
      </c>
      <c r="P49" s="3">
        <v>2.0</v>
      </c>
    </row>
    <row r="50" hidden="1">
      <c r="A50" s="3" t="s">
        <v>107</v>
      </c>
      <c r="B50" s="3" t="s">
        <v>108</v>
      </c>
      <c r="C50" s="3" t="s">
        <v>26</v>
      </c>
      <c r="D50" s="3">
        <f>2+15+36+86</f>
        <v>139</v>
      </c>
      <c r="E50" s="4">
        <f t="shared" si="1"/>
        <v>132</v>
      </c>
      <c r="F50" s="4">
        <f>2</f>
        <v>2</v>
      </c>
      <c r="I50" s="3">
        <v>1.0</v>
      </c>
      <c r="L50" s="4">
        <f>2</f>
        <v>2</v>
      </c>
      <c r="P50" s="4">
        <f>2</f>
        <v>2</v>
      </c>
    </row>
    <row r="51" hidden="1">
      <c r="A51" s="3" t="s">
        <v>109</v>
      </c>
      <c r="B51" s="3" t="s">
        <v>110</v>
      </c>
      <c r="C51" s="3" t="s">
        <v>26</v>
      </c>
      <c r="D51" s="4">
        <f>10+30+30+172</f>
        <v>242</v>
      </c>
      <c r="E51" s="4">
        <f t="shared" si="1"/>
        <v>195</v>
      </c>
      <c r="F51" s="4">
        <f>8+1</f>
        <v>9</v>
      </c>
      <c r="L51" s="3">
        <f>8+14+15</f>
        <v>37</v>
      </c>
      <c r="P51" s="3">
        <v>1.0</v>
      </c>
    </row>
    <row r="52" hidden="1">
      <c r="A52" s="3" t="s">
        <v>109</v>
      </c>
      <c r="B52" s="3" t="s">
        <v>111</v>
      </c>
      <c r="C52" s="3" t="s">
        <v>26</v>
      </c>
      <c r="D52" s="3">
        <f>5+20+16</f>
        <v>41</v>
      </c>
      <c r="E52" s="4">
        <f t="shared" si="1"/>
        <v>20</v>
      </c>
      <c r="F52" s="4">
        <f>4</f>
        <v>4</v>
      </c>
      <c r="L52" s="4">
        <f>9</f>
        <v>9</v>
      </c>
      <c r="P52" s="3">
        <f>4+4</f>
        <v>8</v>
      </c>
    </row>
    <row r="53" hidden="1">
      <c r="A53" s="3" t="s">
        <v>112</v>
      </c>
      <c r="B53" s="3" t="s">
        <v>36</v>
      </c>
      <c r="C53" s="3" t="s">
        <v>26</v>
      </c>
      <c r="D53" s="3">
        <f>975+150+400</f>
        <v>1525</v>
      </c>
      <c r="E53" s="4">
        <f t="shared" si="1"/>
        <v>69</v>
      </c>
      <c r="F53" s="4">
        <f>200</f>
        <v>200</v>
      </c>
      <c r="I53" s="3">
        <f>50+70</f>
        <v>120</v>
      </c>
      <c r="L53" s="3">
        <f>500+176</f>
        <v>676</v>
      </c>
      <c r="N53" s="4">
        <f>200</f>
        <v>200</v>
      </c>
      <c r="P53" s="4">
        <f>90+120+50</f>
        <v>260</v>
      </c>
    </row>
    <row r="54" hidden="1">
      <c r="A54" s="3" t="s">
        <v>113</v>
      </c>
      <c r="B54" s="3" t="s">
        <v>36</v>
      </c>
      <c r="C54" s="3" t="s">
        <v>26</v>
      </c>
      <c r="D54" s="3">
        <f>39+221+89+80</f>
        <v>429</v>
      </c>
      <c r="E54" s="4">
        <f t="shared" si="1"/>
        <v>68</v>
      </c>
      <c r="F54" s="4">
        <f>80</f>
        <v>80</v>
      </c>
      <c r="H54" s="4">
        <f>40</f>
        <v>40</v>
      </c>
      <c r="I54" s="4">
        <f>70+14</f>
        <v>84</v>
      </c>
      <c r="L54" s="3">
        <f>1+15+100</f>
        <v>116</v>
      </c>
      <c r="N54" s="4">
        <f>20</f>
        <v>20</v>
      </c>
      <c r="P54" s="4">
        <f>10+11</f>
        <v>21</v>
      </c>
    </row>
    <row r="55" hidden="1">
      <c r="A55" s="3" t="s">
        <v>113</v>
      </c>
      <c r="B55" s="3" t="s">
        <v>114</v>
      </c>
      <c r="C55" s="3" t="s">
        <v>26</v>
      </c>
      <c r="D55" s="3">
        <v>2.0</v>
      </c>
      <c r="E55" s="4">
        <f t="shared" si="1"/>
        <v>0</v>
      </c>
      <c r="N55" s="4">
        <f>2</f>
        <v>2</v>
      </c>
    </row>
    <row r="56" hidden="1">
      <c r="A56" s="3" t="s">
        <v>115</v>
      </c>
      <c r="B56" s="3" t="s">
        <v>116</v>
      </c>
      <c r="C56" s="3" t="s">
        <v>29</v>
      </c>
      <c r="D56" s="3">
        <f>50+150+300+32</f>
        <v>532</v>
      </c>
      <c r="E56" s="4">
        <f t="shared" si="1"/>
        <v>364</v>
      </c>
      <c r="F56" s="3">
        <f>25+16</f>
        <v>41</v>
      </c>
      <c r="H56" s="4">
        <f>15</f>
        <v>15</v>
      </c>
      <c r="L56" s="3">
        <f>25+40+32</f>
        <v>97</v>
      </c>
      <c r="P56" s="4">
        <f>15</f>
        <v>15</v>
      </c>
    </row>
    <row r="57" hidden="1">
      <c r="A57" s="3" t="s">
        <v>115</v>
      </c>
      <c r="B57" s="3" t="s">
        <v>117</v>
      </c>
      <c r="C57" s="3" t="s">
        <v>29</v>
      </c>
      <c r="D57" s="3">
        <f>3+53+32</f>
        <v>88</v>
      </c>
      <c r="E57" s="4">
        <f t="shared" si="1"/>
        <v>7</v>
      </c>
      <c r="F57" s="3">
        <v>28.0</v>
      </c>
      <c r="H57" s="3">
        <v>17.0</v>
      </c>
      <c r="L57" s="3">
        <v>10.0</v>
      </c>
      <c r="P57" s="3">
        <v>26.0</v>
      </c>
    </row>
    <row r="58" hidden="1">
      <c r="A58" s="3" t="s">
        <v>118</v>
      </c>
      <c r="B58" s="3" t="s">
        <v>119</v>
      </c>
      <c r="C58" s="3" t="s">
        <v>29</v>
      </c>
      <c r="D58" s="3">
        <f>106+170</f>
        <v>276</v>
      </c>
      <c r="E58" s="4">
        <f t="shared" si="1"/>
        <v>263</v>
      </c>
      <c r="F58" s="3"/>
      <c r="H58" s="3"/>
      <c r="L58" s="4">
        <f>13</f>
        <v>13</v>
      </c>
      <c r="P58" s="3"/>
    </row>
    <row r="59" hidden="1">
      <c r="A59" s="3" t="s">
        <v>120</v>
      </c>
      <c r="B59" s="3" t="s">
        <v>117</v>
      </c>
      <c r="C59" s="3" t="s">
        <v>29</v>
      </c>
      <c r="D59" s="3">
        <f>400+19600</f>
        <v>20000</v>
      </c>
      <c r="E59" s="4">
        <f t="shared" si="1"/>
        <v>16300</v>
      </c>
      <c r="F59" s="3">
        <f>400</f>
        <v>400</v>
      </c>
      <c r="H59" s="3">
        <f>400+1100</f>
        <v>1500</v>
      </c>
      <c r="P59" s="3">
        <f>1800</f>
        <v>1800</v>
      </c>
    </row>
    <row r="60" hidden="1">
      <c r="A60" s="3" t="s">
        <v>121</v>
      </c>
      <c r="B60" s="3" t="s">
        <v>122</v>
      </c>
      <c r="C60" s="3" t="s">
        <v>26</v>
      </c>
      <c r="D60" s="3">
        <f>54</f>
        <v>54</v>
      </c>
      <c r="E60" s="4">
        <f t="shared" si="1"/>
        <v>1</v>
      </c>
      <c r="H60" s="3">
        <v>17.0</v>
      </c>
      <c r="I60" s="3">
        <v>21.0</v>
      </c>
      <c r="M60" s="3">
        <v>15.0</v>
      </c>
    </row>
    <row r="61" hidden="1">
      <c r="A61" s="3" t="s">
        <v>123</v>
      </c>
      <c r="B61" s="3" t="s">
        <v>124</v>
      </c>
      <c r="C61" s="3" t="s">
        <v>26</v>
      </c>
      <c r="D61" s="3">
        <f>11+17+5</f>
        <v>33</v>
      </c>
      <c r="E61" s="4">
        <f t="shared" si="1"/>
        <v>28</v>
      </c>
      <c r="P61" s="3">
        <v>5.0</v>
      </c>
    </row>
    <row r="62" hidden="1">
      <c r="A62" s="3" t="s">
        <v>125</v>
      </c>
      <c r="B62" s="3" t="s">
        <v>126</v>
      </c>
      <c r="C62" s="3" t="s">
        <v>29</v>
      </c>
      <c r="D62" s="3">
        <f>5000+800+4100+200+2900</f>
        <v>13000</v>
      </c>
      <c r="E62" s="4">
        <f t="shared" si="1"/>
        <v>2200</v>
      </c>
      <c r="F62" s="3">
        <f>3000+200+400+200+200+200</f>
        <v>4200</v>
      </c>
      <c r="G62" s="4">
        <f>100</f>
        <v>100</v>
      </c>
      <c r="H62" s="3">
        <f>200+200+100+500+600</f>
        <v>1600</v>
      </c>
      <c r="I62" s="3">
        <f>200+300+500+500</f>
        <v>1500</v>
      </c>
      <c r="L62" s="3">
        <f>300+1500+200</f>
        <v>2000</v>
      </c>
      <c r="M62" s="4">
        <f>100</f>
        <v>100</v>
      </c>
      <c r="N62" s="4">
        <f>300+100</f>
        <v>400</v>
      </c>
      <c r="P62" s="4">
        <f>100+100+100+200+100+200</f>
        <v>800</v>
      </c>
      <c r="T62" s="4">
        <f>100</f>
        <v>100</v>
      </c>
    </row>
    <row r="63" hidden="1">
      <c r="A63" s="3" t="s">
        <v>127</v>
      </c>
      <c r="B63" s="3" t="s">
        <v>128</v>
      </c>
      <c r="C63" s="3" t="s">
        <v>26</v>
      </c>
      <c r="D63" s="3">
        <f>20+75</f>
        <v>95</v>
      </c>
      <c r="E63" s="4">
        <f t="shared" si="1"/>
        <v>75</v>
      </c>
      <c r="G63" s="3">
        <v>2.0</v>
      </c>
      <c r="H63" s="3">
        <v>3.0</v>
      </c>
      <c r="I63" s="3">
        <v>2.0</v>
      </c>
      <c r="L63" s="3">
        <f>3+6</f>
        <v>9</v>
      </c>
      <c r="P63" s="3">
        <v>4.0</v>
      </c>
      <c r="X63" s="3" t="s">
        <v>129</v>
      </c>
    </row>
    <row r="64" hidden="1">
      <c r="A64" s="3" t="s">
        <v>130</v>
      </c>
      <c r="B64" s="3" t="s">
        <v>130</v>
      </c>
      <c r="C64" s="3" t="s">
        <v>26</v>
      </c>
      <c r="D64" s="3">
        <f>84</f>
        <v>84</v>
      </c>
      <c r="E64" s="4">
        <f t="shared" si="1"/>
        <v>1</v>
      </c>
      <c r="H64" s="3">
        <v>21.0</v>
      </c>
      <c r="I64" s="3">
        <v>36.0</v>
      </c>
      <c r="L64" s="3">
        <f>2+20</f>
        <v>22</v>
      </c>
      <c r="M64" s="3">
        <v>4.0</v>
      </c>
    </row>
    <row r="65" hidden="1">
      <c r="A65" s="3" t="s">
        <v>131</v>
      </c>
      <c r="B65" s="3" t="s">
        <v>132</v>
      </c>
      <c r="C65" s="3" t="s">
        <v>26</v>
      </c>
      <c r="D65" s="3">
        <f>24+10+61+219</f>
        <v>314</v>
      </c>
      <c r="E65" s="4">
        <f t="shared" si="1"/>
        <v>280</v>
      </c>
      <c r="H65" s="3">
        <v>24.0</v>
      </c>
      <c r="P65" s="3">
        <v>10.0</v>
      </c>
    </row>
    <row r="66" hidden="1">
      <c r="A66" s="3" t="s">
        <v>131</v>
      </c>
      <c r="B66" s="3" t="s">
        <v>133</v>
      </c>
      <c r="C66" s="3" t="s">
        <v>26</v>
      </c>
      <c r="D66" s="3">
        <f>259+3075</f>
        <v>3334</v>
      </c>
      <c r="E66" s="4">
        <f t="shared" si="1"/>
        <v>3034</v>
      </c>
      <c r="H66" s="3"/>
      <c r="I66" s="3">
        <v>100.0</v>
      </c>
      <c r="L66" s="4">
        <f>100</f>
        <v>100</v>
      </c>
      <c r="N66" s="4">
        <f>100</f>
        <v>100</v>
      </c>
      <c r="P66" s="3"/>
    </row>
    <row r="67" hidden="1">
      <c r="A67" s="3" t="s">
        <v>131</v>
      </c>
      <c r="B67" s="3" t="s">
        <v>134</v>
      </c>
      <c r="C67" s="3" t="s">
        <v>26</v>
      </c>
      <c r="D67" s="3">
        <v>700.0</v>
      </c>
      <c r="E67" s="4">
        <f t="shared" si="1"/>
        <v>580</v>
      </c>
      <c r="M67" s="4">
        <f>120</f>
        <v>120</v>
      </c>
    </row>
    <row r="68" hidden="1">
      <c r="A68" s="3" t="s">
        <v>131</v>
      </c>
      <c r="B68" s="3" t="s">
        <v>135</v>
      </c>
      <c r="C68" s="3" t="s">
        <v>26</v>
      </c>
      <c r="D68" s="3">
        <f>320+77+623+7714</f>
        <v>8734</v>
      </c>
      <c r="E68" s="4">
        <f t="shared" si="1"/>
        <v>8534</v>
      </c>
      <c r="I68" s="3"/>
      <c r="N68" s="4">
        <f>100+100</f>
        <v>200</v>
      </c>
    </row>
    <row r="69" hidden="1">
      <c r="A69" s="3" t="s">
        <v>131</v>
      </c>
      <c r="B69" s="3" t="s">
        <v>136</v>
      </c>
      <c r="C69" s="3" t="s">
        <v>26</v>
      </c>
      <c r="D69" s="3">
        <f>1562</f>
        <v>1562</v>
      </c>
      <c r="E69" s="4">
        <f t="shared" si="1"/>
        <v>1562</v>
      </c>
      <c r="I69" s="3"/>
    </row>
    <row r="70" hidden="1">
      <c r="A70" s="3" t="s">
        <v>131</v>
      </c>
      <c r="B70" s="3" t="s">
        <v>137</v>
      </c>
      <c r="C70" s="3" t="s">
        <v>26</v>
      </c>
      <c r="D70" s="3">
        <v>166.0</v>
      </c>
      <c r="E70" s="4">
        <f t="shared" si="1"/>
        <v>66</v>
      </c>
      <c r="I70" s="3">
        <v>100.0</v>
      </c>
    </row>
    <row r="71" hidden="1">
      <c r="A71" s="3" t="s">
        <v>138</v>
      </c>
      <c r="B71" s="3" t="s">
        <v>139</v>
      </c>
      <c r="C71" s="3" t="s">
        <v>26</v>
      </c>
      <c r="D71" s="3">
        <v>2.0</v>
      </c>
      <c r="E71" s="4">
        <f t="shared" si="1"/>
        <v>0</v>
      </c>
      <c r="I71" s="3"/>
      <c r="L71" s="3">
        <v>2.0</v>
      </c>
    </row>
    <row r="72" hidden="1">
      <c r="A72" s="3" t="s">
        <v>131</v>
      </c>
      <c r="B72" s="3" t="s">
        <v>140</v>
      </c>
      <c r="C72" s="3" t="s">
        <v>26</v>
      </c>
      <c r="D72" s="3">
        <f>600+94+770</f>
        <v>1464</v>
      </c>
      <c r="E72" s="4">
        <f t="shared" si="1"/>
        <v>864</v>
      </c>
      <c r="F72" s="3">
        <v>50.0</v>
      </c>
      <c r="L72" s="3">
        <v>400.0</v>
      </c>
      <c r="P72" s="3">
        <v>150.0</v>
      </c>
    </row>
    <row r="73" hidden="1">
      <c r="A73" s="3" t="s">
        <v>141</v>
      </c>
      <c r="B73" s="3" t="s">
        <v>142</v>
      </c>
      <c r="C73" s="3" t="s">
        <v>26</v>
      </c>
      <c r="D73" s="3">
        <f>45+18+6</f>
        <v>69</v>
      </c>
      <c r="E73" s="4">
        <f t="shared" si="1"/>
        <v>26</v>
      </c>
      <c r="F73" s="4">
        <f>3+1</f>
        <v>4</v>
      </c>
      <c r="L73" s="4">
        <f>4+2</f>
        <v>6</v>
      </c>
      <c r="P73" s="3">
        <f>30+3</f>
        <v>33</v>
      </c>
    </row>
    <row r="74" hidden="1">
      <c r="A74" s="3" t="s">
        <v>143</v>
      </c>
      <c r="B74" s="3" t="s">
        <v>144</v>
      </c>
      <c r="C74" s="3" t="s">
        <v>26</v>
      </c>
      <c r="D74" s="3">
        <f>5+6+7</f>
        <v>18</v>
      </c>
      <c r="E74" s="4">
        <f t="shared" si="1"/>
        <v>10</v>
      </c>
      <c r="L74" s="4">
        <f>5</f>
        <v>5</v>
      </c>
      <c r="P74" s="4">
        <f>3</f>
        <v>3</v>
      </c>
    </row>
    <row r="75" hidden="1">
      <c r="A75" s="3" t="s">
        <v>145</v>
      </c>
      <c r="C75" s="3" t="s">
        <v>26</v>
      </c>
      <c r="D75" s="3">
        <f>8+2</f>
        <v>10</v>
      </c>
      <c r="E75" s="4">
        <f t="shared" si="1"/>
        <v>0</v>
      </c>
      <c r="L75" s="4">
        <f>10</f>
        <v>10</v>
      </c>
    </row>
    <row r="76" hidden="1">
      <c r="A76" s="3" t="s">
        <v>146</v>
      </c>
      <c r="C76" s="3" t="s">
        <v>26</v>
      </c>
      <c r="D76" s="3">
        <v>84.0</v>
      </c>
      <c r="E76" s="4">
        <f t="shared" si="1"/>
        <v>72</v>
      </c>
      <c r="P76" s="3">
        <v>6.0</v>
      </c>
      <c r="U76" s="3"/>
      <c r="V76" s="3"/>
      <c r="W76" s="3">
        <v>6.0</v>
      </c>
    </row>
    <row r="77" hidden="1">
      <c r="A77" s="3" t="s">
        <v>24</v>
      </c>
      <c r="B77" s="3" t="s">
        <v>147</v>
      </c>
      <c r="C77" s="3" t="s">
        <v>26</v>
      </c>
      <c r="D77" s="3">
        <f>22+28</f>
        <v>50</v>
      </c>
      <c r="E77" s="4">
        <f t="shared" si="1"/>
        <v>0</v>
      </c>
      <c r="F77" s="4">
        <f>8</f>
        <v>8</v>
      </c>
      <c r="L77" s="4">
        <f>1+26+5+10</f>
        <v>42</v>
      </c>
    </row>
    <row r="78" hidden="1">
      <c r="A78" s="3" t="s">
        <v>148</v>
      </c>
      <c r="B78" s="3" t="s">
        <v>149</v>
      </c>
      <c r="C78" s="3" t="s">
        <v>26</v>
      </c>
      <c r="D78" s="3">
        <f>449+537</f>
        <v>986</v>
      </c>
      <c r="E78" s="4">
        <f t="shared" si="1"/>
        <v>903</v>
      </c>
      <c r="F78" s="3">
        <v>23.0</v>
      </c>
      <c r="H78" s="3">
        <f>12+20+20</f>
        <v>52</v>
      </c>
      <c r="I78" s="3">
        <v>2.0</v>
      </c>
      <c r="L78" s="3">
        <v>6.0</v>
      </c>
    </row>
    <row r="79" hidden="1">
      <c r="A79" s="3" t="s">
        <v>148</v>
      </c>
      <c r="B79" s="3" t="s">
        <v>150</v>
      </c>
      <c r="C79" s="3" t="s">
        <v>26</v>
      </c>
      <c r="D79" s="3">
        <v>166.0</v>
      </c>
      <c r="E79" s="4">
        <f t="shared" si="1"/>
        <v>166</v>
      </c>
    </row>
    <row r="80" hidden="1">
      <c r="A80" s="3" t="s">
        <v>148</v>
      </c>
      <c r="B80" s="3" t="s">
        <v>151</v>
      </c>
      <c r="C80" s="3" t="s">
        <v>26</v>
      </c>
      <c r="D80" s="3">
        <v>20.0</v>
      </c>
      <c r="E80" s="4">
        <f t="shared" si="1"/>
        <v>0</v>
      </c>
      <c r="L80" s="3">
        <v>20.0</v>
      </c>
    </row>
    <row r="81" hidden="1">
      <c r="A81" s="3" t="s">
        <v>152</v>
      </c>
      <c r="B81" s="3" t="s">
        <v>153</v>
      </c>
      <c r="C81" s="3" t="s">
        <v>26</v>
      </c>
      <c r="D81" s="3">
        <f>115+72</f>
        <v>187</v>
      </c>
      <c r="E81" s="4">
        <f t="shared" si="1"/>
        <v>0</v>
      </c>
      <c r="F81" s="3">
        <f>5+24</f>
        <v>29</v>
      </c>
      <c r="H81" s="3">
        <v>30.0</v>
      </c>
      <c r="L81" s="4">
        <f>41+32</f>
        <v>73</v>
      </c>
      <c r="P81" s="3">
        <f>40+15</f>
        <v>55</v>
      </c>
    </row>
    <row r="82" hidden="1">
      <c r="A82" s="3" t="s">
        <v>154</v>
      </c>
      <c r="B82" s="3" t="s">
        <v>155</v>
      </c>
      <c r="C82" s="3" t="s">
        <v>26</v>
      </c>
      <c r="D82" s="3">
        <f>70+133+100+200+200+1900</f>
        <v>2603</v>
      </c>
      <c r="E82" s="4">
        <f t="shared" si="1"/>
        <v>1793</v>
      </c>
      <c r="F82" s="3">
        <f>12+20+40+30</f>
        <v>102</v>
      </c>
      <c r="H82" s="4">
        <f>100</f>
        <v>100</v>
      </c>
      <c r="I82" s="3">
        <f>21+30+150+53</f>
        <v>254</v>
      </c>
      <c r="L82" s="4">
        <f>75</f>
        <v>75</v>
      </c>
      <c r="M82" s="3">
        <f>15+120</f>
        <v>135</v>
      </c>
      <c r="N82" s="4">
        <f>40+60</f>
        <v>100</v>
      </c>
      <c r="P82" s="3">
        <f>10+30+1+3</f>
        <v>44</v>
      </c>
    </row>
    <row r="83" hidden="1">
      <c r="A83" s="3" t="s">
        <v>154</v>
      </c>
      <c r="B83" s="3" t="s">
        <v>156</v>
      </c>
      <c r="C83" s="3" t="s">
        <v>26</v>
      </c>
      <c r="D83" s="3">
        <f>81+537+11+2+48+6+1757</f>
        <v>2442</v>
      </c>
      <c r="E83" s="4">
        <f t="shared" si="1"/>
        <v>1432</v>
      </c>
      <c r="F83" s="3">
        <f>20+40+100</f>
        <v>160</v>
      </c>
      <c r="H83" s="4">
        <f>40+101</f>
        <v>141</v>
      </c>
      <c r="I83" s="3">
        <f>51+40+52</f>
        <v>143</v>
      </c>
      <c r="L83" s="4">
        <f>40+136</f>
        <v>176</v>
      </c>
      <c r="M83" s="4">
        <f>160</f>
        <v>160</v>
      </c>
      <c r="N83" s="4">
        <f>80</f>
        <v>80</v>
      </c>
      <c r="P83" s="3">
        <f>8+1+1+1+48+5+80</f>
        <v>144</v>
      </c>
      <c r="T83" s="4">
        <f>6</f>
        <v>6</v>
      </c>
    </row>
    <row r="84" hidden="1">
      <c r="A84" s="3" t="s">
        <v>157</v>
      </c>
      <c r="B84" s="3" t="s">
        <v>158</v>
      </c>
      <c r="C84" s="3" t="s">
        <v>26</v>
      </c>
      <c r="D84" s="3">
        <v>3600.0</v>
      </c>
      <c r="E84" s="4">
        <f t="shared" si="1"/>
        <v>1314</v>
      </c>
      <c r="F84" s="4">
        <f>17</f>
        <v>17</v>
      </c>
      <c r="H84" s="3">
        <f>500+30</f>
        <v>530</v>
      </c>
      <c r="I84" s="3">
        <f>1000+35</f>
        <v>1035</v>
      </c>
      <c r="L84" s="3">
        <f>100+36+17</f>
        <v>153</v>
      </c>
      <c r="M84" s="3">
        <f>340+60</f>
        <v>400</v>
      </c>
      <c r="N84" s="4">
        <f>50</f>
        <v>50</v>
      </c>
      <c r="P84" s="3">
        <f>100+1</f>
        <v>101</v>
      </c>
    </row>
    <row r="85" hidden="1">
      <c r="A85" s="3" t="s">
        <v>159</v>
      </c>
      <c r="B85" s="3" t="s">
        <v>160</v>
      </c>
      <c r="C85" s="3" t="s">
        <v>26</v>
      </c>
      <c r="D85" s="3">
        <f>109+12</f>
        <v>121</v>
      </c>
      <c r="E85" s="4">
        <f t="shared" si="1"/>
        <v>7</v>
      </c>
      <c r="F85" s="3">
        <v>12.0</v>
      </c>
      <c r="H85" s="4">
        <f>12</f>
        <v>12</v>
      </c>
      <c r="L85" s="4">
        <f>21+30</f>
        <v>51</v>
      </c>
      <c r="P85" s="3">
        <f>30+9</f>
        <v>39</v>
      </c>
    </row>
    <row r="86" hidden="1">
      <c r="A86" s="3" t="s">
        <v>161</v>
      </c>
      <c r="B86" s="3" t="s">
        <v>162</v>
      </c>
      <c r="C86" s="3" t="s">
        <v>26</v>
      </c>
      <c r="D86" s="3">
        <f>2100+45+307</f>
        <v>2452</v>
      </c>
      <c r="E86" s="4">
        <f t="shared" si="1"/>
        <v>325</v>
      </c>
      <c r="F86" s="3">
        <f>500+56</f>
        <v>556</v>
      </c>
      <c r="H86" s="4">
        <f>100+300</f>
        <v>400</v>
      </c>
      <c r="I86" s="4">
        <f>200+50</f>
        <v>250</v>
      </c>
      <c r="L86" s="4">
        <f>26+4+300+50</f>
        <v>380</v>
      </c>
      <c r="M86" s="3">
        <v>500.0</v>
      </c>
      <c r="P86" s="3">
        <f>40+1</f>
        <v>41</v>
      </c>
    </row>
    <row r="87" hidden="1">
      <c r="A87" s="3" t="s">
        <v>161</v>
      </c>
      <c r="B87" s="3" t="s">
        <v>163</v>
      </c>
      <c r="C87" s="3" t="s">
        <v>26</v>
      </c>
      <c r="D87" s="3">
        <f>33+288+48+28+1096</f>
        <v>1493</v>
      </c>
      <c r="E87" s="4">
        <f t="shared" si="1"/>
        <v>888</v>
      </c>
      <c r="F87" s="3">
        <f>12+20+27+23+25+5</f>
        <v>112</v>
      </c>
      <c r="H87" s="4">
        <f>30+50+32</f>
        <v>112</v>
      </c>
      <c r="I87" s="3">
        <f>15+40+24</f>
        <v>79</v>
      </c>
      <c r="K87" s="3">
        <v>1.0</v>
      </c>
      <c r="L87" s="4">
        <f>73+50</f>
        <v>123</v>
      </c>
      <c r="M87" s="4">
        <f>40</f>
        <v>40</v>
      </c>
      <c r="N87" s="4">
        <f>40+56</f>
        <v>96</v>
      </c>
      <c r="P87" s="4">
        <f>1+40</f>
        <v>41</v>
      </c>
      <c r="U87" s="3"/>
      <c r="V87" s="3"/>
      <c r="W87" s="3">
        <v>1.0</v>
      </c>
    </row>
    <row r="88" hidden="1">
      <c r="A88" s="3" t="s">
        <v>164</v>
      </c>
      <c r="B88" s="3" t="s">
        <v>165</v>
      </c>
      <c r="C88" s="3" t="s">
        <v>26</v>
      </c>
      <c r="D88" s="3">
        <f>202</f>
        <v>202</v>
      </c>
      <c r="E88" s="4">
        <f t="shared" si="1"/>
        <v>0</v>
      </c>
      <c r="F88" s="3">
        <v>1.0</v>
      </c>
      <c r="H88" s="3">
        <v>1.0</v>
      </c>
      <c r="L88" s="3">
        <v>200.0</v>
      </c>
    </row>
    <row r="89" hidden="1">
      <c r="A89" s="3" t="s">
        <v>166</v>
      </c>
      <c r="B89" s="3" t="s">
        <v>167</v>
      </c>
      <c r="C89" s="3" t="s">
        <v>26</v>
      </c>
      <c r="D89" s="3">
        <f>100+250</f>
        <v>350</v>
      </c>
      <c r="E89" s="4">
        <f t="shared" si="1"/>
        <v>22</v>
      </c>
      <c r="H89" s="3">
        <f>18+106+7</f>
        <v>131</v>
      </c>
      <c r="I89" s="3">
        <v>92.0</v>
      </c>
      <c r="L89" s="3">
        <f>60+6+10+8</f>
        <v>84</v>
      </c>
      <c r="N89" s="4">
        <f>8</f>
        <v>8</v>
      </c>
      <c r="P89" s="3">
        <f>1+2+10</f>
        <v>13</v>
      </c>
    </row>
    <row r="90" hidden="1">
      <c r="A90" s="3" t="s">
        <v>166</v>
      </c>
      <c r="B90" s="3" t="s">
        <v>168</v>
      </c>
      <c r="C90" s="3" t="s">
        <v>26</v>
      </c>
      <c r="D90" s="3">
        <v>128.0</v>
      </c>
      <c r="E90" s="4">
        <f t="shared" si="1"/>
        <v>128</v>
      </c>
      <c r="H90" s="3"/>
      <c r="I90" s="3"/>
      <c r="L90" s="3"/>
      <c r="M90" s="3"/>
    </row>
    <row r="91" hidden="1">
      <c r="A91" s="3" t="s">
        <v>166</v>
      </c>
      <c r="B91" s="3" t="s">
        <v>169</v>
      </c>
      <c r="C91" s="3" t="s">
        <v>26</v>
      </c>
      <c r="D91" s="3">
        <v>248.0</v>
      </c>
      <c r="E91" s="4">
        <f t="shared" si="1"/>
        <v>0</v>
      </c>
      <c r="F91" s="4">
        <f>2</f>
        <v>2</v>
      </c>
      <c r="H91" s="3">
        <f>60+4</f>
        <v>64</v>
      </c>
      <c r="I91" s="3">
        <v>170.0</v>
      </c>
      <c r="L91" s="3">
        <v>6.0</v>
      </c>
      <c r="M91" s="3">
        <v>3.0</v>
      </c>
      <c r="P91" s="4">
        <f>3</f>
        <v>3</v>
      </c>
    </row>
    <row r="92" hidden="1">
      <c r="A92" s="3" t="s">
        <v>170</v>
      </c>
      <c r="B92" s="3" t="s">
        <v>171</v>
      </c>
      <c r="C92" s="3" t="s">
        <v>26</v>
      </c>
      <c r="D92" s="3">
        <f>10+207+46+95+400+921</f>
        <v>1679</v>
      </c>
      <c r="E92" s="4">
        <f t="shared" si="1"/>
        <v>943</v>
      </c>
      <c r="F92" s="3">
        <f>1+30+100+12</f>
        <v>143</v>
      </c>
      <c r="H92" s="4">
        <f>33+45+50</f>
        <v>128</v>
      </c>
      <c r="I92" s="4">
        <f>250</f>
        <v>250</v>
      </c>
      <c r="L92" s="4">
        <f>100+90</f>
        <v>190</v>
      </c>
      <c r="P92" s="3">
        <f>4+5+4+12</f>
        <v>25</v>
      </c>
    </row>
    <row r="93" hidden="1">
      <c r="A93" s="3" t="s">
        <v>170</v>
      </c>
      <c r="B93" s="3" t="s">
        <v>172</v>
      </c>
      <c r="C93" s="3" t="s">
        <v>26</v>
      </c>
      <c r="D93" s="3">
        <f>76+450+849+83+400+3386</f>
        <v>5244</v>
      </c>
      <c r="E93" s="4">
        <f t="shared" si="1"/>
        <v>3121</v>
      </c>
      <c r="F93" s="4">
        <f>60+20+200+100+75+21+15</f>
        <v>491</v>
      </c>
      <c r="H93" s="3">
        <f>1+40+174+96</f>
        <v>311</v>
      </c>
      <c r="I93" s="3">
        <f>110+20+200+59</f>
        <v>389</v>
      </c>
      <c r="L93" s="4">
        <f>100+200+40+23+95</f>
        <v>458</v>
      </c>
      <c r="M93" s="4">
        <f>120</f>
        <v>120</v>
      </c>
      <c r="N93" s="4">
        <f>120+100</f>
        <v>220</v>
      </c>
      <c r="P93" s="4">
        <f>3+21+10+100</f>
        <v>134</v>
      </c>
    </row>
    <row r="94" hidden="1">
      <c r="A94" s="3" t="s">
        <v>173</v>
      </c>
      <c r="C94" s="3" t="s">
        <v>26</v>
      </c>
      <c r="D94" s="3">
        <f>112+54</f>
        <v>166</v>
      </c>
      <c r="E94" s="4">
        <f t="shared" si="1"/>
        <v>-1</v>
      </c>
      <c r="H94" s="3">
        <v>43.0</v>
      </c>
      <c r="I94" s="3">
        <v>39.0</v>
      </c>
      <c r="L94" s="3">
        <v>54.0</v>
      </c>
      <c r="M94" s="3">
        <v>20.0</v>
      </c>
      <c r="N94" s="4">
        <f>1</f>
        <v>1</v>
      </c>
      <c r="P94" s="3">
        <v>10.0</v>
      </c>
    </row>
    <row r="95" hidden="1">
      <c r="A95" s="3" t="s">
        <v>174</v>
      </c>
      <c r="B95" s="3" t="s">
        <v>36</v>
      </c>
      <c r="C95" s="3" t="s">
        <v>26</v>
      </c>
      <c r="D95" s="3">
        <f>15+68+178+80</f>
        <v>341</v>
      </c>
      <c r="E95" s="4">
        <f t="shared" si="1"/>
        <v>41</v>
      </c>
      <c r="F95" s="3">
        <f>8+78</f>
        <v>86</v>
      </c>
      <c r="G95" s="3">
        <v>10.0</v>
      </c>
      <c r="H95" s="3">
        <v>25.0</v>
      </c>
      <c r="J95" s="3" t="s">
        <v>175</v>
      </c>
      <c r="K95" s="3">
        <v>25.0</v>
      </c>
      <c r="L95" s="3">
        <f>68+25</f>
        <v>93</v>
      </c>
      <c r="M95" s="4">
        <f>25</f>
        <v>25</v>
      </c>
      <c r="N95" s="3">
        <v>18.0</v>
      </c>
      <c r="P95" s="3">
        <f>1+1+2+14</f>
        <v>18</v>
      </c>
    </row>
    <row r="96" hidden="1">
      <c r="A96" s="3" t="s">
        <v>174</v>
      </c>
      <c r="B96" s="3" t="s">
        <v>176</v>
      </c>
      <c r="C96" s="3" t="s">
        <v>26</v>
      </c>
      <c r="D96" s="3">
        <f>1+48</f>
        <v>49</v>
      </c>
      <c r="E96" s="4">
        <f t="shared" si="1"/>
        <v>3</v>
      </c>
      <c r="F96" s="3">
        <v>36.0</v>
      </c>
      <c r="I96" s="4">
        <f>4</f>
        <v>4</v>
      </c>
      <c r="L96" s="4">
        <f>5</f>
        <v>5</v>
      </c>
      <c r="P96" s="4">
        <f>1</f>
        <v>1</v>
      </c>
      <c r="U96" s="3"/>
      <c r="V96" s="3"/>
      <c r="W96" s="3"/>
      <c r="X96" s="3" t="s">
        <v>177</v>
      </c>
    </row>
    <row r="97" hidden="1">
      <c r="A97" s="3" t="s">
        <v>174</v>
      </c>
      <c r="B97" s="3" t="s">
        <v>178</v>
      </c>
      <c r="C97" s="3" t="s">
        <v>26</v>
      </c>
      <c r="D97" s="3">
        <f>198+75</f>
        <v>273</v>
      </c>
      <c r="E97" s="4">
        <f t="shared" si="1"/>
        <v>7</v>
      </c>
      <c r="F97" s="4">
        <f>25+20</f>
        <v>45</v>
      </c>
      <c r="H97" s="3">
        <v>40.0</v>
      </c>
      <c r="I97" s="4">
        <f>20+25+25</f>
        <v>70</v>
      </c>
      <c r="L97" s="4">
        <f>20+30+25</f>
        <v>75</v>
      </c>
      <c r="M97" s="4">
        <f>1</f>
        <v>1</v>
      </c>
      <c r="P97" s="3">
        <v>35.0</v>
      </c>
      <c r="U97" s="3"/>
      <c r="V97" s="3"/>
      <c r="W97" s="3"/>
      <c r="X97" s="3" t="s">
        <v>177</v>
      </c>
    </row>
    <row r="98" hidden="1">
      <c r="A98" s="3" t="s">
        <v>179</v>
      </c>
      <c r="B98" s="3" t="s">
        <v>36</v>
      </c>
      <c r="C98" s="3" t="s">
        <v>26</v>
      </c>
      <c r="D98" s="3">
        <f>764</f>
        <v>764</v>
      </c>
      <c r="E98" s="4">
        <f t="shared" si="1"/>
        <v>764</v>
      </c>
      <c r="U98" s="3"/>
      <c r="V98" s="3"/>
      <c r="W98" s="3"/>
      <c r="X98" s="3"/>
    </row>
    <row r="99" hidden="1">
      <c r="A99" s="3" t="s">
        <v>179</v>
      </c>
      <c r="B99" s="3" t="s">
        <v>178</v>
      </c>
      <c r="C99" s="3" t="s">
        <v>26</v>
      </c>
      <c r="D99" s="3">
        <v>70.0</v>
      </c>
      <c r="E99" s="4">
        <f t="shared" si="1"/>
        <v>70</v>
      </c>
      <c r="U99" s="3"/>
      <c r="V99" s="3"/>
      <c r="W99" s="3"/>
      <c r="X99" s="3"/>
    </row>
    <row r="100" hidden="1">
      <c r="A100" s="3" t="s">
        <v>180</v>
      </c>
      <c r="B100" s="3" t="s">
        <v>181</v>
      </c>
      <c r="C100" s="3" t="s">
        <v>26</v>
      </c>
      <c r="D100" s="3">
        <f>83+28+35</f>
        <v>146</v>
      </c>
      <c r="E100" s="4">
        <f t="shared" si="1"/>
        <v>35</v>
      </c>
      <c r="H100" s="3">
        <v>43.0</v>
      </c>
      <c r="L100" s="3">
        <f>60+8</f>
        <v>68</v>
      </c>
    </row>
    <row r="101" hidden="1">
      <c r="A101" s="3" t="s">
        <v>182</v>
      </c>
      <c r="B101" s="3" t="s">
        <v>183</v>
      </c>
      <c r="C101" s="3" t="s">
        <v>29</v>
      </c>
      <c r="D101" s="3">
        <f>4</f>
        <v>4</v>
      </c>
      <c r="E101" s="4">
        <f t="shared" si="1"/>
        <v>0</v>
      </c>
      <c r="L101" s="3">
        <f>4</f>
        <v>4</v>
      </c>
    </row>
    <row r="102" hidden="1">
      <c r="A102" s="3" t="s">
        <v>184</v>
      </c>
      <c r="B102" s="3" t="s">
        <v>184</v>
      </c>
      <c r="C102" s="3" t="s">
        <v>26</v>
      </c>
      <c r="D102" s="3">
        <f>2000+200</f>
        <v>2200</v>
      </c>
      <c r="E102" s="4">
        <f t="shared" si="1"/>
        <v>2194</v>
      </c>
      <c r="F102" s="4">
        <f>2+2</f>
        <v>4</v>
      </c>
      <c r="P102" s="4">
        <f>2</f>
        <v>2</v>
      </c>
    </row>
    <row r="103" hidden="1">
      <c r="A103" s="3" t="s">
        <v>185</v>
      </c>
      <c r="B103" s="3" t="s">
        <v>186</v>
      </c>
      <c r="C103" s="3" t="s">
        <v>29</v>
      </c>
      <c r="D103" s="3">
        <f>8000</f>
        <v>8000</v>
      </c>
      <c r="E103" s="4">
        <f t="shared" si="1"/>
        <v>0</v>
      </c>
      <c r="F103" s="3">
        <f>500+500+500</f>
        <v>1500</v>
      </c>
      <c r="H103" s="3">
        <f>1000+500</f>
        <v>1500</v>
      </c>
      <c r="I103" s="3">
        <f>1000+1000</f>
        <v>2000</v>
      </c>
      <c r="J103" s="3">
        <v>500.0</v>
      </c>
      <c r="L103" s="3">
        <v>1000.0</v>
      </c>
      <c r="N103" s="3">
        <v>500.0</v>
      </c>
      <c r="P103" s="3">
        <f>500+500</f>
        <v>1000</v>
      </c>
    </row>
    <row r="104" hidden="1">
      <c r="A104" s="3" t="s">
        <v>187</v>
      </c>
      <c r="B104" s="3" t="s">
        <v>119</v>
      </c>
      <c r="C104" s="3" t="s">
        <v>26</v>
      </c>
      <c r="D104" s="3">
        <v>50.0</v>
      </c>
      <c r="E104" s="4">
        <f t="shared" si="1"/>
        <v>40</v>
      </c>
      <c r="P104" s="3">
        <v>10.0</v>
      </c>
    </row>
    <row r="105" hidden="1">
      <c r="A105" s="3" t="s">
        <v>187</v>
      </c>
      <c r="B105" s="3" t="s">
        <v>188</v>
      </c>
      <c r="C105" s="3" t="s">
        <v>26</v>
      </c>
      <c r="D105" s="3">
        <v>100.0</v>
      </c>
      <c r="E105" s="4">
        <f t="shared" si="1"/>
        <v>100</v>
      </c>
    </row>
    <row r="106" hidden="1">
      <c r="A106" s="3" t="s">
        <v>189</v>
      </c>
      <c r="B106" s="3" t="s">
        <v>190</v>
      </c>
      <c r="C106" s="3" t="s">
        <v>26</v>
      </c>
      <c r="D106" s="3">
        <f>400+171+80+20</f>
        <v>671</v>
      </c>
      <c r="E106" s="4">
        <f t="shared" si="1"/>
        <v>1</v>
      </c>
      <c r="F106" s="4">
        <f>25+85+28</f>
        <v>138</v>
      </c>
      <c r="H106" s="3">
        <f>42+30+50</f>
        <v>122</v>
      </c>
      <c r="I106" s="3">
        <f>60+15+40</f>
        <v>115</v>
      </c>
      <c r="L106" s="4">
        <f>4+20+48+25</f>
        <v>97</v>
      </c>
      <c r="P106" s="4">
        <f>185+13</f>
        <v>198</v>
      </c>
    </row>
    <row r="107" hidden="1">
      <c r="A107" s="3" t="s">
        <v>189</v>
      </c>
      <c r="B107" s="3" t="s">
        <v>191</v>
      </c>
      <c r="C107" s="3" t="s">
        <v>26</v>
      </c>
      <c r="D107" s="3">
        <v>100.0</v>
      </c>
      <c r="E107" s="4">
        <f t="shared" si="1"/>
        <v>100</v>
      </c>
    </row>
    <row r="108" hidden="1">
      <c r="A108" s="3" t="s">
        <v>192</v>
      </c>
      <c r="B108" s="3" t="s">
        <v>193</v>
      </c>
      <c r="C108" s="3" t="s">
        <v>29</v>
      </c>
      <c r="D108" s="3">
        <v>800.0</v>
      </c>
      <c r="E108" s="4">
        <f t="shared" si="1"/>
        <v>700</v>
      </c>
      <c r="H108" s="3">
        <v>100.0</v>
      </c>
    </row>
    <row r="109" hidden="1">
      <c r="A109" s="3" t="s">
        <v>194</v>
      </c>
      <c r="B109" s="3" t="s">
        <v>195</v>
      </c>
      <c r="C109" s="3" t="s">
        <v>26</v>
      </c>
      <c r="D109" s="3">
        <v>4.0</v>
      </c>
      <c r="E109" s="4">
        <f t="shared" si="1"/>
        <v>4</v>
      </c>
    </row>
    <row r="110" hidden="1">
      <c r="A110" s="3" t="s">
        <v>196</v>
      </c>
      <c r="B110" s="3" t="s">
        <v>197</v>
      </c>
      <c r="C110" s="3" t="s">
        <v>26</v>
      </c>
      <c r="D110" s="3">
        <v>4.0</v>
      </c>
      <c r="E110" s="4">
        <f t="shared" si="1"/>
        <v>4</v>
      </c>
    </row>
    <row r="111" hidden="1">
      <c r="A111" s="3" t="s">
        <v>198</v>
      </c>
      <c r="B111" s="3" t="s">
        <v>199</v>
      </c>
      <c r="C111" s="3" t="s">
        <v>26</v>
      </c>
      <c r="D111" s="3">
        <f>56+756</f>
        <v>812</v>
      </c>
      <c r="E111" s="4">
        <f t="shared" si="1"/>
        <v>756</v>
      </c>
      <c r="F111" s="4">
        <f>3</f>
        <v>3</v>
      </c>
      <c r="H111" s="4">
        <f>3</f>
        <v>3</v>
      </c>
      <c r="L111" s="4">
        <f>5+21+24</f>
        <v>50</v>
      </c>
    </row>
    <row r="112" hidden="1">
      <c r="A112" s="3" t="s">
        <v>200</v>
      </c>
      <c r="B112" s="3" t="s">
        <v>201</v>
      </c>
      <c r="C112" s="3" t="s">
        <v>26</v>
      </c>
      <c r="D112" s="3">
        <f>20+15</f>
        <v>35</v>
      </c>
      <c r="E112" s="4">
        <f t="shared" si="1"/>
        <v>35</v>
      </c>
    </row>
    <row r="113" hidden="1">
      <c r="A113" s="3" t="s">
        <v>202</v>
      </c>
      <c r="B113" s="3" t="s">
        <v>203</v>
      </c>
      <c r="C113" s="3" t="s">
        <v>26</v>
      </c>
      <c r="D113" s="3">
        <f>32+48+28+6+3</f>
        <v>117</v>
      </c>
      <c r="E113" s="4">
        <f t="shared" si="1"/>
        <v>0</v>
      </c>
      <c r="H113" s="4">
        <f>33</f>
        <v>33</v>
      </c>
      <c r="I113" s="3">
        <f>32+3</f>
        <v>35</v>
      </c>
      <c r="L113" s="4">
        <f>11+2+30+5</f>
        <v>48</v>
      </c>
      <c r="P113" s="4">
        <f>1</f>
        <v>1</v>
      </c>
    </row>
    <row r="114" hidden="1">
      <c r="A114" s="3" t="s">
        <v>204</v>
      </c>
      <c r="B114" s="3" t="s">
        <v>205</v>
      </c>
      <c r="C114" s="3" t="s">
        <v>26</v>
      </c>
      <c r="D114" s="3">
        <f>250</f>
        <v>250</v>
      </c>
      <c r="E114" s="4">
        <f t="shared" si="1"/>
        <v>50</v>
      </c>
      <c r="H114" s="4">
        <f>50</f>
        <v>50</v>
      </c>
      <c r="M114" s="4">
        <f t="shared" ref="M114:N114" si="6">50</f>
        <v>50</v>
      </c>
      <c r="N114" s="4">
        <f t="shared" si="6"/>
        <v>50</v>
      </c>
      <c r="P114" s="3">
        <f>50</f>
        <v>50</v>
      </c>
    </row>
    <row r="115" hidden="1">
      <c r="A115" s="3" t="s">
        <v>206</v>
      </c>
      <c r="B115" s="3" t="s">
        <v>207</v>
      </c>
      <c r="C115" s="3" t="s">
        <v>26</v>
      </c>
      <c r="D115" s="3">
        <v>77.0</v>
      </c>
      <c r="E115" s="4">
        <f t="shared" si="1"/>
        <v>0</v>
      </c>
      <c r="F115" s="4">
        <f>40</f>
        <v>40</v>
      </c>
      <c r="H115" s="4">
        <f>18</f>
        <v>18</v>
      </c>
      <c r="L115" s="4">
        <f>3+16</f>
        <v>19</v>
      </c>
    </row>
    <row r="116" hidden="1">
      <c r="A116" s="3" t="s">
        <v>208</v>
      </c>
      <c r="B116" s="3" t="s">
        <v>209</v>
      </c>
      <c r="C116" s="3" t="s">
        <v>26</v>
      </c>
      <c r="D116" s="3">
        <f>307</f>
        <v>307</v>
      </c>
      <c r="E116" s="4">
        <f t="shared" ref="E116:E120" si="7">D116-(SUM(F116:T116))</f>
        <v>307</v>
      </c>
    </row>
    <row r="117" hidden="1">
      <c r="A117" s="3" t="s">
        <v>210</v>
      </c>
      <c r="B117" s="3" t="s">
        <v>211</v>
      </c>
      <c r="C117" s="3" t="s">
        <v>26</v>
      </c>
      <c r="D117" s="3">
        <f>50+300</f>
        <v>350</v>
      </c>
      <c r="E117" s="4">
        <f t="shared" si="7"/>
        <v>200</v>
      </c>
      <c r="F117" s="4">
        <f>6</f>
        <v>6</v>
      </c>
      <c r="H117" s="4">
        <f>17</f>
        <v>17</v>
      </c>
      <c r="I117" s="3">
        <v>13.0</v>
      </c>
      <c r="L117" s="4">
        <f>14</f>
        <v>14</v>
      </c>
      <c r="N117" s="4">
        <f t="shared" ref="N117:N118" si="8">100</f>
        <v>100</v>
      </c>
    </row>
    <row r="118" hidden="1">
      <c r="A118" s="3" t="s">
        <v>212</v>
      </c>
      <c r="B118" s="3" t="s">
        <v>213</v>
      </c>
      <c r="C118" s="3" t="s">
        <v>29</v>
      </c>
      <c r="D118" s="3">
        <f>800+858+410+1500</f>
        <v>3568</v>
      </c>
      <c r="E118" s="4">
        <f t="shared" si="7"/>
        <v>1700</v>
      </c>
      <c r="F118" s="4">
        <f>100+100+300+110</f>
        <v>610</v>
      </c>
      <c r="H118" s="4">
        <f>300</f>
        <v>300</v>
      </c>
      <c r="I118" s="3">
        <f>200+158</f>
        <v>358</v>
      </c>
      <c r="L118" s="4">
        <f>100+100+200+100</f>
        <v>500</v>
      </c>
      <c r="N118" s="4">
        <f t="shared" si="8"/>
        <v>100</v>
      </c>
    </row>
    <row r="119" hidden="1">
      <c r="A119" s="3" t="s">
        <v>214</v>
      </c>
      <c r="B119" s="3" t="s">
        <v>201</v>
      </c>
      <c r="C119" s="3" t="s">
        <v>29</v>
      </c>
      <c r="D119" s="3">
        <f>7500</f>
        <v>7500</v>
      </c>
      <c r="E119" s="4">
        <f t="shared" si="7"/>
        <v>7158</v>
      </c>
      <c r="F119" s="4">
        <f>42</f>
        <v>42</v>
      </c>
      <c r="I119" s="4">
        <f>100</f>
        <v>100</v>
      </c>
      <c r="L119" s="4">
        <f>100+100</f>
        <v>200</v>
      </c>
    </row>
    <row r="120" hidden="1">
      <c r="A120" s="3" t="s">
        <v>215</v>
      </c>
      <c r="B120" s="3" t="s">
        <v>216</v>
      </c>
      <c r="C120" s="3" t="s">
        <v>29</v>
      </c>
      <c r="D120" s="3">
        <f>61+200</f>
        <v>261</v>
      </c>
      <c r="E120" s="4">
        <f t="shared" si="7"/>
        <v>261</v>
      </c>
    </row>
    <row r="121" hidden="1">
      <c r="A121" s="3" t="s">
        <v>217</v>
      </c>
      <c r="B121" s="3" t="s">
        <v>218</v>
      </c>
      <c r="C121" s="3" t="s">
        <v>100</v>
      </c>
      <c r="D121" s="3">
        <f>23+50</f>
        <v>73</v>
      </c>
      <c r="E121" s="4">
        <f>D121-(SUM(F121:W121))</f>
        <v>40</v>
      </c>
      <c r="F121" s="4">
        <f>4</f>
        <v>4</v>
      </c>
      <c r="G121" s="3">
        <v>1.0</v>
      </c>
      <c r="H121" s="4">
        <f>4+5+4</f>
        <v>13</v>
      </c>
      <c r="I121" s="4">
        <f>2</f>
        <v>2</v>
      </c>
      <c r="L121" s="4">
        <f>2</f>
        <v>2</v>
      </c>
      <c r="M121" s="4">
        <f>1+4</f>
        <v>5</v>
      </c>
      <c r="N121" s="4">
        <f>2+2</f>
        <v>4</v>
      </c>
      <c r="P121" s="4">
        <f>1+1</f>
        <v>2</v>
      </c>
    </row>
    <row r="122" hidden="1">
      <c r="A122" s="3" t="s">
        <v>219</v>
      </c>
      <c r="B122" s="3" t="s">
        <v>151</v>
      </c>
      <c r="C122" s="3" t="s">
        <v>220</v>
      </c>
      <c r="D122" s="3">
        <v>5.0</v>
      </c>
      <c r="E122" s="4">
        <f t="shared" ref="E122:E126" si="9">D122-(SUM(F122:T122))</f>
        <v>5</v>
      </c>
    </row>
    <row r="123" hidden="1">
      <c r="A123" s="3" t="s">
        <v>221</v>
      </c>
      <c r="B123" s="3" t="s">
        <v>222</v>
      </c>
      <c r="C123" s="3" t="s">
        <v>26</v>
      </c>
      <c r="D123" s="3">
        <v>450.0</v>
      </c>
      <c r="E123" s="4">
        <f t="shared" si="9"/>
        <v>450</v>
      </c>
    </row>
    <row r="124" hidden="1">
      <c r="A124" s="3" t="s">
        <v>223</v>
      </c>
      <c r="B124" s="3" t="s">
        <v>224</v>
      </c>
      <c r="C124" s="3" t="s">
        <v>26</v>
      </c>
      <c r="D124" s="3">
        <f>50+42</f>
        <v>92</v>
      </c>
      <c r="E124" s="4">
        <f t="shared" si="9"/>
        <v>75</v>
      </c>
      <c r="F124" s="4">
        <f>2+1</f>
        <v>3</v>
      </c>
      <c r="H124" s="4">
        <f>1</f>
        <v>1</v>
      </c>
      <c r="L124" s="4">
        <f>6+6</f>
        <v>12</v>
      </c>
      <c r="P124" s="3">
        <f>1</f>
        <v>1</v>
      </c>
    </row>
    <row r="125" hidden="1">
      <c r="A125" s="3" t="s">
        <v>225</v>
      </c>
      <c r="B125" s="3" t="s">
        <v>226</v>
      </c>
      <c r="C125" s="3" t="s">
        <v>26</v>
      </c>
      <c r="D125" s="3">
        <f>22+5</f>
        <v>27</v>
      </c>
      <c r="E125" s="4">
        <f t="shared" si="9"/>
        <v>20</v>
      </c>
      <c r="F125" s="4">
        <f>1+1</f>
        <v>2</v>
      </c>
      <c r="L125" s="4">
        <f>3+2</f>
        <v>5</v>
      </c>
    </row>
    <row r="126">
      <c r="A126" s="3" t="s">
        <v>227</v>
      </c>
      <c r="B126" s="3" t="s">
        <v>228</v>
      </c>
      <c r="C126" s="3" t="s">
        <v>26</v>
      </c>
      <c r="D126" s="3">
        <f>227+138+20+150</f>
        <v>535</v>
      </c>
      <c r="E126" s="4">
        <f t="shared" si="9"/>
        <v>101</v>
      </c>
      <c r="F126" s="4">
        <f>29</f>
        <v>29</v>
      </c>
      <c r="H126" s="3">
        <f>10+27</f>
        <v>37</v>
      </c>
      <c r="I126" s="3">
        <f>10+100+28+15</f>
        <v>153</v>
      </c>
      <c r="L126" s="4">
        <f>26+120</f>
        <v>146</v>
      </c>
      <c r="N126" s="4">
        <f>12+50</f>
        <v>62</v>
      </c>
      <c r="P126" s="4">
        <f>4</f>
        <v>4</v>
      </c>
      <c r="T126" s="3">
        <v>3.0</v>
      </c>
    </row>
    <row r="127" hidden="1">
      <c r="A127" s="3" t="s">
        <v>229</v>
      </c>
      <c r="B127" s="3" t="s">
        <v>230</v>
      </c>
      <c r="C127" s="3" t="s">
        <v>26</v>
      </c>
      <c r="D127" s="3">
        <v>26.0</v>
      </c>
      <c r="E127" s="3">
        <v>26.0</v>
      </c>
    </row>
    <row r="128" hidden="1">
      <c r="A128" s="3" t="s">
        <v>231</v>
      </c>
      <c r="B128" s="3" t="s">
        <v>232</v>
      </c>
      <c r="C128" s="3" t="s">
        <v>26</v>
      </c>
      <c r="D128" s="3">
        <v>48.0</v>
      </c>
      <c r="E128" s="4">
        <f t="shared" ref="E128:E137" si="10">D128-(SUM(F128:T128))</f>
        <v>48</v>
      </c>
    </row>
    <row r="129" hidden="1">
      <c r="A129" s="3" t="s">
        <v>233</v>
      </c>
      <c r="B129" s="3" t="s">
        <v>234</v>
      </c>
      <c r="C129" s="3" t="s">
        <v>26</v>
      </c>
      <c r="D129" s="3">
        <f>121+15+17</f>
        <v>153</v>
      </c>
      <c r="E129" s="4">
        <f t="shared" si="10"/>
        <v>135</v>
      </c>
      <c r="L129" s="4">
        <f>5+8+4</f>
        <v>17</v>
      </c>
      <c r="P129" s="4">
        <f>1</f>
        <v>1</v>
      </c>
    </row>
    <row r="130" hidden="1">
      <c r="A130" s="3" t="s">
        <v>233</v>
      </c>
      <c r="B130" s="3" t="s">
        <v>235</v>
      </c>
      <c r="C130" s="3" t="s">
        <v>26</v>
      </c>
      <c r="D130" s="3">
        <v>48.0</v>
      </c>
      <c r="E130" s="4">
        <f t="shared" si="10"/>
        <v>46</v>
      </c>
      <c r="L130" s="4">
        <f>2</f>
        <v>2</v>
      </c>
    </row>
    <row r="131" hidden="1">
      <c r="A131" s="3" t="s">
        <v>233</v>
      </c>
      <c r="B131" s="3" t="s">
        <v>236</v>
      </c>
      <c r="C131" s="3" t="s">
        <v>26</v>
      </c>
      <c r="D131" s="3">
        <v>26.0</v>
      </c>
      <c r="E131" s="4">
        <f t="shared" si="10"/>
        <v>21</v>
      </c>
      <c r="F131" s="4">
        <f>2</f>
        <v>2</v>
      </c>
      <c r="P131" s="4">
        <f t="shared" ref="P131:P132" si="11">3</f>
        <v>3</v>
      </c>
    </row>
    <row r="132" hidden="1">
      <c r="A132" s="3" t="s">
        <v>233</v>
      </c>
      <c r="B132" s="3" t="s">
        <v>237</v>
      </c>
      <c r="C132" s="3" t="s">
        <v>26</v>
      </c>
      <c r="D132" s="3">
        <v>15.0</v>
      </c>
      <c r="E132" s="4">
        <f t="shared" si="10"/>
        <v>11</v>
      </c>
      <c r="L132" s="4">
        <f>1</f>
        <v>1</v>
      </c>
      <c r="P132" s="4">
        <f t="shared" si="11"/>
        <v>3</v>
      </c>
    </row>
    <row r="133" hidden="1">
      <c r="A133" s="3" t="s">
        <v>233</v>
      </c>
      <c r="B133" s="3" t="s">
        <v>238</v>
      </c>
      <c r="C133" s="3" t="s">
        <v>26</v>
      </c>
      <c r="D133" s="3">
        <f>125+91</f>
        <v>216</v>
      </c>
      <c r="E133" s="4">
        <f t="shared" si="10"/>
        <v>63</v>
      </c>
      <c r="F133" s="4">
        <f>70+5</f>
        <v>75</v>
      </c>
      <c r="L133" s="4">
        <f>10+30+15+12+6</f>
        <v>73</v>
      </c>
      <c r="P133" s="4">
        <f>3+2</f>
        <v>5</v>
      </c>
    </row>
    <row r="134" hidden="1">
      <c r="A134" s="3" t="s">
        <v>239</v>
      </c>
      <c r="B134" s="3" t="s">
        <v>240</v>
      </c>
      <c r="C134" s="3" t="s">
        <v>26</v>
      </c>
      <c r="D134" s="3">
        <f>600+401</f>
        <v>1001</v>
      </c>
      <c r="E134" s="4">
        <f t="shared" si="10"/>
        <v>358</v>
      </c>
      <c r="F134" s="4">
        <f>60+56+8</f>
        <v>124</v>
      </c>
      <c r="G134" s="4">
        <f>12</f>
        <v>12</v>
      </c>
      <c r="H134" s="4">
        <f>80</f>
        <v>80</v>
      </c>
      <c r="I134" s="4">
        <f>100</f>
        <v>100</v>
      </c>
      <c r="L134" s="4">
        <f>23</f>
        <v>23</v>
      </c>
      <c r="M134" s="4">
        <f>200</f>
        <v>200</v>
      </c>
      <c r="N134" s="4">
        <f t="shared" ref="N134:N135" si="12">80</f>
        <v>80</v>
      </c>
      <c r="P134" s="4">
        <f>8+16</f>
        <v>24</v>
      </c>
    </row>
    <row r="135" hidden="1">
      <c r="A135" s="3" t="s">
        <v>239</v>
      </c>
      <c r="B135" s="3" t="s">
        <v>241</v>
      </c>
      <c r="C135" s="3" t="s">
        <v>26</v>
      </c>
      <c r="D135" s="3">
        <f>78+600+205</f>
        <v>883</v>
      </c>
      <c r="E135" s="4">
        <f t="shared" si="10"/>
        <v>85</v>
      </c>
      <c r="F135" s="4">
        <f>100</f>
        <v>100</v>
      </c>
      <c r="H135" s="4">
        <f>50+150</f>
        <v>200</v>
      </c>
      <c r="I135" s="3">
        <v>150.0</v>
      </c>
      <c r="L135" s="4">
        <f>100+128</f>
        <v>228</v>
      </c>
      <c r="M135" s="4">
        <f>40</f>
        <v>40</v>
      </c>
      <c r="N135" s="4">
        <f t="shared" si="12"/>
        <v>80</v>
      </c>
    </row>
    <row r="136" hidden="1">
      <c r="A136" s="3" t="s">
        <v>242</v>
      </c>
      <c r="B136" s="3" t="s">
        <v>243</v>
      </c>
      <c r="C136" s="3" t="s">
        <v>26</v>
      </c>
      <c r="D136" s="3">
        <f>137+21+62</f>
        <v>220</v>
      </c>
      <c r="E136" s="4">
        <f t="shared" si="10"/>
        <v>158</v>
      </c>
      <c r="F136" s="4">
        <f>10</f>
        <v>10</v>
      </c>
      <c r="L136" s="4">
        <f>14</f>
        <v>14</v>
      </c>
      <c r="P136" s="4">
        <f>28+10</f>
        <v>38</v>
      </c>
    </row>
    <row r="137" hidden="1">
      <c r="A137" s="3" t="s">
        <v>244</v>
      </c>
      <c r="B137" s="3" t="s">
        <v>245</v>
      </c>
      <c r="C137" s="3" t="s">
        <v>26</v>
      </c>
      <c r="D137" s="3">
        <v>100.0</v>
      </c>
      <c r="E137" s="4">
        <f t="shared" si="10"/>
        <v>-166</v>
      </c>
      <c r="F137" s="3">
        <v>20.0</v>
      </c>
      <c r="I137" s="3">
        <v>80.0</v>
      </c>
      <c r="N137" s="4">
        <f>80</f>
        <v>80</v>
      </c>
      <c r="P137" s="4">
        <f>86</f>
        <v>86</v>
      </c>
    </row>
    <row r="138" hidden="1">
      <c r="A138" s="3" t="s">
        <v>246</v>
      </c>
      <c r="B138" s="3" t="s">
        <v>247</v>
      </c>
      <c r="C138" s="3" t="s">
        <v>26</v>
      </c>
      <c r="D138" s="3">
        <v>336.0</v>
      </c>
      <c r="E138" s="3">
        <v>336.0</v>
      </c>
      <c r="U138" s="4">
        <f>20</f>
        <v>20</v>
      </c>
    </row>
    <row r="139" hidden="1">
      <c r="A139" s="3" t="s">
        <v>248</v>
      </c>
      <c r="B139" s="3" t="s">
        <v>249</v>
      </c>
      <c r="C139" s="3" t="s">
        <v>250</v>
      </c>
      <c r="D139" s="3">
        <f>170+300</f>
        <v>470</v>
      </c>
      <c r="E139" s="4">
        <f t="shared" ref="E139:E145" si="13">D139-(SUM(F139:O139))</f>
        <v>470</v>
      </c>
    </row>
    <row r="140" hidden="1">
      <c r="A140" s="3" t="s">
        <v>148</v>
      </c>
      <c r="B140" s="3" t="s">
        <v>251</v>
      </c>
      <c r="C140" s="3" t="s">
        <v>26</v>
      </c>
      <c r="D140" s="3">
        <v>110.0</v>
      </c>
      <c r="E140" s="4">
        <f t="shared" si="13"/>
        <v>0</v>
      </c>
      <c r="F140" s="4">
        <f>60</f>
        <v>60</v>
      </c>
      <c r="H140" s="4">
        <f>50</f>
        <v>50</v>
      </c>
    </row>
    <row r="141" hidden="1">
      <c r="A141" s="3" t="s">
        <v>252</v>
      </c>
      <c r="B141" s="3" t="s">
        <v>253</v>
      </c>
      <c r="C141" s="3" t="s">
        <v>26</v>
      </c>
      <c r="D141" s="3">
        <v>20.0</v>
      </c>
      <c r="E141" s="4">
        <f t="shared" si="13"/>
        <v>0</v>
      </c>
      <c r="F141" s="4">
        <f>20</f>
        <v>20</v>
      </c>
    </row>
    <row r="142" hidden="1">
      <c r="A142" s="3" t="s">
        <v>254</v>
      </c>
      <c r="B142" s="3" t="s">
        <v>255</v>
      </c>
      <c r="C142" s="3" t="s">
        <v>256</v>
      </c>
      <c r="D142" s="3">
        <v>29.0</v>
      </c>
      <c r="E142" s="4">
        <f t="shared" si="13"/>
        <v>29</v>
      </c>
    </row>
    <row r="143" hidden="1">
      <c r="A143" s="3" t="s">
        <v>257</v>
      </c>
      <c r="B143" s="3" t="s">
        <v>258</v>
      </c>
      <c r="C143" s="3" t="s">
        <v>26</v>
      </c>
      <c r="D143" s="3">
        <v>100.0</v>
      </c>
      <c r="E143" s="4">
        <f t="shared" si="13"/>
        <v>100</v>
      </c>
      <c r="P143" s="4">
        <f>50</f>
        <v>50</v>
      </c>
    </row>
    <row r="144" hidden="1">
      <c r="A144" s="3" t="s">
        <v>259</v>
      </c>
      <c r="B144" s="3" t="s">
        <v>259</v>
      </c>
      <c r="C144" s="3" t="s">
        <v>250</v>
      </c>
      <c r="D144" s="3">
        <v>10000.0</v>
      </c>
      <c r="E144" s="4">
        <f t="shared" si="13"/>
        <v>0</v>
      </c>
      <c r="F144" s="4">
        <f>3000</f>
        <v>3000</v>
      </c>
      <c r="H144" s="4">
        <f>2000</f>
        <v>2000</v>
      </c>
      <c r="L144" s="3">
        <v>5000.0</v>
      </c>
    </row>
    <row r="145" hidden="1">
      <c r="A145" s="3" t="s">
        <v>260</v>
      </c>
      <c r="B145" s="3" t="s">
        <v>260</v>
      </c>
      <c r="C145" s="3" t="s">
        <v>29</v>
      </c>
      <c r="D145" s="3">
        <f>14356</f>
        <v>14356</v>
      </c>
      <c r="E145" s="4">
        <f t="shared" si="13"/>
        <v>0</v>
      </c>
      <c r="L145" s="3">
        <f>14356</f>
        <v>14356</v>
      </c>
    </row>
    <row r="146" hidden="1">
      <c r="A146" s="5" t="s">
        <v>261</v>
      </c>
      <c r="B146" s="5" t="s">
        <v>262</v>
      </c>
      <c r="C146" s="3" t="s">
        <v>26</v>
      </c>
      <c r="D146" s="3">
        <f>30+13</f>
        <v>43</v>
      </c>
      <c r="E146" s="3">
        <f t="shared" ref="E146:E151" si="14">D146-(SUM(F146:W146))</f>
        <v>40</v>
      </c>
      <c r="L146" s="4">
        <f>3</f>
        <v>3</v>
      </c>
    </row>
    <row r="147" hidden="1">
      <c r="A147" s="5" t="s">
        <v>263</v>
      </c>
      <c r="B147" s="5" t="s">
        <v>264</v>
      </c>
      <c r="C147" s="3" t="s">
        <v>26</v>
      </c>
      <c r="D147" s="3">
        <f t="shared" ref="D147:D148" si="15">0+1</f>
        <v>1</v>
      </c>
      <c r="E147" s="4">
        <f t="shared" si="14"/>
        <v>1</v>
      </c>
    </row>
    <row r="148" hidden="1">
      <c r="A148" s="5" t="s">
        <v>265</v>
      </c>
      <c r="B148" s="5" t="s">
        <v>266</v>
      </c>
      <c r="C148" s="3" t="s">
        <v>26</v>
      </c>
      <c r="D148" s="3">
        <f t="shared" si="15"/>
        <v>1</v>
      </c>
      <c r="E148" s="4">
        <f t="shared" si="14"/>
        <v>0</v>
      </c>
      <c r="L148" s="4">
        <f>1</f>
        <v>1</v>
      </c>
    </row>
    <row r="149" hidden="1">
      <c r="A149" s="5" t="s">
        <v>267</v>
      </c>
      <c r="B149" s="5" t="s">
        <v>268</v>
      </c>
      <c r="C149" s="3" t="s">
        <v>26</v>
      </c>
      <c r="D149" s="3">
        <f>0+3</f>
        <v>3</v>
      </c>
      <c r="E149" s="4">
        <f t="shared" si="14"/>
        <v>3</v>
      </c>
    </row>
    <row r="150" hidden="1">
      <c r="A150" s="5" t="s">
        <v>269</v>
      </c>
      <c r="B150" s="5" t="s">
        <v>270</v>
      </c>
      <c r="C150" s="3" t="s">
        <v>26</v>
      </c>
      <c r="D150" s="3">
        <f>0+1</f>
        <v>1</v>
      </c>
      <c r="E150" s="4">
        <f t="shared" si="14"/>
        <v>1</v>
      </c>
    </row>
    <row r="151" hidden="1">
      <c r="A151" s="5" t="s">
        <v>271</v>
      </c>
      <c r="B151" s="5" t="s">
        <v>272</v>
      </c>
      <c r="C151" s="3" t="s">
        <v>26</v>
      </c>
      <c r="D151" s="3">
        <f>0+3</f>
        <v>3</v>
      </c>
      <c r="E151" s="4">
        <f t="shared" si="14"/>
        <v>3</v>
      </c>
    </row>
    <row r="152" hidden="1">
      <c r="A152" s="3" t="s">
        <v>273</v>
      </c>
      <c r="B152" s="3" t="s">
        <v>274</v>
      </c>
      <c r="C152" s="3" t="s">
        <v>250</v>
      </c>
      <c r="D152" s="3">
        <f>0+20</f>
        <v>20</v>
      </c>
      <c r="E152" s="4">
        <f>D152-(SUM(F152:O152))</f>
        <v>20</v>
      </c>
    </row>
    <row r="153" hidden="1">
      <c r="A153" s="3" t="s">
        <v>120</v>
      </c>
      <c r="B153" s="3" t="s">
        <v>275</v>
      </c>
      <c r="C153" s="3" t="s">
        <v>29</v>
      </c>
      <c r="D153" s="4">
        <f>0+258</f>
        <v>258</v>
      </c>
      <c r="E153" s="4">
        <f>D153-(SUM(F988:W988))</f>
        <v>258</v>
      </c>
    </row>
    <row r="154" hidden="1">
      <c r="A154" s="3" t="s">
        <v>276</v>
      </c>
      <c r="B154" s="3" t="s">
        <v>277</v>
      </c>
      <c r="C154" s="3" t="s">
        <v>29</v>
      </c>
      <c r="D154" s="4">
        <f>0+680</f>
        <v>680</v>
      </c>
      <c r="E154" s="4">
        <f>D154-(SUM(F990:W990))</f>
        <v>680</v>
      </c>
    </row>
    <row r="155" hidden="1">
      <c r="A155" s="3" t="s">
        <v>278</v>
      </c>
      <c r="B155" s="3" t="s">
        <v>279</v>
      </c>
      <c r="C155" s="3" t="s">
        <v>29</v>
      </c>
      <c r="D155" s="4">
        <f>0+19532</f>
        <v>19532</v>
      </c>
      <c r="E155" s="4">
        <f>D155-(SUM(F155:T155))</f>
        <v>12468</v>
      </c>
      <c r="F155" s="4">
        <f>1000</f>
        <v>1000</v>
      </c>
      <c r="H155" s="3">
        <f>1500+1532</f>
        <v>3032</v>
      </c>
      <c r="M155" s="4">
        <f>500</f>
        <v>500</v>
      </c>
      <c r="P155" s="4">
        <f>1532+1000</f>
        <v>2532</v>
      </c>
    </row>
    <row r="156" hidden="1">
      <c r="A156" s="3" t="s">
        <v>72</v>
      </c>
      <c r="B156" s="3" t="s">
        <v>280</v>
      </c>
      <c r="C156" s="3" t="s">
        <v>26</v>
      </c>
      <c r="D156" s="3">
        <f>387+13</f>
        <v>400</v>
      </c>
      <c r="E156" s="3">
        <f>D156-(F156+G156+H156+I156+J156+K156+L156+M156+N156+O156+P156+Q156+R156+S156+T156+U156+W156)</f>
        <v>0</v>
      </c>
      <c r="M156" s="4">
        <f>200</f>
        <v>200</v>
      </c>
      <c r="P156" s="4">
        <f>200</f>
        <v>200</v>
      </c>
    </row>
    <row r="157" hidden="1">
      <c r="A157" s="3" t="s">
        <v>101</v>
      </c>
      <c r="B157" s="3" t="s">
        <v>281</v>
      </c>
      <c r="C157" s="3" t="s">
        <v>26</v>
      </c>
      <c r="D157" s="3">
        <v>100.0</v>
      </c>
      <c r="E157" s="3">
        <v>100.0</v>
      </c>
    </row>
    <row r="158" hidden="1">
      <c r="A158" s="3" t="s">
        <v>72</v>
      </c>
      <c r="B158" s="3" t="s">
        <v>282</v>
      </c>
      <c r="C158" s="3" t="s">
        <v>26</v>
      </c>
      <c r="D158" s="3">
        <v>0.0</v>
      </c>
      <c r="E158" s="3">
        <f>D158-(F158+G158+H158+I158+J158+K158+L158+M158+N158+O158+P158+Q158+R158+S158+T158+U158+W158)</f>
        <v>0</v>
      </c>
    </row>
    <row r="159" hidden="1">
      <c r="A159" s="3" t="s">
        <v>109</v>
      </c>
      <c r="B159" s="3" t="s">
        <v>283</v>
      </c>
      <c r="C159" s="3" t="s">
        <v>26</v>
      </c>
      <c r="D159" s="4">
        <f>10+10+1+5</f>
        <v>26</v>
      </c>
      <c r="E159" s="4">
        <f t="shared" ref="E159:E172" si="16">D159-(SUM(F159:W159))</f>
        <v>20</v>
      </c>
      <c r="L159" s="4">
        <f>6</f>
        <v>6</v>
      </c>
    </row>
    <row r="160" hidden="1">
      <c r="A160" s="6" t="s">
        <v>284</v>
      </c>
      <c r="B160" s="6" t="s">
        <v>285</v>
      </c>
      <c r="C160" s="3" t="s">
        <v>26</v>
      </c>
      <c r="D160" s="3">
        <f>5</f>
        <v>5</v>
      </c>
      <c r="E160" s="4">
        <f t="shared" si="16"/>
        <v>1</v>
      </c>
      <c r="F160" s="4">
        <f>1</f>
        <v>1</v>
      </c>
      <c r="H160" s="4">
        <f>1</f>
        <v>1</v>
      </c>
      <c r="J160" s="4">
        <f>1</f>
        <v>1</v>
      </c>
      <c r="P160" s="4">
        <f>1</f>
        <v>1</v>
      </c>
      <c r="X160" s="5" t="s">
        <v>286</v>
      </c>
    </row>
    <row r="161" hidden="1">
      <c r="A161" s="3" t="s">
        <v>287</v>
      </c>
      <c r="B161" s="3" t="s">
        <v>288</v>
      </c>
      <c r="C161" s="3" t="s">
        <v>26</v>
      </c>
      <c r="D161" s="3">
        <v>10.0</v>
      </c>
      <c r="E161" s="4">
        <f t="shared" si="16"/>
        <v>6</v>
      </c>
      <c r="L161" s="3">
        <v>4.0</v>
      </c>
    </row>
    <row r="162" hidden="1">
      <c r="A162" s="3" t="s">
        <v>287</v>
      </c>
      <c r="B162" s="3" t="s">
        <v>289</v>
      </c>
      <c r="C162" s="3" t="s">
        <v>26</v>
      </c>
      <c r="D162" s="3">
        <v>16.0</v>
      </c>
      <c r="E162" s="4">
        <f t="shared" si="16"/>
        <v>12</v>
      </c>
      <c r="L162" s="3">
        <v>4.0</v>
      </c>
    </row>
    <row r="163" hidden="1">
      <c r="A163" s="3" t="s">
        <v>290</v>
      </c>
      <c r="B163" s="3" t="s">
        <v>291</v>
      </c>
      <c r="C163" s="3" t="s">
        <v>26</v>
      </c>
      <c r="D163" s="3">
        <f>16+94</f>
        <v>110</v>
      </c>
      <c r="E163" s="4">
        <f t="shared" si="16"/>
        <v>95</v>
      </c>
      <c r="L163" s="4">
        <f>15</f>
        <v>15</v>
      </c>
    </row>
    <row r="164" hidden="1">
      <c r="A164" s="3" t="s">
        <v>290</v>
      </c>
      <c r="B164" s="3" t="s">
        <v>292</v>
      </c>
      <c r="C164" s="3" t="s">
        <v>26</v>
      </c>
      <c r="D164" s="3">
        <v>4.0</v>
      </c>
      <c r="E164" s="4">
        <f t="shared" si="16"/>
        <v>0</v>
      </c>
      <c r="L164" s="3">
        <v>4.0</v>
      </c>
    </row>
    <row r="165" hidden="1">
      <c r="A165" s="3" t="s">
        <v>293</v>
      </c>
      <c r="B165" s="3" t="s">
        <v>294</v>
      </c>
      <c r="C165" s="3" t="s">
        <v>26</v>
      </c>
      <c r="D165" s="4">
        <f>200+300</f>
        <v>500</v>
      </c>
      <c r="E165" s="4">
        <f t="shared" si="16"/>
        <v>200</v>
      </c>
      <c r="M165" s="4">
        <f>100</f>
        <v>100</v>
      </c>
      <c r="N165" s="4">
        <f>100+100</f>
        <v>200</v>
      </c>
    </row>
    <row r="166" hidden="1">
      <c r="A166" s="3" t="s">
        <v>295</v>
      </c>
      <c r="B166" s="3" t="s">
        <v>296</v>
      </c>
      <c r="C166" s="3" t="s">
        <v>29</v>
      </c>
      <c r="D166" s="3">
        <f>100+150</f>
        <v>250</v>
      </c>
      <c r="E166" s="4">
        <f t="shared" si="16"/>
        <v>250</v>
      </c>
    </row>
    <row r="167" hidden="1">
      <c r="A167" s="3" t="s">
        <v>297</v>
      </c>
      <c r="B167" s="3" t="s">
        <v>298</v>
      </c>
      <c r="C167" s="3" t="s">
        <v>26</v>
      </c>
      <c r="D167" s="3">
        <v>912.0</v>
      </c>
      <c r="E167" s="4">
        <f t="shared" si="16"/>
        <v>912</v>
      </c>
    </row>
    <row r="168" hidden="1">
      <c r="A168" s="3" t="s">
        <v>299</v>
      </c>
      <c r="B168" s="3" t="s">
        <v>300</v>
      </c>
      <c r="C168" s="3" t="s">
        <v>26</v>
      </c>
      <c r="D168" s="3">
        <v>564.0</v>
      </c>
      <c r="E168" s="4">
        <f t="shared" si="16"/>
        <v>564</v>
      </c>
    </row>
    <row r="169" hidden="1">
      <c r="A169" s="3" t="s">
        <v>127</v>
      </c>
      <c r="B169" s="3" t="s">
        <v>301</v>
      </c>
      <c r="C169" s="3" t="s">
        <v>26</v>
      </c>
      <c r="D169" s="3">
        <v>756.0</v>
      </c>
      <c r="E169" s="4">
        <f t="shared" si="16"/>
        <v>756</v>
      </c>
    </row>
    <row r="170" hidden="1">
      <c r="A170" s="3" t="s">
        <v>302</v>
      </c>
      <c r="B170" s="3" t="s">
        <v>303</v>
      </c>
      <c r="C170" s="3" t="s">
        <v>26</v>
      </c>
      <c r="D170" s="3">
        <v>913.0</v>
      </c>
      <c r="E170" s="4">
        <f t="shared" si="16"/>
        <v>913</v>
      </c>
    </row>
    <row r="171" hidden="1">
      <c r="A171" s="3" t="s">
        <v>304</v>
      </c>
      <c r="B171" s="3" t="s">
        <v>305</v>
      </c>
      <c r="C171" s="3" t="s">
        <v>26</v>
      </c>
      <c r="D171" s="3">
        <v>5700.0</v>
      </c>
      <c r="E171" s="4">
        <f t="shared" si="16"/>
        <v>5440</v>
      </c>
      <c r="H171" s="4">
        <f t="shared" ref="H171:H172" si="17">100</f>
        <v>100</v>
      </c>
      <c r="M171" s="4">
        <f t="shared" ref="M171:M172" si="18">100</f>
        <v>100</v>
      </c>
      <c r="N171" s="4">
        <f>60</f>
        <v>60</v>
      </c>
    </row>
    <row r="172" hidden="1">
      <c r="A172" s="3" t="s">
        <v>306</v>
      </c>
      <c r="B172" s="3" t="s">
        <v>307</v>
      </c>
      <c r="C172" s="3" t="s">
        <v>26</v>
      </c>
      <c r="D172" s="3">
        <v>1900.0</v>
      </c>
      <c r="E172" s="4">
        <f t="shared" si="16"/>
        <v>1680</v>
      </c>
      <c r="H172" s="4">
        <f t="shared" si="17"/>
        <v>100</v>
      </c>
      <c r="M172" s="4">
        <f t="shared" si="18"/>
        <v>100</v>
      </c>
      <c r="N172" s="4">
        <f>20</f>
        <v>20</v>
      </c>
    </row>
    <row r="173" hidden="1">
      <c r="A173" s="3" t="s">
        <v>72</v>
      </c>
      <c r="B173" s="3" t="s">
        <v>308</v>
      </c>
      <c r="C173" s="3" t="s">
        <v>26</v>
      </c>
      <c r="D173" s="3">
        <v>0.0</v>
      </c>
      <c r="E173" s="3">
        <f t="shared" ref="E173:E179" si="19">D173-(F173+G173+H173+I173+J173+K173+L173+M173+N173+O173+P173+Q173+R173+S173+T173+U173+W173)</f>
        <v>0</v>
      </c>
    </row>
    <row r="174" hidden="1">
      <c r="A174" s="3" t="s">
        <v>72</v>
      </c>
      <c r="B174" s="3" t="s">
        <v>309</v>
      </c>
      <c r="C174" s="3" t="s">
        <v>26</v>
      </c>
      <c r="D174" s="3">
        <v>0.0</v>
      </c>
      <c r="E174" s="3">
        <f t="shared" si="19"/>
        <v>0</v>
      </c>
    </row>
    <row r="175" hidden="1">
      <c r="A175" s="3" t="s">
        <v>72</v>
      </c>
      <c r="B175" s="3" t="s">
        <v>310</v>
      </c>
      <c r="C175" s="3" t="s">
        <v>26</v>
      </c>
      <c r="D175" s="3">
        <v>11.0</v>
      </c>
      <c r="E175" s="3">
        <f t="shared" si="19"/>
        <v>11</v>
      </c>
    </row>
    <row r="176" hidden="1">
      <c r="A176" s="3" t="s">
        <v>72</v>
      </c>
      <c r="B176" s="3" t="s">
        <v>311</v>
      </c>
      <c r="C176" s="3" t="s">
        <v>26</v>
      </c>
      <c r="D176" s="3">
        <v>5.0</v>
      </c>
      <c r="E176" s="3">
        <f t="shared" si="19"/>
        <v>5</v>
      </c>
    </row>
    <row r="177" hidden="1">
      <c r="A177" s="3" t="s">
        <v>72</v>
      </c>
      <c r="B177" s="3" t="s">
        <v>312</v>
      </c>
      <c r="C177" s="3" t="s">
        <v>26</v>
      </c>
      <c r="D177" s="3">
        <f>75</f>
        <v>75</v>
      </c>
      <c r="E177" s="3">
        <f t="shared" si="19"/>
        <v>35</v>
      </c>
      <c r="L177" s="4">
        <f>20+20</f>
        <v>40</v>
      </c>
    </row>
    <row r="178" hidden="1">
      <c r="A178" s="3" t="s">
        <v>72</v>
      </c>
      <c r="B178" s="3" t="s">
        <v>313</v>
      </c>
      <c r="C178" s="3" t="s">
        <v>26</v>
      </c>
      <c r="D178" s="3">
        <v>9.0</v>
      </c>
      <c r="E178" s="3">
        <f t="shared" si="19"/>
        <v>9</v>
      </c>
    </row>
    <row r="179" hidden="1">
      <c r="A179" s="3" t="s">
        <v>72</v>
      </c>
      <c r="B179" s="3" t="s">
        <v>314</v>
      </c>
      <c r="C179" s="3" t="s">
        <v>26</v>
      </c>
      <c r="D179" s="3">
        <v>39.0</v>
      </c>
      <c r="E179" s="3">
        <f t="shared" si="19"/>
        <v>39</v>
      </c>
    </row>
    <row r="180" hidden="1">
      <c r="A180" s="3" t="s">
        <v>143</v>
      </c>
      <c r="B180" s="3" t="s">
        <v>315</v>
      </c>
      <c r="C180" s="3" t="s">
        <v>26</v>
      </c>
      <c r="D180" s="3">
        <v>8.0</v>
      </c>
      <c r="E180" s="3">
        <v>0.0</v>
      </c>
      <c r="L180" s="3">
        <v>8.0</v>
      </c>
    </row>
    <row r="181" hidden="1">
      <c r="A181" s="3" t="s">
        <v>44</v>
      </c>
      <c r="B181" s="3" t="s">
        <v>316</v>
      </c>
      <c r="C181" s="3" t="s">
        <v>29</v>
      </c>
      <c r="D181" s="3">
        <v>100.0</v>
      </c>
      <c r="E181" s="4">
        <f t="shared" ref="E181:E567" si="20">D181-(SUM(F181:O181))</f>
        <v>100</v>
      </c>
    </row>
    <row r="182" hidden="1">
      <c r="E182" s="4">
        <f t="shared" si="20"/>
        <v>0</v>
      </c>
    </row>
    <row r="183" hidden="1">
      <c r="E183" s="4">
        <f t="shared" si="20"/>
        <v>0</v>
      </c>
    </row>
    <row r="184" hidden="1">
      <c r="E184" s="4">
        <f t="shared" si="20"/>
        <v>0</v>
      </c>
    </row>
    <row r="185" hidden="1">
      <c r="E185" s="4">
        <f t="shared" si="20"/>
        <v>0</v>
      </c>
    </row>
    <row r="186" hidden="1">
      <c r="E186" s="4">
        <f t="shared" si="20"/>
        <v>0</v>
      </c>
    </row>
    <row r="187" hidden="1">
      <c r="E187" s="4">
        <f t="shared" si="20"/>
        <v>0</v>
      </c>
    </row>
    <row r="188" hidden="1">
      <c r="E188" s="4">
        <f t="shared" si="20"/>
        <v>0</v>
      </c>
    </row>
    <row r="189" hidden="1">
      <c r="E189" s="4">
        <f t="shared" si="20"/>
        <v>0</v>
      </c>
    </row>
    <row r="190" hidden="1">
      <c r="E190" s="4">
        <f t="shared" si="20"/>
        <v>0</v>
      </c>
    </row>
    <row r="191" hidden="1">
      <c r="E191" s="4">
        <f t="shared" si="20"/>
        <v>0</v>
      </c>
    </row>
    <row r="192" hidden="1">
      <c r="E192" s="4">
        <f t="shared" si="20"/>
        <v>0</v>
      </c>
    </row>
    <row r="193" hidden="1">
      <c r="E193" s="4">
        <f t="shared" si="20"/>
        <v>0</v>
      </c>
    </row>
    <row r="194" hidden="1">
      <c r="E194" s="4">
        <f t="shared" si="20"/>
        <v>0</v>
      </c>
    </row>
    <row r="195" hidden="1">
      <c r="E195" s="4">
        <f t="shared" si="20"/>
        <v>0</v>
      </c>
    </row>
    <row r="196" hidden="1">
      <c r="E196" s="4">
        <f t="shared" si="20"/>
        <v>0</v>
      </c>
    </row>
    <row r="197" hidden="1">
      <c r="E197" s="4">
        <f t="shared" si="20"/>
        <v>0</v>
      </c>
    </row>
    <row r="198" hidden="1">
      <c r="E198" s="4">
        <f t="shared" si="20"/>
        <v>0</v>
      </c>
    </row>
    <row r="199" hidden="1">
      <c r="E199" s="4">
        <f t="shared" si="20"/>
        <v>0</v>
      </c>
    </row>
    <row r="200" hidden="1">
      <c r="E200" s="4">
        <f t="shared" si="20"/>
        <v>0</v>
      </c>
    </row>
    <row r="201" hidden="1">
      <c r="E201" s="4">
        <f t="shared" si="20"/>
        <v>0</v>
      </c>
    </row>
    <row r="202" hidden="1">
      <c r="E202" s="4">
        <f t="shared" si="20"/>
        <v>0</v>
      </c>
    </row>
    <row r="203" hidden="1">
      <c r="E203" s="4">
        <f t="shared" si="20"/>
        <v>0</v>
      </c>
    </row>
    <row r="204" hidden="1">
      <c r="E204" s="4">
        <f t="shared" si="20"/>
        <v>0</v>
      </c>
    </row>
    <row r="205" hidden="1">
      <c r="E205" s="4">
        <f t="shared" si="20"/>
        <v>0</v>
      </c>
    </row>
    <row r="206" hidden="1">
      <c r="E206" s="4">
        <f t="shared" si="20"/>
        <v>0</v>
      </c>
    </row>
    <row r="207" hidden="1">
      <c r="E207" s="4">
        <f t="shared" si="20"/>
        <v>0</v>
      </c>
    </row>
    <row r="208" hidden="1">
      <c r="E208" s="4">
        <f t="shared" si="20"/>
        <v>0</v>
      </c>
    </row>
    <row r="209" hidden="1">
      <c r="E209" s="4">
        <f t="shared" si="20"/>
        <v>0</v>
      </c>
    </row>
    <row r="210" hidden="1">
      <c r="E210" s="4">
        <f t="shared" si="20"/>
        <v>0</v>
      </c>
    </row>
    <row r="211" hidden="1">
      <c r="E211" s="4">
        <f t="shared" si="20"/>
        <v>0</v>
      </c>
    </row>
    <row r="212" hidden="1">
      <c r="E212" s="4">
        <f t="shared" si="20"/>
        <v>0</v>
      </c>
    </row>
    <row r="213" hidden="1">
      <c r="E213" s="4">
        <f t="shared" si="20"/>
        <v>0</v>
      </c>
    </row>
    <row r="214" hidden="1">
      <c r="E214" s="4">
        <f t="shared" si="20"/>
        <v>0</v>
      </c>
    </row>
    <row r="215" hidden="1">
      <c r="E215" s="4">
        <f t="shared" si="20"/>
        <v>0</v>
      </c>
    </row>
    <row r="216" hidden="1">
      <c r="E216" s="4">
        <f t="shared" si="20"/>
        <v>0</v>
      </c>
    </row>
    <row r="217" hidden="1">
      <c r="E217" s="4">
        <f t="shared" si="20"/>
        <v>0</v>
      </c>
    </row>
    <row r="218" hidden="1">
      <c r="E218" s="4">
        <f t="shared" si="20"/>
        <v>0</v>
      </c>
    </row>
    <row r="219" hidden="1">
      <c r="E219" s="4">
        <f t="shared" si="20"/>
        <v>0</v>
      </c>
    </row>
    <row r="220" hidden="1">
      <c r="E220" s="4">
        <f t="shared" si="20"/>
        <v>0</v>
      </c>
    </row>
    <row r="221" hidden="1">
      <c r="E221" s="4">
        <f t="shared" si="20"/>
        <v>0</v>
      </c>
    </row>
    <row r="222" hidden="1">
      <c r="E222" s="4">
        <f t="shared" si="20"/>
        <v>0</v>
      </c>
    </row>
    <row r="223" hidden="1">
      <c r="E223" s="4">
        <f t="shared" si="20"/>
        <v>0</v>
      </c>
    </row>
    <row r="224" hidden="1">
      <c r="E224" s="4">
        <f t="shared" si="20"/>
        <v>0</v>
      </c>
    </row>
    <row r="225" hidden="1">
      <c r="E225" s="4">
        <f t="shared" si="20"/>
        <v>0</v>
      </c>
    </row>
    <row r="226" hidden="1">
      <c r="E226" s="4">
        <f t="shared" si="20"/>
        <v>0</v>
      </c>
    </row>
    <row r="227" hidden="1">
      <c r="E227" s="4">
        <f t="shared" si="20"/>
        <v>0</v>
      </c>
    </row>
    <row r="228" hidden="1">
      <c r="E228" s="4">
        <f t="shared" si="20"/>
        <v>0</v>
      </c>
    </row>
    <row r="229" hidden="1">
      <c r="E229" s="4">
        <f t="shared" si="20"/>
        <v>0</v>
      </c>
    </row>
    <row r="230" hidden="1">
      <c r="E230" s="4">
        <f t="shared" si="20"/>
        <v>0</v>
      </c>
    </row>
    <row r="231" hidden="1">
      <c r="E231" s="4">
        <f t="shared" si="20"/>
        <v>0</v>
      </c>
    </row>
    <row r="232" hidden="1">
      <c r="E232" s="4">
        <f t="shared" si="20"/>
        <v>0</v>
      </c>
    </row>
    <row r="233" hidden="1">
      <c r="E233" s="4">
        <f t="shared" si="20"/>
        <v>0</v>
      </c>
    </row>
    <row r="234" hidden="1">
      <c r="E234" s="4">
        <f t="shared" si="20"/>
        <v>0</v>
      </c>
    </row>
    <row r="235" hidden="1">
      <c r="E235" s="4">
        <f t="shared" si="20"/>
        <v>0</v>
      </c>
    </row>
    <row r="236" hidden="1">
      <c r="E236" s="4">
        <f t="shared" si="20"/>
        <v>0</v>
      </c>
    </row>
    <row r="237" hidden="1">
      <c r="E237" s="4">
        <f t="shared" si="20"/>
        <v>0</v>
      </c>
    </row>
    <row r="238" hidden="1">
      <c r="E238" s="4">
        <f t="shared" si="20"/>
        <v>0</v>
      </c>
    </row>
    <row r="239" hidden="1">
      <c r="E239" s="4">
        <f t="shared" si="20"/>
        <v>0</v>
      </c>
    </row>
    <row r="240" hidden="1">
      <c r="E240" s="4">
        <f t="shared" si="20"/>
        <v>0</v>
      </c>
    </row>
    <row r="241" hidden="1">
      <c r="E241" s="4">
        <f t="shared" si="20"/>
        <v>0</v>
      </c>
    </row>
    <row r="242" hidden="1">
      <c r="E242" s="4">
        <f t="shared" si="20"/>
        <v>0</v>
      </c>
    </row>
    <row r="243" hidden="1">
      <c r="E243" s="4">
        <f t="shared" si="20"/>
        <v>0</v>
      </c>
    </row>
    <row r="244" hidden="1">
      <c r="E244" s="4">
        <f t="shared" si="20"/>
        <v>0</v>
      </c>
    </row>
    <row r="245" hidden="1">
      <c r="E245" s="4">
        <f t="shared" si="20"/>
        <v>0</v>
      </c>
    </row>
    <row r="246" hidden="1">
      <c r="E246" s="4">
        <f t="shared" si="20"/>
        <v>0</v>
      </c>
    </row>
    <row r="247" hidden="1">
      <c r="E247" s="4">
        <f t="shared" si="20"/>
        <v>0</v>
      </c>
    </row>
    <row r="248" hidden="1">
      <c r="E248" s="4">
        <f t="shared" si="20"/>
        <v>0</v>
      </c>
    </row>
    <row r="249" hidden="1">
      <c r="E249" s="4">
        <f t="shared" si="20"/>
        <v>0</v>
      </c>
    </row>
    <row r="250" hidden="1">
      <c r="E250" s="4">
        <f t="shared" si="20"/>
        <v>0</v>
      </c>
    </row>
    <row r="251" hidden="1">
      <c r="E251" s="4">
        <f t="shared" si="20"/>
        <v>0</v>
      </c>
    </row>
    <row r="252" hidden="1">
      <c r="E252" s="4">
        <f t="shared" si="20"/>
        <v>0</v>
      </c>
    </row>
    <row r="253" hidden="1">
      <c r="E253" s="4">
        <f t="shared" si="20"/>
        <v>0</v>
      </c>
    </row>
    <row r="254" hidden="1">
      <c r="E254" s="4">
        <f t="shared" si="20"/>
        <v>0</v>
      </c>
    </row>
    <row r="255" hidden="1">
      <c r="E255" s="4">
        <f t="shared" si="20"/>
        <v>0</v>
      </c>
    </row>
    <row r="256" hidden="1">
      <c r="E256" s="4">
        <f t="shared" si="20"/>
        <v>0</v>
      </c>
    </row>
    <row r="257" hidden="1">
      <c r="E257" s="4">
        <f t="shared" si="20"/>
        <v>0</v>
      </c>
    </row>
    <row r="258" hidden="1">
      <c r="E258" s="4">
        <f t="shared" si="20"/>
        <v>0</v>
      </c>
    </row>
    <row r="259" hidden="1">
      <c r="E259" s="4">
        <f t="shared" si="20"/>
        <v>0</v>
      </c>
    </row>
    <row r="260" hidden="1">
      <c r="E260" s="4">
        <f t="shared" si="20"/>
        <v>0</v>
      </c>
    </row>
    <row r="261" hidden="1">
      <c r="E261" s="4">
        <f t="shared" si="20"/>
        <v>0</v>
      </c>
    </row>
    <row r="262" hidden="1">
      <c r="E262" s="4">
        <f t="shared" si="20"/>
        <v>0</v>
      </c>
    </row>
    <row r="263" hidden="1">
      <c r="E263" s="4">
        <f t="shared" si="20"/>
        <v>0</v>
      </c>
    </row>
    <row r="264" hidden="1">
      <c r="E264" s="4">
        <f t="shared" si="20"/>
        <v>0</v>
      </c>
    </row>
    <row r="265" hidden="1">
      <c r="E265" s="4">
        <f t="shared" si="20"/>
        <v>0</v>
      </c>
    </row>
    <row r="266" hidden="1">
      <c r="E266" s="4">
        <f t="shared" si="20"/>
        <v>0</v>
      </c>
    </row>
    <row r="267" hidden="1">
      <c r="E267" s="4">
        <f t="shared" si="20"/>
        <v>0</v>
      </c>
    </row>
    <row r="268" hidden="1">
      <c r="E268" s="4">
        <f t="shared" si="20"/>
        <v>0</v>
      </c>
    </row>
    <row r="269" hidden="1">
      <c r="E269" s="4">
        <f t="shared" si="20"/>
        <v>0</v>
      </c>
    </row>
    <row r="270" hidden="1">
      <c r="E270" s="4">
        <f t="shared" si="20"/>
        <v>0</v>
      </c>
    </row>
    <row r="271" hidden="1">
      <c r="E271" s="4">
        <f t="shared" si="20"/>
        <v>0</v>
      </c>
    </row>
    <row r="272" hidden="1">
      <c r="E272" s="4">
        <f t="shared" si="20"/>
        <v>0</v>
      </c>
    </row>
    <row r="273" hidden="1">
      <c r="E273" s="4">
        <f t="shared" si="20"/>
        <v>0</v>
      </c>
    </row>
    <row r="274" hidden="1">
      <c r="E274" s="4">
        <f t="shared" si="20"/>
        <v>0</v>
      </c>
    </row>
    <row r="275" hidden="1">
      <c r="E275" s="4">
        <f t="shared" si="20"/>
        <v>0</v>
      </c>
    </row>
    <row r="276" hidden="1">
      <c r="E276" s="4">
        <f t="shared" si="20"/>
        <v>0</v>
      </c>
    </row>
    <row r="277" hidden="1">
      <c r="E277" s="4">
        <f t="shared" si="20"/>
        <v>0</v>
      </c>
    </row>
    <row r="278" hidden="1">
      <c r="E278" s="4">
        <f t="shared" si="20"/>
        <v>0</v>
      </c>
    </row>
    <row r="279" hidden="1">
      <c r="E279" s="4">
        <f t="shared" si="20"/>
        <v>0</v>
      </c>
    </row>
    <row r="280" hidden="1">
      <c r="E280" s="4">
        <f t="shared" si="20"/>
        <v>0</v>
      </c>
    </row>
    <row r="281" hidden="1">
      <c r="E281" s="4">
        <f t="shared" si="20"/>
        <v>0</v>
      </c>
    </row>
    <row r="282" hidden="1">
      <c r="E282" s="4">
        <f t="shared" si="20"/>
        <v>0</v>
      </c>
    </row>
    <row r="283" hidden="1">
      <c r="E283" s="4">
        <f t="shared" si="20"/>
        <v>0</v>
      </c>
    </row>
    <row r="284" hidden="1">
      <c r="E284" s="4">
        <f t="shared" si="20"/>
        <v>0</v>
      </c>
    </row>
    <row r="285" hidden="1">
      <c r="E285" s="4">
        <f t="shared" si="20"/>
        <v>0</v>
      </c>
    </row>
    <row r="286" hidden="1">
      <c r="E286" s="4">
        <f t="shared" si="20"/>
        <v>0</v>
      </c>
    </row>
    <row r="287" hidden="1">
      <c r="E287" s="4">
        <f t="shared" si="20"/>
        <v>0</v>
      </c>
    </row>
    <row r="288" hidden="1">
      <c r="E288" s="4">
        <f t="shared" si="20"/>
        <v>0</v>
      </c>
    </row>
    <row r="289" hidden="1">
      <c r="E289" s="4">
        <f t="shared" si="20"/>
        <v>0</v>
      </c>
    </row>
    <row r="290" hidden="1">
      <c r="E290" s="4">
        <f t="shared" si="20"/>
        <v>0</v>
      </c>
    </row>
    <row r="291" hidden="1">
      <c r="E291" s="4">
        <f t="shared" si="20"/>
        <v>0</v>
      </c>
    </row>
    <row r="292" hidden="1">
      <c r="E292" s="4">
        <f t="shared" si="20"/>
        <v>0</v>
      </c>
    </row>
    <row r="293" hidden="1">
      <c r="E293" s="4">
        <f t="shared" si="20"/>
        <v>0</v>
      </c>
    </row>
    <row r="294" hidden="1">
      <c r="E294" s="4">
        <f t="shared" si="20"/>
        <v>0</v>
      </c>
    </row>
    <row r="295" hidden="1">
      <c r="E295" s="4">
        <f t="shared" si="20"/>
        <v>0</v>
      </c>
    </row>
    <row r="296" hidden="1">
      <c r="E296" s="4">
        <f t="shared" si="20"/>
        <v>0</v>
      </c>
    </row>
    <row r="297" hidden="1">
      <c r="E297" s="4">
        <f t="shared" si="20"/>
        <v>0</v>
      </c>
    </row>
    <row r="298" hidden="1">
      <c r="E298" s="4">
        <f t="shared" si="20"/>
        <v>0</v>
      </c>
    </row>
    <row r="299" hidden="1">
      <c r="E299" s="4">
        <f t="shared" si="20"/>
        <v>0</v>
      </c>
    </row>
    <row r="300" hidden="1">
      <c r="E300" s="4">
        <f t="shared" si="20"/>
        <v>0</v>
      </c>
    </row>
    <row r="301" hidden="1">
      <c r="E301" s="4">
        <f t="shared" si="20"/>
        <v>0</v>
      </c>
    </row>
    <row r="302" hidden="1">
      <c r="E302" s="4">
        <f t="shared" si="20"/>
        <v>0</v>
      </c>
    </row>
    <row r="303" hidden="1">
      <c r="E303" s="4">
        <f t="shared" si="20"/>
        <v>0</v>
      </c>
    </row>
    <row r="304" hidden="1">
      <c r="E304" s="4">
        <f t="shared" si="20"/>
        <v>0</v>
      </c>
    </row>
    <row r="305" hidden="1">
      <c r="E305" s="4">
        <f t="shared" si="20"/>
        <v>0</v>
      </c>
    </row>
    <row r="306" hidden="1">
      <c r="E306" s="4">
        <f t="shared" si="20"/>
        <v>0</v>
      </c>
    </row>
    <row r="307" hidden="1">
      <c r="E307" s="4">
        <f t="shared" si="20"/>
        <v>0</v>
      </c>
    </row>
    <row r="308" hidden="1">
      <c r="E308" s="4">
        <f t="shared" si="20"/>
        <v>0</v>
      </c>
    </row>
    <row r="309" hidden="1">
      <c r="E309" s="4">
        <f t="shared" si="20"/>
        <v>0</v>
      </c>
    </row>
    <row r="310" hidden="1">
      <c r="E310" s="4">
        <f t="shared" si="20"/>
        <v>0</v>
      </c>
    </row>
    <row r="311" hidden="1">
      <c r="E311" s="4">
        <f t="shared" si="20"/>
        <v>0</v>
      </c>
    </row>
    <row r="312" hidden="1">
      <c r="E312" s="4">
        <f t="shared" si="20"/>
        <v>0</v>
      </c>
    </row>
    <row r="313" hidden="1">
      <c r="E313" s="4">
        <f t="shared" si="20"/>
        <v>0</v>
      </c>
    </row>
    <row r="314" hidden="1">
      <c r="E314" s="4">
        <f t="shared" si="20"/>
        <v>0</v>
      </c>
    </row>
    <row r="315" hidden="1">
      <c r="E315" s="4">
        <f t="shared" si="20"/>
        <v>0</v>
      </c>
    </row>
    <row r="316" hidden="1">
      <c r="E316" s="4">
        <f t="shared" si="20"/>
        <v>0</v>
      </c>
    </row>
    <row r="317" hidden="1">
      <c r="E317" s="4">
        <f t="shared" si="20"/>
        <v>0</v>
      </c>
    </row>
    <row r="318" hidden="1">
      <c r="E318" s="4">
        <f t="shared" si="20"/>
        <v>0</v>
      </c>
    </row>
    <row r="319" hidden="1">
      <c r="E319" s="4">
        <f t="shared" si="20"/>
        <v>0</v>
      </c>
    </row>
    <row r="320" hidden="1">
      <c r="E320" s="4">
        <f t="shared" si="20"/>
        <v>0</v>
      </c>
    </row>
    <row r="321" hidden="1">
      <c r="E321" s="4">
        <f t="shared" si="20"/>
        <v>0</v>
      </c>
    </row>
    <row r="322" hidden="1">
      <c r="E322" s="4">
        <f t="shared" si="20"/>
        <v>0</v>
      </c>
    </row>
    <row r="323" hidden="1">
      <c r="E323" s="4">
        <f t="shared" si="20"/>
        <v>0</v>
      </c>
    </row>
    <row r="324" hidden="1">
      <c r="E324" s="4">
        <f t="shared" si="20"/>
        <v>0</v>
      </c>
    </row>
    <row r="325" hidden="1">
      <c r="E325" s="4">
        <f t="shared" si="20"/>
        <v>0</v>
      </c>
    </row>
    <row r="326" hidden="1">
      <c r="E326" s="4">
        <f t="shared" si="20"/>
        <v>0</v>
      </c>
    </row>
    <row r="327" hidden="1">
      <c r="E327" s="4">
        <f t="shared" si="20"/>
        <v>0</v>
      </c>
    </row>
    <row r="328" hidden="1">
      <c r="E328" s="4">
        <f t="shared" si="20"/>
        <v>0</v>
      </c>
    </row>
    <row r="329" hidden="1">
      <c r="E329" s="4">
        <f t="shared" si="20"/>
        <v>0</v>
      </c>
    </row>
    <row r="330" hidden="1">
      <c r="E330" s="4">
        <f t="shared" si="20"/>
        <v>0</v>
      </c>
    </row>
    <row r="331" hidden="1">
      <c r="E331" s="4">
        <f t="shared" si="20"/>
        <v>0</v>
      </c>
    </row>
    <row r="332" hidden="1">
      <c r="E332" s="4">
        <f t="shared" si="20"/>
        <v>0</v>
      </c>
    </row>
    <row r="333" hidden="1">
      <c r="E333" s="4">
        <f t="shared" si="20"/>
        <v>0</v>
      </c>
    </row>
    <row r="334" hidden="1">
      <c r="E334" s="4">
        <f t="shared" si="20"/>
        <v>0</v>
      </c>
    </row>
    <row r="335" hidden="1">
      <c r="E335" s="4">
        <f t="shared" si="20"/>
        <v>0</v>
      </c>
    </row>
    <row r="336" hidden="1">
      <c r="E336" s="4">
        <f t="shared" si="20"/>
        <v>0</v>
      </c>
    </row>
    <row r="337" hidden="1">
      <c r="E337" s="4">
        <f t="shared" si="20"/>
        <v>0</v>
      </c>
    </row>
    <row r="338" hidden="1">
      <c r="E338" s="4">
        <f t="shared" si="20"/>
        <v>0</v>
      </c>
    </row>
    <row r="339" hidden="1">
      <c r="E339" s="4">
        <f t="shared" si="20"/>
        <v>0</v>
      </c>
    </row>
    <row r="340" hidden="1">
      <c r="E340" s="4">
        <f t="shared" si="20"/>
        <v>0</v>
      </c>
    </row>
    <row r="341" hidden="1">
      <c r="E341" s="4">
        <f t="shared" si="20"/>
        <v>0</v>
      </c>
    </row>
    <row r="342" hidden="1">
      <c r="E342" s="4">
        <f t="shared" si="20"/>
        <v>0</v>
      </c>
    </row>
    <row r="343" hidden="1">
      <c r="E343" s="4">
        <f t="shared" si="20"/>
        <v>0</v>
      </c>
    </row>
    <row r="344" hidden="1">
      <c r="E344" s="4">
        <f t="shared" si="20"/>
        <v>0</v>
      </c>
    </row>
    <row r="345" hidden="1">
      <c r="E345" s="4">
        <f t="shared" si="20"/>
        <v>0</v>
      </c>
    </row>
    <row r="346" hidden="1">
      <c r="E346" s="4">
        <f t="shared" si="20"/>
        <v>0</v>
      </c>
    </row>
    <row r="347" hidden="1">
      <c r="E347" s="4">
        <f t="shared" si="20"/>
        <v>0</v>
      </c>
    </row>
    <row r="348" hidden="1">
      <c r="E348" s="4">
        <f t="shared" si="20"/>
        <v>0</v>
      </c>
    </row>
    <row r="349" hidden="1">
      <c r="E349" s="4">
        <f t="shared" si="20"/>
        <v>0</v>
      </c>
    </row>
    <row r="350" hidden="1">
      <c r="E350" s="4">
        <f t="shared" si="20"/>
        <v>0</v>
      </c>
    </row>
    <row r="351" hidden="1">
      <c r="E351" s="4">
        <f t="shared" si="20"/>
        <v>0</v>
      </c>
    </row>
    <row r="352" hidden="1">
      <c r="E352" s="4">
        <f t="shared" si="20"/>
        <v>0</v>
      </c>
    </row>
    <row r="353" hidden="1">
      <c r="E353" s="4">
        <f t="shared" si="20"/>
        <v>0</v>
      </c>
    </row>
    <row r="354" hidden="1">
      <c r="E354" s="4">
        <f t="shared" si="20"/>
        <v>0</v>
      </c>
    </row>
    <row r="355" hidden="1">
      <c r="E355" s="4">
        <f t="shared" si="20"/>
        <v>0</v>
      </c>
    </row>
    <row r="356" hidden="1">
      <c r="E356" s="4">
        <f t="shared" si="20"/>
        <v>0</v>
      </c>
    </row>
    <row r="357" hidden="1">
      <c r="E357" s="4">
        <f t="shared" si="20"/>
        <v>0</v>
      </c>
    </row>
    <row r="358" hidden="1">
      <c r="E358" s="4">
        <f t="shared" si="20"/>
        <v>0</v>
      </c>
    </row>
    <row r="359" hidden="1">
      <c r="E359" s="4">
        <f t="shared" si="20"/>
        <v>0</v>
      </c>
    </row>
    <row r="360" hidden="1">
      <c r="E360" s="4">
        <f t="shared" si="20"/>
        <v>0</v>
      </c>
    </row>
    <row r="361" hidden="1">
      <c r="E361" s="4">
        <f t="shared" si="20"/>
        <v>0</v>
      </c>
    </row>
    <row r="362" hidden="1">
      <c r="E362" s="4">
        <f t="shared" si="20"/>
        <v>0</v>
      </c>
    </row>
    <row r="363" hidden="1">
      <c r="E363" s="4">
        <f t="shared" si="20"/>
        <v>0</v>
      </c>
    </row>
    <row r="364" hidden="1">
      <c r="E364" s="4">
        <f t="shared" si="20"/>
        <v>0</v>
      </c>
    </row>
    <row r="365" hidden="1">
      <c r="E365" s="4">
        <f t="shared" si="20"/>
        <v>0</v>
      </c>
    </row>
    <row r="366" hidden="1">
      <c r="E366" s="4">
        <f t="shared" si="20"/>
        <v>0</v>
      </c>
    </row>
    <row r="367" hidden="1">
      <c r="E367" s="4">
        <f t="shared" si="20"/>
        <v>0</v>
      </c>
    </row>
    <row r="368" hidden="1">
      <c r="E368" s="4">
        <f t="shared" si="20"/>
        <v>0</v>
      </c>
    </row>
    <row r="369" hidden="1">
      <c r="E369" s="4">
        <f t="shared" si="20"/>
        <v>0</v>
      </c>
    </row>
    <row r="370" hidden="1">
      <c r="E370" s="4">
        <f t="shared" si="20"/>
        <v>0</v>
      </c>
    </row>
    <row r="371" hidden="1">
      <c r="E371" s="4">
        <f t="shared" si="20"/>
        <v>0</v>
      </c>
    </row>
    <row r="372" hidden="1">
      <c r="E372" s="4">
        <f t="shared" si="20"/>
        <v>0</v>
      </c>
    </row>
    <row r="373" hidden="1">
      <c r="E373" s="4">
        <f t="shared" si="20"/>
        <v>0</v>
      </c>
    </row>
    <row r="374" hidden="1">
      <c r="E374" s="4">
        <f t="shared" si="20"/>
        <v>0</v>
      </c>
    </row>
    <row r="375" hidden="1">
      <c r="E375" s="4">
        <f t="shared" si="20"/>
        <v>0</v>
      </c>
    </row>
    <row r="376" hidden="1">
      <c r="E376" s="4">
        <f t="shared" si="20"/>
        <v>0</v>
      </c>
    </row>
    <row r="377" hidden="1">
      <c r="E377" s="4">
        <f t="shared" si="20"/>
        <v>0</v>
      </c>
    </row>
    <row r="378" hidden="1">
      <c r="E378" s="4">
        <f t="shared" si="20"/>
        <v>0</v>
      </c>
    </row>
    <row r="379" hidden="1">
      <c r="E379" s="4">
        <f t="shared" si="20"/>
        <v>0</v>
      </c>
    </row>
    <row r="380" hidden="1">
      <c r="E380" s="4">
        <f t="shared" si="20"/>
        <v>0</v>
      </c>
    </row>
    <row r="381" hidden="1">
      <c r="E381" s="4">
        <f t="shared" si="20"/>
        <v>0</v>
      </c>
    </row>
    <row r="382" hidden="1">
      <c r="E382" s="4">
        <f t="shared" si="20"/>
        <v>0</v>
      </c>
    </row>
    <row r="383" hidden="1">
      <c r="E383" s="4">
        <f t="shared" si="20"/>
        <v>0</v>
      </c>
    </row>
    <row r="384" hidden="1">
      <c r="E384" s="4">
        <f t="shared" si="20"/>
        <v>0</v>
      </c>
    </row>
    <row r="385" hidden="1">
      <c r="E385" s="4">
        <f t="shared" si="20"/>
        <v>0</v>
      </c>
    </row>
    <row r="386" hidden="1">
      <c r="E386" s="4">
        <f t="shared" si="20"/>
        <v>0</v>
      </c>
    </row>
    <row r="387" hidden="1">
      <c r="E387" s="4">
        <f t="shared" si="20"/>
        <v>0</v>
      </c>
    </row>
    <row r="388" hidden="1">
      <c r="E388" s="4">
        <f t="shared" si="20"/>
        <v>0</v>
      </c>
    </row>
    <row r="389" hidden="1">
      <c r="E389" s="4">
        <f t="shared" si="20"/>
        <v>0</v>
      </c>
    </row>
    <row r="390" hidden="1">
      <c r="E390" s="4">
        <f t="shared" si="20"/>
        <v>0</v>
      </c>
    </row>
    <row r="391" hidden="1">
      <c r="E391" s="4">
        <f t="shared" si="20"/>
        <v>0</v>
      </c>
    </row>
    <row r="392" hidden="1">
      <c r="E392" s="4">
        <f t="shared" si="20"/>
        <v>0</v>
      </c>
    </row>
    <row r="393" hidden="1">
      <c r="E393" s="4">
        <f t="shared" si="20"/>
        <v>0</v>
      </c>
    </row>
    <row r="394" hidden="1">
      <c r="E394" s="4">
        <f t="shared" si="20"/>
        <v>0</v>
      </c>
    </row>
    <row r="395" hidden="1">
      <c r="E395" s="4">
        <f t="shared" si="20"/>
        <v>0</v>
      </c>
    </row>
    <row r="396" hidden="1">
      <c r="E396" s="4">
        <f t="shared" si="20"/>
        <v>0</v>
      </c>
    </row>
    <row r="397" hidden="1">
      <c r="E397" s="4">
        <f t="shared" si="20"/>
        <v>0</v>
      </c>
    </row>
    <row r="398" hidden="1">
      <c r="E398" s="4">
        <f t="shared" si="20"/>
        <v>0</v>
      </c>
    </row>
    <row r="399" hidden="1">
      <c r="E399" s="4">
        <f t="shared" si="20"/>
        <v>0</v>
      </c>
    </row>
    <row r="400" hidden="1">
      <c r="E400" s="4">
        <f t="shared" si="20"/>
        <v>0</v>
      </c>
    </row>
    <row r="401" hidden="1">
      <c r="E401" s="4">
        <f t="shared" si="20"/>
        <v>0</v>
      </c>
    </row>
    <row r="402" hidden="1">
      <c r="E402" s="4">
        <f t="shared" si="20"/>
        <v>0</v>
      </c>
    </row>
    <row r="403" hidden="1">
      <c r="E403" s="4">
        <f t="shared" si="20"/>
        <v>0</v>
      </c>
    </row>
    <row r="404" hidden="1">
      <c r="E404" s="4">
        <f t="shared" si="20"/>
        <v>0</v>
      </c>
    </row>
    <row r="405" hidden="1">
      <c r="E405" s="4">
        <f t="shared" si="20"/>
        <v>0</v>
      </c>
    </row>
    <row r="406" hidden="1">
      <c r="E406" s="4">
        <f t="shared" si="20"/>
        <v>0</v>
      </c>
    </row>
    <row r="407" hidden="1">
      <c r="E407" s="4">
        <f t="shared" si="20"/>
        <v>0</v>
      </c>
    </row>
    <row r="408" hidden="1">
      <c r="E408" s="4">
        <f t="shared" si="20"/>
        <v>0</v>
      </c>
    </row>
    <row r="409" hidden="1">
      <c r="E409" s="4">
        <f t="shared" si="20"/>
        <v>0</v>
      </c>
    </row>
    <row r="410" hidden="1">
      <c r="E410" s="4">
        <f t="shared" si="20"/>
        <v>0</v>
      </c>
    </row>
    <row r="411" hidden="1">
      <c r="E411" s="4">
        <f t="shared" si="20"/>
        <v>0</v>
      </c>
    </row>
    <row r="412" hidden="1">
      <c r="E412" s="4">
        <f t="shared" si="20"/>
        <v>0</v>
      </c>
    </row>
    <row r="413" hidden="1">
      <c r="E413" s="4">
        <f t="shared" si="20"/>
        <v>0</v>
      </c>
    </row>
    <row r="414" hidden="1">
      <c r="E414" s="4">
        <f t="shared" si="20"/>
        <v>0</v>
      </c>
    </row>
    <row r="415" hidden="1">
      <c r="E415" s="4">
        <f t="shared" si="20"/>
        <v>0</v>
      </c>
    </row>
    <row r="416" hidden="1">
      <c r="E416" s="4">
        <f t="shared" si="20"/>
        <v>0</v>
      </c>
    </row>
    <row r="417" hidden="1">
      <c r="E417" s="4">
        <f t="shared" si="20"/>
        <v>0</v>
      </c>
    </row>
    <row r="418" hidden="1">
      <c r="E418" s="4">
        <f t="shared" si="20"/>
        <v>0</v>
      </c>
    </row>
    <row r="419" hidden="1">
      <c r="E419" s="4">
        <f t="shared" si="20"/>
        <v>0</v>
      </c>
    </row>
    <row r="420" hidden="1">
      <c r="E420" s="4">
        <f t="shared" si="20"/>
        <v>0</v>
      </c>
    </row>
    <row r="421" hidden="1">
      <c r="E421" s="4">
        <f t="shared" si="20"/>
        <v>0</v>
      </c>
    </row>
    <row r="422" hidden="1">
      <c r="E422" s="4">
        <f t="shared" si="20"/>
        <v>0</v>
      </c>
    </row>
    <row r="423" hidden="1">
      <c r="E423" s="4">
        <f t="shared" si="20"/>
        <v>0</v>
      </c>
    </row>
    <row r="424" hidden="1">
      <c r="E424" s="4">
        <f t="shared" si="20"/>
        <v>0</v>
      </c>
    </row>
    <row r="425" hidden="1">
      <c r="E425" s="4">
        <f t="shared" si="20"/>
        <v>0</v>
      </c>
    </row>
    <row r="426" hidden="1">
      <c r="E426" s="4">
        <f t="shared" si="20"/>
        <v>0</v>
      </c>
    </row>
    <row r="427" hidden="1">
      <c r="E427" s="4">
        <f t="shared" si="20"/>
        <v>0</v>
      </c>
    </row>
    <row r="428" hidden="1">
      <c r="E428" s="4">
        <f t="shared" si="20"/>
        <v>0</v>
      </c>
    </row>
    <row r="429" hidden="1">
      <c r="E429" s="4">
        <f t="shared" si="20"/>
        <v>0</v>
      </c>
    </row>
    <row r="430" hidden="1">
      <c r="E430" s="4">
        <f t="shared" si="20"/>
        <v>0</v>
      </c>
    </row>
    <row r="431" hidden="1">
      <c r="E431" s="4">
        <f t="shared" si="20"/>
        <v>0</v>
      </c>
    </row>
    <row r="432" hidden="1">
      <c r="E432" s="4">
        <f t="shared" si="20"/>
        <v>0</v>
      </c>
    </row>
    <row r="433" hidden="1">
      <c r="E433" s="4">
        <f t="shared" si="20"/>
        <v>0</v>
      </c>
    </row>
    <row r="434" hidden="1">
      <c r="E434" s="4">
        <f t="shared" si="20"/>
        <v>0</v>
      </c>
    </row>
    <row r="435" hidden="1">
      <c r="E435" s="4">
        <f t="shared" si="20"/>
        <v>0</v>
      </c>
    </row>
    <row r="436" hidden="1">
      <c r="E436" s="4">
        <f t="shared" si="20"/>
        <v>0</v>
      </c>
    </row>
    <row r="437" hidden="1">
      <c r="E437" s="4">
        <f t="shared" si="20"/>
        <v>0</v>
      </c>
    </row>
    <row r="438" hidden="1">
      <c r="E438" s="4">
        <f t="shared" si="20"/>
        <v>0</v>
      </c>
    </row>
    <row r="439" hidden="1">
      <c r="E439" s="4">
        <f t="shared" si="20"/>
        <v>0</v>
      </c>
    </row>
    <row r="440" hidden="1">
      <c r="E440" s="4">
        <f t="shared" si="20"/>
        <v>0</v>
      </c>
    </row>
    <row r="441" hidden="1">
      <c r="E441" s="4">
        <f t="shared" si="20"/>
        <v>0</v>
      </c>
    </row>
    <row r="442" hidden="1">
      <c r="E442" s="4">
        <f t="shared" si="20"/>
        <v>0</v>
      </c>
    </row>
    <row r="443" hidden="1">
      <c r="E443" s="4">
        <f t="shared" si="20"/>
        <v>0</v>
      </c>
    </row>
    <row r="444" hidden="1">
      <c r="E444" s="4">
        <f t="shared" si="20"/>
        <v>0</v>
      </c>
    </row>
    <row r="445" hidden="1">
      <c r="E445" s="4">
        <f t="shared" si="20"/>
        <v>0</v>
      </c>
    </row>
    <row r="446" hidden="1">
      <c r="E446" s="4">
        <f t="shared" si="20"/>
        <v>0</v>
      </c>
    </row>
    <row r="447" hidden="1">
      <c r="E447" s="4">
        <f t="shared" si="20"/>
        <v>0</v>
      </c>
    </row>
    <row r="448" hidden="1">
      <c r="E448" s="4">
        <f t="shared" si="20"/>
        <v>0</v>
      </c>
    </row>
    <row r="449" hidden="1">
      <c r="E449" s="4">
        <f t="shared" si="20"/>
        <v>0</v>
      </c>
    </row>
    <row r="450" hidden="1">
      <c r="E450" s="4">
        <f t="shared" si="20"/>
        <v>0</v>
      </c>
    </row>
    <row r="451" hidden="1">
      <c r="E451" s="4">
        <f t="shared" si="20"/>
        <v>0</v>
      </c>
    </row>
    <row r="452" hidden="1">
      <c r="E452" s="4">
        <f t="shared" si="20"/>
        <v>0</v>
      </c>
    </row>
    <row r="453" hidden="1">
      <c r="E453" s="4">
        <f t="shared" si="20"/>
        <v>0</v>
      </c>
    </row>
    <row r="454" hidden="1">
      <c r="E454" s="4">
        <f t="shared" si="20"/>
        <v>0</v>
      </c>
    </row>
    <row r="455" hidden="1">
      <c r="E455" s="4">
        <f t="shared" si="20"/>
        <v>0</v>
      </c>
    </row>
    <row r="456" hidden="1">
      <c r="E456" s="4">
        <f t="shared" si="20"/>
        <v>0</v>
      </c>
    </row>
    <row r="457" hidden="1">
      <c r="E457" s="4">
        <f t="shared" si="20"/>
        <v>0</v>
      </c>
    </row>
    <row r="458" hidden="1">
      <c r="E458" s="4">
        <f t="shared" si="20"/>
        <v>0</v>
      </c>
    </row>
    <row r="459" hidden="1">
      <c r="E459" s="4">
        <f t="shared" si="20"/>
        <v>0</v>
      </c>
    </row>
    <row r="460" hidden="1">
      <c r="E460" s="4">
        <f t="shared" si="20"/>
        <v>0</v>
      </c>
    </row>
    <row r="461" hidden="1">
      <c r="E461" s="4">
        <f t="shared" si="20"/>
        <v>0</v>
      </c>
    </row>
    <row r="462" hidden="1">
      <c r="E462" s="4">
        <f t="shared" si="20"/>
        <v>0</v>
      </c>
    </row>
    <row r="463" hidden="1">
      <c r="E463" s="4">
        <f t="shared" si="20"/>
        <v>0</v>
      </c>
    </row>
    <row r="464" hidden="1">
      <c r="E464" s="4">
        <f t="shared" si="20"/>
        <v>0</v>
      </c>
    </row>
    <row r="465" hidden="1">
      <c r="E465" s="4">
        <f t="shared" si="20"/>
        <v>0</v>
      </c>
    </row>
    <row r="466" hidden="1">
      <c r="E466" s="4">
        <f t="shared" si="20"/>
        <v>0</v>
      </c>
    </row>
    <row r="467" hidden="1">
      <c r="E467" s="4">
        <f t="shared" si="20"/>
        <v>0</v>
      </c>
    </row>
    <row r="468" hidden="1">
      <c r="E468" s="4">
        <f t="shared" si="20"/>
        <v>0</v>
      </c>
    </row>
    <row r="469" hidden="1">
      <c r="E469" s="4">
        <f t="shared" si="20"/>
        <v>0</v>
      </c>
    </row>
    <row r="470" hidden="1">
      <c r="E470" s="4">
        <f t="shared" si="20"/>
        <v>0</v>
      </c>
    </row>
    <row r="471" hidden="1">
      <c r="E471" s="4">
        <f t="shared" si="20"/>
        <v>0</v>
      </c>
    </row>
    <row r="472" hidden="1">
      <c r="E472" s="4">
        <f t="shared" si="20"/>
        <v>0</v>
      </c>
    </row>
    <row r="473" hidden="1">
      <c r="E473" s="4">
        <f t="shared" si="20"/>
        <v>0</v>
      </c>
    </row>
    <row r="474" hidden="1">
      <c r="E474" s="4">
        <f t="shared" si="20"/>
        <v>0</v>
      </c>
    </row>
    <row r="475" hidden="1">
      <c r="E475" s="4">
        <f t="shared" si="20"/>
        <v>0</v>
      </c>
    </row>
    <row r="476" hidden="1">
      <c r="E476" s="4">
        <f t="shared" si="20"/>
        <v>0</v>
      </c>
    </row>
    <row r="477" hidden="1">
      <c r="E477" s="4">
        <f t="shared" si="20"/>
        <v>0</v>
      </c>
    </row>
    <row r="478" hidden="1">
      <c r="E478" s="4">
        <f t="shared" si="20"/>
        <v>0</v>
      </c>
    </row>
    <row r="479" hidden="1">
      <c r="E479" s="4">
        <f t="shared" si="20"/>
        <v>0</v>
      </c>
    </row>
    <row r="480" hidden="1">
      <c r="E480" s="4">
        <f t="shared" si="20"/>
        <v>0</v>
      </c>
    </row>
    <row r="481" hidden="1">
      <c r="E481" s="4">
        <f t="shared" si="20"/>
        <v>0</v>
      </c>
    </row>
    <row r="482" hidden="1">
      <c r="E482" s="4">
        <f t="shared" si="20"/>
        <v>0</v>
      </c>
    </row>
    <row r="483" hidden="1">
      <c r="E483" s="4">
        <f t="shared" si="20"/>
        <v>0</v>
      </c>
    </row>
    <row r="484" hidden="1">
      <c r="E484" s="4">
        <f t="shared" si="20"/>
        <v>0</v>
      </c>
    </row>
    <row r="485" hidden="1">
      <c r="E485" s="4">
        <f t="shared" si="20"/>
        <v>0</v>
      </c>
    </row>
    <row r="486" hidden="1">
      <c r="E486" s="4">
        <f t="shared" si="20"/>
        <v>0</v>
      </c>
    </row>
    <row r="487" hidden="1">
      <c r="E487" s="4">
        <f t="shared" si="20"/>
        <v>0</v>
      </c>
    </row>
    <row r="488" hidden="1">
      <c r="E488" s="4">
        <f t="shared" si="20"/>
        <v>0</v>
      </c>
    </row>
    <row r="489" hidden="1">
      <c r="E489" s="4">
        <f t="shared" si="20"/>
        <v>0</v>
      </c>
    </row>
    <row r="490" hidden="1">
      <c r="E490" s="4">
        <f t="shared" si="20"/>
        <v>0</v>
      </c>
    </row>
    <row r="491" hidden="1">
      <c r="E491" s="4">
        <f t="shared" si="20"/>
        <v>0</v>
      </c>
    </row>
    <row r="492" hidden="1">
      <c r="E492" s="4">
        <f t="shared" si="20"/>
        <v>0</v>
      </c>
    </row>
    <row r="493" hidden="1">
      <c r="E493" s="4">
        <f t="shared" si="20"/>
        <v>0</v>
      </c>
    </row>
    <row r="494" hidden="1">
      <c r="E494" s="4">
        <f t="shared" si="20"/>
        <v>0</v>
      </c>
    </row>
    <row r="495" hidden="1">
      <c r="E495" s="4">
        <f t="shared" si="20"/>
        <v>0</v>
      </c>
    </row>
    <row r="496" hidden="1">
      <c r="E496" s="4">
        <f t="shared" si="20"/>
        <v>0</v>
      </c>
    </row>
    <row r="497" hidden="1">
      <c r="E497" s="4">
        <f t="shared" si="20"/>
        <v>0</v>
      </c>
    </row>
    <row r="498" hidden="1">
      <c r="E498" s="4">
        <f t="shared" si="20"/>
        <v>0</v>
      </c>
    </row>
    <row r="499" hidden="1">
      <c r="E499" s="4">
        <f t="shared" si="20"/>
        <v>0</v>
      </c>
    </row>
    <row r="500" hidden="1">
      <c r="E500" s="4">
        <f t="shared" si="20"/>
        <v>0</v>
      </c>
    </row>
    <row r="501" hidden="1">
      <c r="E501" s="4">
        <f t="shared" si="20"/>
        <v>0</v>
      </c>
    </row>
    <row r="502" hidden="1">
      <c r="E502" s="4">
        <f t="shared" si="20"/>
        <v>0</v>
      </c>
    </row>
    <row r="503" hidden="1">
      <c r="E503" s="4">
        <f t="shared" si="20"/>
        <v>0</v>
      </c>
    </row>
    <row r="504" hidden="1">
      <c r="E504" s="4">
        <f t="shared" si="20"/>
        <v>0</v>
      </c>
    </row>
    <row r="505" hidden="1">
      <c r="E505" s="4">
        <f t="shared" si="20"/>
        <v>0</v>
      </c>
    </row>
    <row r="506" hidden="1">
      <c r="E506" s="4">
        <f t="shared" si="20"/>
        <v>0</v>
      </c>
    </row>
    <row r="507" hidden="1">
      <c r="E507" s="4">
        <f t="shared" si="20"/>
        <v>0</v>
      </c>
    </row>
    <row r="508" hidden="1">
      <c r="E508" s="4">
        <f t="shared" si="20"/>
        <v>0</v>
      </c>
    </row>
    <row r="509" hidden="1">
      <c r="E509" s="4">
        <f t="shared" si="20"/>
        <v>0</v>
      </c>
    </row>
    <row r="510" hidden="1">
      <c r="E510" s="4">
        <f t="shared" si="20"/>
        <v>0</v>
      </c>
    </row>
    <row r="511" hidden="1">
      <c r="E511" s="4">
        <f t="shared" si="20"/>
        <v>0</v>
      </c>
    </row>
    <row r="512" hidden="1">
      <c r="E512" s="4">
        <f t="shared" si="20"/>
        <v>0</v>
      </c>
    </row>
    <row r="513" hidden="1">
      <c r="E513" s="4">
        <f t="shared" si="20"/>
        <v>0</v>
      </c>
    </row>
    <row r="514" hidden="1">
      <c r="E514" s="4">
        <f t="shared" si="20"/>
        <v>0</v>
      </c>
    </row>
    <row r="515" hidden="1">
      <c r="E515" s="4">
        <f t="shared" si="20"/>
        <v>0</v>
      </c>
    </row>
    <row r="516" hidden="1">
      <c r="E516" s="4">
        <f t="shared" si="20"/>
        <v>0</v>
      </c>
    </row>
    <row r="517" hidden="1">
      <c r="E517" s="4">
        <f t="shared" si="20"/>
        <v>0</v>
      </c>
    </row>
    <row r="518" hidden="1">
      <c r="E518" s="4">
        <f t="shared" si="20"/>
        <v>0</v>
      </c>
    </row>
    <row r="519" hidden="1">
      <c r="E519" s="4">
        <f t="shared" si="20"/>
        <v>0</v>
      </c>
    </row>
    <row r="520" hidden="1">
      <c r="E520" s="4">
        <f t="shared" si="20"/>
        <v>0</v>
      </c>
    </row>
    <row r="521" hidden="1">
      <c r="E521" s="4">
        <f t="shared" si="20"/>
        <v>0</v>
      </c>
    </row>
    <row r="522" hidden="1">
      <c r="E522" s="4">
        <f t="shared" si="20"/>
        <v>0</v>
      </c>
    </row>
    <row r="523" hidden="1">
      <c r="E523" s="4">
        <f t="shared" si="20"/>
        <v>0</v>
      </c>
    </row>
    <row r="524" hidden="1">
      <c r="E524" s="4">
        <f t="shared" si="20"/>
        <v>0</v>
      </c>
    </row>
    <row r="525" hidden="1">
      <c r="E525" s="4">
        <f t="shared" si="20"/>
        <v>0</v>
      </c>
    </row>
    <row r="526" hidden="1">
      <c r="E526" s="4">
        <f t="shared" si="20"/>
        <v>0</v>
      </c>
    </row>
    <row r="527" hidden="1">
      <c r="E527" s="4">
        <f t="shared" si="20"/>
        <v>0</v>
      </c>
    </row>
    <row r="528" hidden="1">
      <c r="E528" s="4">
        <f t="shared" si="20"/>
        <v>0</v>
      </c>
    </row>
    <row r="529" hidden="1">
      <c r="E529" s="4">
        <f t="shared" si="20"/>
        <v>0</v>
      </c>
    </row>
    <row r="530" hidden="1">
      <c r="E530" s="4">
        <f t="shared" si="20"/>
        <v>0</v>
      </c>
    </row>
    <row r="531" hidden="1">
      <c r="E531" s="4">
        <f t="shared" si="20"/>
        <v>0</v>
      </c>
    </row>
    <row r="532" hidden="1">
      <c r="E532" s="4">
        <f t="shared" si="20"/>
        <v>0</v>
      </c>
    </row>
    <row r="533" hidden="1">
      <c r="E533" s="4">
        <f t="shared" si="20"/>
        <v>0</v>
      </c>
    </row>
    <row r="534" hidden="1">
      <c r="E534" s="4">
        <f t="shared" si="20"/>
        <v>0</v>
      </c>
    </row>
    <row r="535" hidden="1">
      <c r="E535" s="4">
        <f t="shared" si="20"/>
        <v>0</v>
      </c>
    </row>
    <row r="536" hidden="1">
      <c r="E536" s="4">
        <f t="shared" si="20"/>
        <v>0</v>
      </c>
    </row>
    <row r="537" hidden="1">
      <c r="E537" s="4">
        <f t="shared" si="20"/>
        <v>0</v>
      </c>
    </row>
    <row r="538" hidden="1">
      <c r="E538" s="4">
        <f t="shared" si="20"/>
        <v>0</v>
      </c>
    </row>
    <row r="539" hidden="1">
      <c r="E539" s="4">
        <f t="shared" si="20"/>
        <v>0</v>
      </c>
    </row>
    <row r="540" hidden="1">
      <c r="E540" s="4">
        <f t="shared" si="20"/>
        <v>0</v>
      </c>
    </row>
    <row r="541" hidden="1">
      <c r="E541" s="4">
        <f t="shared" si="20"/>
        <v>0</v>
      </c>
    </row>
    <row r="542" hidden="1">
      <c r="E542" s="4">
        <f t="shared" si="20"/>
        <v>0</v>
      </c>
    </row>
    <row r="543" hidden="1">
      <c r="E543" s="4">
        <f t="shared" si="20"/>
        <v>0</v>
      </c>
    </row>
    <row r="544" hidden="1">
      <c r="E544" s="4">
        <f t="shared" si="20"/>
        <v>0</v>
      </c>
    </row>
    <row r="545" hidden="1">
      <c r="E545" s="4">
        <f t="shared" si="20"/>
        <v>0</v>
      </c>
    </row>
    <row r="546" hidden="1">
      <c r="E546" s="4">
        <f t="shared" si="20"/>
        <v>0</v>
      </c>
    </row>
    <row r="547" hidden="1">
      <c r="E547" s="4">
        <f t="shared" si="20"/>
        <v>0</v>
      </c>
    </row>
    <row r="548" hidden="1">
      <c r="E548" s="4">
        <f t="shared" si="20"/>
        <v>0</v>
      </c>
    </row>
    <row r="549" hidden="1">
      <c r="E549" s="4">
        <f t="shared" si="20"/>
        <v>0</v>
      </c>
    </row>
    <row r="550" hidden="1">
      <c r="E550" s="4">
        <f t="shared" si="20"/>
        <v>0</v>
      </c>
    </row>
    <row r="551" hidden="1">
      <c r="E551" s="4">
        <f t="shared" si="20"/>
        <v>0</v>
      </c>
    </row>
    <row r="552" hidden="1">
      <c r="E552" s="4">
        <f t="shared" si="20"/>
        <v>0</v>
      </c>
    </row>
    <row r="553" hidden="1">
      <c r="E553" s="4">
        <f t="shared" si="20"/>
        <v>0</v>
      </c>
    </row>
    <row r="554" hidden="1">
      <c r="E554" s="4">
        <f t="shared" si="20"/>
        <v>0</v>
      </c>
    </row>
    <row r="555" hidden="1">
      <c r="E555" s="4">
        <f t="shared" si="20"/>
        <v>0</v>
      </c>
    </row>
    <row r="556" hidden="1">
      <c r="E556" s="4">
        <f t="shared" si="20"/>
        <v>0</v>
      </c>
    </row>
    <row r="557" hidden="1">
      <c r="E557" s="4">
        <f t="shared" si="20"/>
        <v>0</v>
      </c>
    </row>
    <row r="558" hidden="1">
      <c r="E558" s="4">
        <f t="shared" si="20"/>
        <v>0</v>
      </c>
    </row>
    <row r="559" hidden="1">
      <c r="E559" s="4">
        <f t="shared" si="20"/>
        <v>0</v>
      </c>
    </row>
    <row r="560" hidden="1">
      <c r="E560" s="4">
        <f t="shared" si="20"/>
        <v>0</v>
      </c>
    </row>
    <row r="561" hidden="1">
      <c r="E561" s="4">
        <f t="shared" si="20"/>
        <v>0</v>
      </c>
    </row>
    <row r="562" hidden="1">
      <c r="E562" s="4">
        <f t="shared" si="20"/>
        <v>0</v>
      </c>
    </row>
    <row r="563" hidden="1">
      <c r="E563" s="4">
        <f t="shared" si="20"/>
        <v>0</v>
      </c>
    </row>
    <row r="564" hidden="1">
      <c r="E564" s="4">
        <f t="shared" si="20"/>
        <v>0</v>
      </c>
    </row>
    <row r="565" hidden="1">
      <c r="E565" s="4">
        <f t="shared" si="20"/>
        <v>0</v>
      </c>
    </row>
    <row r="566" hidden="1">
      <c r="E566" s="4">
        <f t="shared" si="20"/>
        <v>0</v>
      </c>
    </row>
    <row r="567" hidden="1">
      <c r="E567" s="4">
        <f t="shared" si="20"/>
        <v>0</v>
      </c>
    </row>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c r="A988" s="3" t="s">
        <v>72</v>
      </c>
      <c r="B988" s="3" t="s">
        <v>308</v>
      </c>
      <c r="C988" s="3" t="s">
        <v>26</v>
      </c>
      <c r="D988" s="3">
        <v>0.0</v>
      </c>
      <c r="E988" s="3">
        <f t="shared" ref="E988:E994" si="21">D988-(F988+G988+H988+I988+J988+K988+L988+M988+N988+O988+P988+Q988+R988+S988+T988+U988+W988)</f>
        <v>0</v>
      </c>
    </row>
    <row r="989" hidden="1">
      <c r="A989" s="3" t="s">
        <v>72</v>
      </c>
      <c r="B989" s="3" t="s">
        <v>309</v>
      </c>
      <c r="C989" s="3" t="s">
        <v>26</v>
      </c>
      <c r="D989" s="3">
        <v>0.0</v>
      </c>
      <c r="E989" s="3">
        <f t="shared" si="21"/>
        <v>0</v>
      </c>
    </row>
    <row r="990" hidden="1">
      <c r="A990" s="3" t="s">
        <v>72</v>
      </c>
      <c r="B990" s="3" t="s">
        <v>310</v>
      </c>
      <c r="C990" s="3" t="s">
        <v>26</v>
      </c>
      <c r="D990" s="3">
        <v>11.0</v>
      </c>
      <c r="E990" s="3">
        <f t="shared" si="21"/>
        <v>11</v>
      </c>
    </row>
    <row r="991" hidden="1">
      <c r="A991" s="3" t="s">
        <v>72</v>
      </c>
      <c r="B991" s="3" t="s">
        <v>311</v>
      </c>
      <c r="C991" s="3" t="s">
        <v>26</v>
      </c>
      <c r="D991" s="3">
        <v>5.0</v>
      </c>
      <c r="E991" s="3">
        <f t="shared" si="21"/>
        <v>5</v>
      </c>
    </row>
    <row r="992" hidden="1">
      <c r="A992" s="3" t="s">
        <v>72</v>
      </c>
      <c r="B992" s="3" t="s">
        <v>312</v>
      </c>
      <c r="C992" s="3" t="s">
        <v>26</v>
      </c>
      <c r="D992" s="3">
        <f>75</f>
        <v>75</v>
      </c>
      <c r="E992" s="3">
        <f t="shared" si="21"/>
        <v>35</v>
      </c>
      <c r="L992" s="4">
        <f>20+20</f>
        <v>40</v>
      </c>
    </row>
    <row r="993" hidden="1">
      <c r="A993" s="3" t="s">
        <v>72</v>
      </c>
      <c r="B993" s="3" t="s">
        <v>313</v>
      </c>
      <c r="C993" s="3" t="s">
        <v>26</v>
      </c>
      <c r="D993" s="3">
        <v>9.0</v>
      </c>
      <c r="E993" s="3">
        <f t="shared" si="21"/>
        <v>9</v>
      </c>
    </row>
    <row r="994" hidden="1">
      <c r="A994" s="3" t="s">
        <v>72</v>
      </c>
      <c r="B994" s="3" t="s">
        <v>314</v>
      </c>
      <c r="C994" s="3" t="s">
        <v>26</v>
      </c>
      <c r="D994" s="3">
        <v>39.0</v>
      </c>
      <c r="E994" s="3">
        <f t="shared" si="21"/>
        <v>39</v>
      </c>
    </row>
    <row r="995" hidden="1">
      <c r="A995" s="3" t="s">
        <v>143</v>
      </c>
      <c r="B995" s="3" t="s">
        <v>315</v>
      </c>
      <c r="C995" s="3" t="s">
        <v>26</v>
      </c>
      <c r="D995" s="3">
        <v>8.0</v>
      </c>
      <c r="E995" s="3">
        <v>0.0</v>
      </c>
      <c r="L995" s="3">
        <v>8.0</v>
      </c>
    </row>
  </sheetData>
  <autoFilter ref="$A$1:$B$995">
    <filterColumn colId="0">
      <filters>
        <filter val="Suspension Clamp (LV)"/>
        <filter val="surge Arrestor"/>
      </filters>
    </filterColumn>
    <sortState ref="A1:B995">
      <sortCondition ref="A1:A995"/>
    </sortState>
  </autoFilter>
  <customSheetViews>
    <customSheetView guid="{9BC31C20-3011-4311-A259-550D3CCEBDC7}" filter="1" showAutoFilter="1">
      <autoFilter ref="$A$1:$X$567"/>
    </customSheetView>
  </customSheetView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4.38"/>
    <col customWidth="1" min="3" max="3" width="21.25"/>
    <col customWidth="1" min="4" max="4" width="59.13"/>
    <col customWidth="1" min="5" max="5" width="18.88"/>
    <col customWidth="1" min="6" max="6" width="28.13"/>
    <col customWidth="1" min="7" max="7" width="28.88"/>
    <col customWidth="1" min="8" max="8" width="29.25"/>
    <col customWidth="1" min="9" max="9" width="35.0"/>
    <col customWidth="1" min="10" max="14" width="18.88"/>
  </cols>
  <sheetData>
    <row r="1">
      <c r="A1" s="7">
        <v>0.0</v>
      </c>
      <c r="B1" s="8" t="s">
        <v>317</v>
      </c>
      <c r="C1" s="8" t="s">
        <v>318</v>
      </c>
      <c r="D1" s="9" t="s">
        <v>319</v>
      </c>
      <c r="E1" s="8" t="s">
        <v>320</v>
      </c>
      <c r="F1" s="8" t="s">
        <v>321</v>
      </c>
      <c r="G1" s="8" t="s">
        <v>322</v>
      </c>
      <c r="H1" s="8" t="s">
        <v>323</v>
      </c>
      <c r="I1" s="1" t="s">
        <v>324</v>
      </c>
      <c r="J1" s="1" t="s">
        <v>325</v>
      </c>
      <c r="K1" s="2"/>
      <c r="L1" s="2"/>
      <c r="M1" s="2"/>
      <c r="N1" s="2"/>
    </row>
    <row r="2">
      <c r="A2" s="10">
        <v>45236.66816934028</v>
      </c>
      <c r="B2" s="3" t="s">
        <v>326</v>
      </c>
      <c r="C2" s="3" t="s">
        <v>327</v>
      </c>
      <c r="D2" s="3" t="s">
        <v>328</v>
      </c>
      <c r="E2" s="3" t="s">
        <v>12</v>
      </c>
      <c r="F2" s="11">
        <v>45236.0</v>
      </c>
      <c r="G2" s="3" t="s">
        <v>329</v>
      </c>
      <c r="H2" s="3" t="s">
        <v>326</v>
      </c>
      <c r="I2" s="3" t="s">
        <v>330</v>
      </c>
      <c r="J2" s="3" t="s">
        <v>331</v>
      </c>
    </row>
    <row r="3">
      <c r="A3" s="10">
        <v>45237.30552548611</v>
      </c>
      <c r="B3" s="3" t="s">
        <v>332</v>
      </c>
      <c r="C3" s="3" t="s">
        <v>333</v>
      </c>
      <c r="D3" s="3" t="s">
        <v>334</v>
      </c>
      <c r="E3" s="3" t="s">
        <v>6</v>
      </c>
      <c r="F3" s="11">
        <v>45237.0</v>
      </c>
      <c r="G3" s="3" t="s">
        <v>333</v>
      </c>
      <c r="H3" s="3" t="s">
        <v>332</v>
      </c>
      <c r="J3" s="3" t="s">
        <v>331</v>
      </c>
    </row>
    <row r="4">
      <c r="A4" s="10">
        <v>45237.35021394676</v>
      </c>
      <c r="B4" s="3" t="s">
        <v>335</v>
      </c>
      <c r="C4" s="3" t="s">
        <v>336</v>
      </c>
      <c r="D4" s="3" t="s">
        <v>337</v>
      </c>
      <c r="E4" s="3" t="s">
        <v>7</v>
      </c>
      <c r="F4" s="11">
        <v>45236.0</v>
      </c>
      <c r="G4" s="3" t="s">
        <v>338</v>
      </c>
      <c r="H4" s="3" t="s">
        <v>335</v>
      </c>
      <c r="J4" s="3" t="s">
        <v>331</v>
      </c>
    </row>
    <row r="5">
      <c r="A5" s="10">
        <v>45237.364510266205</v>
      </c>
      <c r="B5" s="3" t="s">
        <v>339</v>
      </c>
      <c r="C5" s="3" t="s">
        <v>340</v>
      </c>
      <c r="D5" s="3" t="s">
        <v>341</v>
      </c>
      <c r="E5" s="3" t="s">
        <v>13</v>
      </c>
      <c r="F5" s="11">
        <v>45237.0</v>
      </c>
      <c r="G5" s="3" t="s">
        <v>342</v>
      </c>
      <c r="H5" s="3" t="s">
        <v>339</v>
      </c>
      <c r="I5" s="3" t="s">
        <v>330</v>
      </c>
      <c r="J5" s="3" t="s">
        <v>331</v>
      </c>
    </row>
    <row r="6">
      <c r="A6" s="10">
        <v>45237.36473959491</v>
      </c>
      <c r="B6" s="3" t="s">
        <v>343</v>
      </c>
      <c r="C6" s="3" t="s">
        <v>344</v>
      </c>
      <c r="D6" s="3" t="s">
        <v>345</v>
      </c>
      <c r="E6" s="3" t="s">
        <v>14</v>
      </c>
      <c r="F6" s="11">
        <v>45237.0</v>
      </c>
      <c r="G6" s="3" t="s">
        <v>344</v>
      </c>
      <c r="H6" s="3" t="s">
        <v>343</v>
      </c>
      <c r="I6" s="3" t="s">
        <v>330</v>
      </c>
      <c r="J6" s="3" t="s">
        <v>331</v>
      </c>
    </row>
    <row r="7">
      <c r="A7" s="10">
        <v>45237.36610159722</v>
      </c>
      <c r="B7" s="3" t="s">
        <v>346</v>
      </c>
      <c r="C7" s="3" t="s">
        <v>347</v>
      </c>
      <c r="D7" s="3" t="s">
        <v>348</v>
      </c>
      <c r="E7" s="3" t="s">
        <v>8</v>
      </c>
      <c r="F7" s="11">
        <v>45237.0</v>
      </c>
      <c r="G7" s="3" t="s">
        <v>349</v>
      </c>
      <c r="H7" s="3" t="s">
        <v>346</v>
      </c>
      <c r="I7" s="3" t="s">
        <v>330</v>
      </c>
      <c r="J7" s="3" t="s">
        <v>331</v>
      </c>
    </row>
    <row r="8">
      <c r="A8" s="10">
        <v>45237.374747685186</v>
      </c>
      <c r="B8" s="3" t="s">
        <v>335</v>
      </c>
      <c r="C8" s="3" t="s">
        <v>350</v>
      </c>
      <c r="D8" s="3" t="s">
        <v>351</v>
      </c>
      <c r="E8" s="3" t="s">
        <v>7</v>
      </c>
      <c r="F8" s="11">
        <v>45236.0</v>
      </c>
      <c r="G8" s="3" t="s">
        <v>350</v>
      </c>
      <c r="H8" s="3" t="s">
        <v>335</v>
      </c>
      <c r="I8" s="3" t="s">
        <v>330</v>
      </c>
      <c r="J8" s="3" t="s">
        <v>331</v>
      </c>
    </row>
    <row r="9">
      <c r="A9" s="10">
        <v>45237.37659555556</v>
      </c>
      <c r="B9" s="3" t="s">
        <v>352</v>
      </c>
      <c r="C9" s="3" t="s">
        <v>353</v>
      </c>
      <c r="D9" s="3" t="s">
        <v>354</v>
      </c>
      <c r="E9" s="3" t="s">
        <v>5</v>
      </c>
      <c r="F9" s="11">
        <v>45237.0</v>
      </c>
      <c r="G9" s="3" t="s">
        <v>355</v>
      </c>
      <c r="H9" s="3" t="s">
        <v>352</v>
      </c>
      <c r="J9" s="3" t="s">
        <v>331</v>
      </c>
    </row>
    <row r="10">
      <c r="A10" s="10">
        <v>45237.37967259259</v>
      </c>
      <c r="B10" s="3" t="s">
        <v>356</v>
      </c>
      <c r="C10" s="3" t="s">
        <v>357</v>
      </c>
      <c r="D10" s="3" t="s">
        <v>358</v>
      </c>
      <c r="E10" s="3" t="s">
        <v>11</v>
      </c>
      <c r="F10" s="11">
        <v>45237.0</v>
      </c>
      <c r="G10" s="3" t="s">
        <v>357</v>
      </c>
      <c r="H10" s="3" t="s">
        <v>356</v>
      </c>
      <c r="I10" s="3" t="s">
        <v>330</v>
      </c>
      <c r="J10" s="3" t="s">
        <v>331</v>
      </c>
    </row>
    <row r="11">
      <c r="A11" s="10">
        <v>45237.39203268518</v>
      </c>
      <c r="B11" s="3" t="s">
        <v>352</v>
      </c>
      <c r="C11" s="3" t="s">
        <v>353</v>
      </c>
      <c r="D11" s="3" t="s">
        <v>359</v>
      </c>
      <c r="E11" s="3" t="s">
        <v>5</v>
      </c>
      <c r="F11" s="11">
        <v>45237.0</v>
      </c>
      <c r="G11" s="3" t="s">
        <v>355</v>
      </c>
      <c r="H11" s="3" t="s">
        <v>352</v>
      </c>
      <c r="I11" s="3" t="s">
        <v>330</v>
      </c>
      <c r="J11" s="3" t="s">
        <v>331</v>
      </c>
    </row>
    <row r="12">
      <c r="A12" s="10">
        <v>45237.54256342593</v>
      </c>
      <c r="B12" s="3" t="s">
        <v>332</v>
      </c>
      <c r="C12" s="3" t="s">
        <v>333</v>
      </c>
      <c r="D12" s="3" t="s">
        <v>360</v>
      </c>
      <c r="E12" s="3" t="s">
        <v>6</v>
      </c>
      <c r="F12" s="11">
        <v>45237.0</v>
      </c>
      <c r="G12" s="3" t="s">
        <v>333</v>
      </c>
      <c r="H12" s="3" t="s">
        <v>332</v>
      </c>
      <c r="I12" s="3" t="s">
        <v>330</v>
      </c>
      <c r="J12" s="3" t="s">
        <v>331</v>
      </c>
    </row>
    <row r="13">
      <c r="A13" s="10">
        <v>45244.32207591435</v>
      </c>
      <c r="B13" s="3" t="s">
        <v>361</v>
      </c>
      <c r="C13" s="3" t="s">
        <v>362</v>
      </c>
      <c r="D13" s="3" t="s">
        <v>363</v>
      </c>
      <c r="E13" s="3" t="s">
        <v>12</v>
      </c>
      <c r="F13" s="11">
        <v>45245.0</v>
      </c>
      <c r="G13" s="3" t="s">
        <v>362</v>
      </c>
      <c r="H13" s="3" t="s">
        <v>361</v>
      </c>
      <c r="I13" s="3" t="s">
        <v>364</v>
      </c>
      <c r="J13" s="3" t="s">
        <v>365</v>
      </c>
    </row>
    <row r="14">
      <c r="A14" s="10">
        <v>45245.482244189814</v>
      </c>
      <c r="B14" s="3" t="s">
        <v>366</v>
      </c>
      <c r="C14" s="3" t="s">
        <v>367</v>
      </c>
      <c r="D14" s="5" t="s">
        <v>368</v>
      </c>
      <c r="E14" s="3" t="s">
        <v>15</v>
      </c>
      <c r="F14" s="11">
        <v>45245.0</v>
      </c>
      <c r="G14" s="3" t="s">
        <v>369</v>
      </c>
      <c r="H14" s="3" t="s">
        <v>370</v>
      </c>
      <c r="I14" s="3" t="s">
        <v>330</v>
      </c>
      <c r="J14" s="3" t="s">
        <v>331</v>
      </c>
    </row>
    <row r="15">
      <c r="A15" s="10">
        <v>45247.328897037034</v>
      </c>
      <c r="B15" s="3" t="s">
        <v>352</v>
      </c>
      <c r="C15" s="3" t="s">
        <v>353</v>
      </c>
      <c r="D15" s="3" t="s">
        <v>371</v>
      </c>
      <c r="E15" s="3" t="s">
        <v>5</v>
      </c>
      <c r="F15" s="11">
        <v>45247.0</v>
      </c>
      <c r="G15" s="3" t="s">
        <v>353</v>
      </c>
      <c r="H15" s="3" t="s">
        <v>352</v>
      </c>
      <c r="I15" s="3" t="s">
        <v>330</v>
      </c>
      <c r="J15" s="3" t="s">
        <v>331</v>
      </c>
    </row>
    <row r="16">
      <c r="A16" s="10">
        <v>45247.6391716088</v>
      </c>
      <c r="B16" s="3" t="s">
        <v>352</v>
      </c>
      <c r="C16" s="3" t="s">
        <v>353</v>
      </c>
      <c r="D16" s="3" t="s">
        <v>372</v>
      </c>
      <c r="E16" s="3" t="s">
        <v>5</v>
      </c>
      <c r="F16" s="11">
        <v>45247.0</v>
      </c>
      <c r="G16" s="3" t="s">
        <v>373</v>
      </c>
      <c r="H16" s="3" t="s">
        <v>352</v>
      </c>
      <c r="I16" s="3" t="s">
        <v>330</v>
      </c>
      <c r="J16" s="3" t="s">
        <v>331</v>
      </c>
    </row>
    <row r="17">
      <c r="A17" s="10">
        <v>45247.65501486111</v>
      </c>
      <c r="B17" s="3" t="s">
        <v>332</v>
      </c>
      <c r="C17" s="3" t="s">
        <v>333</v>
      </c>
      <c r="D17" s="3" t="s">
        <v>374</v>
      </c>
      <c r="E17" s="3" t="s">
        <v>6</v>
      </c>
      <c r="F17" s="11">
        <v>45248.0</v>
      </c>
      <c r="G17" s="3" t="s">
        <v>333</v>
      </c>
      <c r="H17" s="3" t="s">
        <v>332</v>
      </c>
      <c r="I17" s="3" t="s">
        <v>375</v>
      </c>
    </row>
    <row r="18">
      <c r="A18" s="10">
        <v>45264.38800818287</v>
      </c>
      <c r="B18" s="3" t="s">
        <v>376</v>
      </c>
      <c r="C18" s="3" t="s">
        <v>377</v>
      </c>
      <c r="D18" s="3" t="s">
        <v>378</v>
      </c>
      <c r="E18" s="3" t="s">
        <v>6</v>
      </c>
      <c r="F18" s="11">
        <v>45266.0</v>
      </c>
      <c r="G18" s="3" t="s">
        <v>379</v>
      </c>
      <c r="H18" s="3" t="s">
        <v>376</v>
      </c>
      <c r="I18" s="3" t="s">
        <v>330</v>
      </c>
      <c r="J18" s="3" t="s">
        <v>331</v>
      </c>
    </row>
    <row r="19">
      <c r="A19" s="10">
        <v>45264.3887324074</v>
      </c>
      <c r="B19" s="3" t="s">
        <v>352</v>
      </c>
      <c r="C19" s="3" t="s">
        <v>355</v>
      </c>
      <c r="D19" s="3" t="s">
        <v>380</v>
      </c>
      <c r="E19" s="3" t="s">
        <v>5</v>
      </c>
      <c r="F19" s="11">
        <v>45264.0</v>
      </c>
      <c r="G19" s="3" t="s">
        <v>355</v>
      </c>
      <c r="H19" s="3" t="s">
        <v>352</v>
      </c>
      <c r="I19" s="3" t="s">
        <v>330</v>
      </c>
      <c r="J19" s="3" t="s">
        <v>331</v>
      </c>
    </row>
    <row r="20">
      <c r="A20" s="10">
        <v>45264.39003167824</v>
      </c>
      <c r="B20" s="3" t="s">
        <v>352</v>
      </c>
      <c r="C20" s="3" t="s">
        <v>355</v>
      </c>
      <c r="D20" s="3" t="s">
        <v>381</v>
      </c>
      <c r="E20" s="3" t="s">
        <v>5</v>
      </c>
      <c r="F20" s="11">
        <v>45264.0</v>
      </c>
      <c r="G20" s="3" t="s">
        <v>355</v>
      </c>
      <c r="H20" s="3" t="s">
        <v>352</v>
      </c>
      <c r="I20" s="3" t="s">
        <v>330</v>
      </c>
      <c r="J20" s="3" t="s">
        <v>331</v>
      </c>
    </row>
    <row r="21">
      <c r="A21" s="10">
        <v>45264.46028310186</v>
      </c>
      <c r="B21" s="3" t="s">
        <v>352</v>
      </c>
      <c r="C21" s="3" t="s">
        <v>353</v>
      </c>
      <c r="D21" s="3" t="s">
        <v>382</v>
      </c>
      <c r="E21" s="3" t="s">
        <v>5</v>
      </c>
      <c r="F21" s="11">
        <v>45264.0</v>
      </c>
      <c r="G21" s="3" t="s">
        <v>353</v>
      </c>
      <c r="H21" s="3" t="s">
        <v>352</v>
      </c>
      <c r="I21" s="3" t="s">
        <v>330</v>
      </c>
      <c r="J21" s="3" t="s">
        <v>331</v>
      </c>
    </row>
    <row r="22">
      <c r="A22" s="10">
        <v>45269.5230528588</v>
      </c>
      <c r="B22" s="3" t="s">
        <v>352</v>
      </c>
      <c r="C22" s="3" t="s">
        <v>353</v>
      </c>
      <c r="D22" s="3" t="s">
        <v>383</v>
      </c>
      <c r="E22" s="3" t="s">
        <v>5</v>
      </c>
      <c r="F22" s="11">
        <v>45269.0</v>
      </c>
      <c r="G22" s="3" t="s">
        <v>373</v>
      </c>
      <c r="H22" s="3" t="s">
        <v>352</v>
      </c>
      <c r="I22" s="3" t="s">
        <v>330</v>
      </c>
      <c r="J22" s="3" t="s">
        <v>331</v>
      </c>
    </row>
    <row r="23">
      <c r="A23" s="10">
        <v>45284.36200194445</v>
      </c>
      <c r="B23" s="3" t="s">
        <v>366</v>
      </c>
      <c r="C23" s="3" t="s">
        <v>367</v>
      </c>
      <c r="D23" s="3" t="s">
        <v>384</v>
      </c>
      <c r="E23" s="3" t="s">
        <v>5</v>
      </c>
      <c r="F23" s="11">
        <v>45284.0</v>
      </c>
      <c r="G23" s="3" t="s">
        <v>385</v>
      </c>
      <c r="H23" s="3" t="s">
        <v>352</v>
      </c>
    </row>
    <row r="24">
      <c r="A24" s="10">
        <v>45295.60024219907</v>
      </c>
      <c r="B24" s="3" t="s">
        <v>361</v>
      </c>
      <c r="C24" s="3" t="s">
        <v>362</v>
      </c>
      <c r="D24" s="3" t="s">
        <v>386</v>
      </c>
      <c r="E24" s="3" t="s">
        <v>15</v>
      </c>
      <c r="F24" s="11">
        <v>45291.0</v>
      </c>
      <c r="G24" s="3" t="s">
        <v>362</v>
      </c>
      <c r="H24" s="3" t="s">
        <v>361</v>
      </c>
    </row>
    <row r="25">
      <c r="A25" s="10">
        <v>45295.69879814815</v>
      </c>
      <c r="B25" s="3" t="s">
        <v>387</v>
      </c>
      <c r="C25" s="3" t="s">
        <v>388</v>
      </c>
      <c r="D25" s="3" t="s">
        <v>389</v>
      </c>
      <c r="E25" s="3" t="s">
        <v>15</v>
      </c>
      <c r="F25" s="11">
        <v>45296.0</v>
      </c>
      <c r="G25" s="3" t="s">
        <v>388</v>
      </c>
      <c r="H25" s="3" t="s">
        <v>387</v>
      </c>
      <c r="I25" s="3" t="s">
        <v>390</v>
      </c>
      <c r="J25" s="3" t="s">
        <v>331</v>
      </c>
    </row>
    <row r="26">
      <c r="A26" s="10">
        <v>45303.39106915509</v>
      </c>
      <c r="B26" s="3" t="s">
        <v>366</v>
      </c>
      <c r="C26" s="3" t="s">
        <v>367</v>
      </c>
      <c r="D26" s="3" t="s">
        <v>391</v>
      </c>
      <c r="E26" s="3" t="s">
        <v>15</v>
      </c>
      <c r="F26" s="11">
        <v>45303.0</v>
      </c>
      <c r="G26" s="3" t="s">
        <v>392</v>
      </c>
      <c r="H26" s="3" t="s">
        <v>332</v>
      </c>
      <c r="I26" s="3" t="s">
        <v>393</v>
      </c>
      <c r="J26" s="3" t="s">
        <v>331</v>
      </c>
    </row>
    <row r="27">
      <c r="A27" s="10">
        <v>45310.661503634255</v>
      </c>
      <c r="B27" s="3" t="s">
        <v>394</v>
      </c>
      <c r="C27" s="3" t="s">
        <v>395</v>
      </c>
      <c r="D27" s="3" t="s">
        <v>396</v>
      </c>
      <c r="E27" s="3" t="s">
        <v>22</v>
      </c>
      <c r="F27" s="11">
        <v>45310.0</v>
      </c>
      <c r="G27" s="3" t="s">
        <v>395</v>
      </c>
      <c r="H27" s="3" t="s">
        <v>397</v>
      </c>
      <c r="I27" s="3" t="s">
        <v>330</v>
      </c>
      <c r="J27" s="3" t="s">
        <v>331</v>
      </c>
    </row>
    <row r="28">
      <c r="A28" s="10">
        <v>45313.47403351852</v>
      </c>
      <c r="B28" s="3" t="s">
        <v>398</v>
      </c>
      <c r="C28" s="3" t="s">
        <v>399</v>
      </c>
      <c r="D28" s="3" t="s">
        <v>400</v>
      </c>
      <c r="E28" s="3" t="s">
        <v>15</v>
      </c>
      <c r="F28" s="11">
        <v>45313.0</v>
      </c>
      <c r="G28" s="3" t="s">
        <v>401</v>
      </c>
      <c r="H28" s="3" t="s">
        <v>402</v>
      </c>
      <c r="I28" s="3" t="s">
        <v>330</v>
      </c>
      <c r="J28" s="3" t="s">
        <v>331</v>
      </c>
    </row>
    <row r="29">
      <c r="A29" s="10">
        <v>45314.44203202546</v>
      </c>
      <c r="B29" s="3" t="s">
        <v>376</v>
      </c>
      <c r="C29" s="3" t="s">
        <v>377</v>
      </c>
      <c r="D29" s="3" t="s">
        <v>403</v>
      </c>
      <c r="E29" s="3" t="s">
        <v>22</v>
      </c>
      <c r="F29" s="11">
        <v>45314.0</v>
      </c>
      <c r="G29" s="3" t="s">
        <v>377</v>
      </c>
      <c r="H29" s="3" t="s">
        <v>376</v>
      </c>
      <c r="I29" s="3" t="s">
        <v>330</v>
      </c>
      <c r="J29" s="3" t="s">
        <v>331</v>
      </c>
    </row>
    <row r="30">
      <c r="A30" s="10">
        <v>45314.479136863425</v>
      </c>
      <c r="B30" s="3" t="s">
        <v>376</v>
      </c>
      <c r="C30" s="3" t="s">
        <v>377</v>
      </c>
      <c r="D30" s="3" t="s">
        <v>404</v>
      </c>
      <c r="E30" s="3" t="s">
        <v>22</v>
      </c>
      <c r="F30" s="11">
        <v>45314.0</v>
      </c>
      <c r="G30" s="3" t="s">
        <v>377</v>
      </c>
      <c r="H30" s="3" t="s">
        <v>376</v>
      </c>
      <c r="I30" s="3" t="s">
        <v>330</v>
      </c>
      <c r="J30" s="3" t="s">
        <v>331</v>
      </c>
    </row>
    <row r="31">
      <c r="A31" s="10">
        <v>45315.454319745375</v>
      </c>
      <c r="B31" s="3" t="s">
        <v>376</v>
      </c>
      <c r="C31" s="3" t="s">
        <v>377</v>
      </c>
      <c r="D31" s="3" t="s">
        <v>405</v>
      </c>
      <c r="E31" s="3" t="s">
        <v>6</v>
      </c>
      <c r="F31" s="11">
        <v>45320.0</v>
      </c>
      <c r="G31" s="3" t="s">
        <v>377</v>
      </c>
      <c r="H31" s="3" t="s">
        <v>376</v>
      </c>
      <c r="I31" s="3" t="s">
        <v>330</v>
      </c>
      <c r="J31" s="3" t="s">
        <v>331</v>
      </c>
    </row>
    <row r="32">
      <c r="A32" s="10">
        <v>45320.71027207176</v>
      </c>
      <c r="B32" s="3" t="s">
        <v>352</v>
      </c>
      <c r="C32" s="3" t="s">
        <v>353</v>
      </c>
      <c r="D32" s="3" t="s">
        <v>406</v>
      </c>
      <c r="E32" s="3" t="s">
        <v>5</v>
      </c>
      <c r="F32" s="11">
        <v>45321.0</v>
      </c>
      <c r="G32" s="3" t="s">
        <v>353</v>
      </c>
      <c r="H32" s="3" t="s">
        <v>352</v>
      </c>
      <c r="I32" s="3" t="s">
        <v>330</v>
      </c>
      <c r="J32" s="3" t="s">
        <v>331</v>
      </c>
    </row>
    <row r="33">
      <c r="A33" s="10">
        <v>45321.4377012037</v>
      </c>
      <c r="B33" s="3" t="s">
        <v>376</v>
      </c>
      <c r="C33" s="3" t="s">
        <v>377</v>
      </c>
      <c r="D33" s="3" t="s">
        <v>407</v>
      </c>
      <c r="E33" s="3" t="s">
        <v>6</v>
      </c>
      <c r="F33" s="11">
        <v>45321.0</v>
      </c>
      <c r="G33" s="3" t="s">
        <v>377</v>
      </c>
      <c r="H33" s="3" t="s">
        <v>376</v>
      </c>
      <c r="I33" s="3" t="s">
        <v>330</v>
      </c>
      <c r="J33" s="3" t="s">
        <v>365</v>
      </c>
    </row>
    <row r="34">
      <c r="A34" s="10">
        <v>45330.62663752315</v>
      </c>
      <c r="B34" s="3" t="s">
        <v>394</v>
      </c>
      <c r="C34" s="3" t="s">
        <v>408</v>
      </c>
      <c r="D34" s="3" t="s">
        <v>409</v>
      </c>
      <c r="E34" s="3" t="s">
        <v>22</v>
      </c>
      <c r="F34" s="11">
        <v>45327.0</v>
      </c>
      <c r="G34" s="3" t="s">
        <v>408</v>
      </c>
      <c r="H34" s="3" t="s">
        <v>397</v>
      </c>
      <c r="I34" s="3" t="s">
        <v>330</v>
      </c>
      <c r="J34" s="3" t="s">
        <v>331</v>
      </c>
    </row>
    <row r="35">
      <c r="A35" s="10">
        <v>45336.362601875</v>
      </c>
      <c r="B35" s="3" t="s">
        <v>387</v>
      </c>
      <c r="C35" s="3" t="s">
        <v>388</v>
      </c>
      <c r="D35" s="3" t="s">
        <v>410</v>
      </c>
      <c r="E35" s="3" t="s">
        <v>15</v>
      </c>
      <c r="F35" s="11">
        <v>45336.0</v>
      </c>
      <c r="G35" s="3" t="s">
        <v>388</v>
      </c>
      <c r="H35" s="3" t="s">
        <v>387</v>
      </c>
    </row>
    <row r="36" ht="203.25" customHeight="1">
      <c r="A36" s="10">
        <v>45336.371119965275</v>
      </c>
      <c r="B36" s="3" t="s">
        <v>335</v>
      </c>
      <c r="C36" s="3" t="s">
        <v>411</v>
      </c>
      <c r="D36" s="3" t="s">
        <v>412</v>
      </c>
      <c r="E36" s="3" t="s">
        <v>7</v>
      </c>
      <c r="F36" s="11">
        <v>45336.0</v>
      </c>
      <c r="G36" s="3" t="s">
        <v>411</v>
      </c>
      <c r="H36" s="3" t="s">
        <v>335</v>
      </c>
      <c r="I36" s="3" t="s">
        <v>413</v>
      </c>
      <c r="J36" s="3" t="s">
        <v>331</v>
      </c>
    </row>
    <row r="37">
      <c r="A37" s="10">
        <v>45345.387122280095</v>
      </c>
      <c r="B37" s="3" t="s">
        <v>376</v>
      </c>
      <c r="C37" s="3" t="s">
        <v>377</v>
      </c>
      <c r="D37" s="3" t="s">
        <v>414</v>
      </c>
      <c r="E37" s="3" t="s">
        <v>12</v>
      </c>
      <c r="F37" s="11">
        <v>45346.0</v>
      </c>
      <c r="G37" s="3" t="s">
        <v>377</v>
      </c>
      <c r="H37" s="3" t="s">
        <v>415</v>
      </c>
      <c r="I37" s="3" t="s">
        <v>330</v>
      </c>
      <c r="J37" s="3" t="s">
        <v>331</v>
      </c>
    </row>
    <row r="38">
      <c r="A38" s="10">
        <v>45345.72045603009</v>
      </c>
      <c r="B38" s="3" t="s">
        <v>376</v>
      </c>
      <c r="C38" s="3" t="s">
        <v>377</v>
      </c>
      <c r="D38" s="3" t="s">
        <v>416</v>
      </c>
      <c r="E38" s="3" t="s">
        <v>12</v>
      </c>
      <c r="F38" s="11">
        <v>45346.0</v>
      </c>
      <c r="G38" s="3" t="s">
        <v>377</v>
      </c>
      <c r="H38" s="3" t="s">
        <v>376</v>
      </c>
      <c r="I38" s="3" t="s">
        <v>417</v>
      </c>
      <c r="J38" s="3" t="s">
        <v>331</v>
      </c>
    </row>
    <row r="39">
      <c r="A39" s="10">
        <v>45348.437179953704</v>
      </c>
      <c r="B39" s="3" t="s">
        <v>356</v>
      </c>
      <c r="C39" s="3" t="s">
        <v>357</v>
      </c>
      <c r="D39" s="3" t="s">
        <v>418</v>
      </c>
      <c r="E39" s="3" t="s">
        <v>12</v>
      </c>
      <c r="F39" s="11">
        <v>45347.0</v>
      </c>
      <c r="G39" s="3" t="s">
        <v>357</v>
      </c>
      <c r="H39" s="3" t="s">
        <v>356</v>
      </c>
      <c r="I39" s="3" t="s">
        <v>330</v>
      </c>
      <c r="J39" s="3" t="s">
        <v>331</v>
      </c>
    </row>
    <row r="40">
      <c r="A40" s="10">
        <v>45348.43948262732</v>
      </c>
      <c r="B40" s="3" t="s">
        <v>356</v>
      </c>
      <c r="C40" s="3" t="s">
        <v>357</v>
      </c>
      <c r="D40" s="3" t="s">
        <v>419</v>
      </c>
      <c r="E40" s="3" t="s">
        <v>7</v>
      </c>
      <c r="F40" s="11">
        <v>45346.0</v>
      </c>
      <c r="G40" s="3" t="s">
        <v>411</v>
      </c>
      <c r="H40" s="3" t="s">
        <v>335</v>
      </c>
      <c r="I40" s="3" t="s">
        <v>330</v>
      </c>
      <c r="J40" s="3" t="s">
        <v>331</v>
      </c>
    </row>
    <row r="41">
      <c r="A41" s="10">
        <v>45348.44766358796</v>
      </c>
      <c r="B41" s="3" t="s">
        <v>356</v>
      </c>
      <c r="C41" s="3" t="s">
        <v>357</v>
      </c>
      <c r="D41" s="3" t="s">
        <v>420</v>
      </c>
      <c r="E41" s="3" t="s">
        <v>12</v>
      </c>
      <c r="F41" s="11">
        <v>45346.0</v>
      </c>
      <c r="G41" s="3" t="s">
        <v>357</v>
      </c>
      <c r="H41" s="3" t="s">
        <v>356</v>
      </c>
      <c r="I41" s="3" t="s">
        <v>330</v>
      </c>
      <c r="J41" s="3" t="s">
        <v>331</v>
      </c>
    </row>
    <row r="42">
      <c r="A42" s="10">
        <v>45359.63865050926</v>
      </c>
      <c r="B42" s="3" t="s">
        <v>421</v>
      </c>
      <c r="C42" s="3" t="s">
        <v>422</v>
      </c>
      <c r="D42" s="3" t="s">
        <v>423</v>
      </c>
      <c r="E42" s="3" t="s">
        <v>12</v>
      </c>
      <c r="F42" s="11">
        <v>45359.0</v>
      </c>
      <c r="G42" s="3" t="s">
        <v>424</v>
      </c>
      <c r="H42" s="3" t="s">
        <v>425</v>
      </c>
      <c r="I42" s="3" t="s">
        <v>330</v>
      </c>
    </row>
    <row r="43">
      <c r="A43" s="10"/>
      <c r="F43" s="11"/>
    </row>
    <row r="44">
      <c r="A44" s="3" t="s">
        <v>426</v>
      </c>
      <c r="B44" s="3" t="s">
        <v>387</v>
      </c>
      <c r="C44" s="3" t="s">
        <v>388</v>
      </c>
      <c r="D44" s="3" t="s">
        <v>427</v>
      </c>
      <c r="E44" s="3" t="s">
        <v>15</v>
      </c>
      <c r="F44" s="11">
        <v>45365.0</v>
      </c>
      <c r="G44" s="3" t="s">
        <v>388</v>
      </c>
      <c r="H44" s="3" t="s">
        <v>387</v>
      </c>
      <c r="I44" s="3" t="s">
        <v>330</v>
      </c>
      <c r="J44" s="3" t="s">
        <v>331</v>
      </c>
    </row>
    <row r="45">
      <c r="A45" s="10">
        <v>45366.525991296294</v>
      </c>
      <c r="B45" s="3" t="s">
        <v>387</v>
      </c>
      <c r="C45" s="3" t="s">
        <v>388</v>
      </c>
      <c r="D45" s="3" t="s">
        <v>428</v>
      </c>
      <c r="E45" s="3" t="s">
        <v>15</v>
      </c>
      <c r="F45" s="11">
        <v>45369.0</v>
      </c>
      <c r="G45" s="3" t="s">
        <v>388</v>
      </c>
      <c r="H45" s="3" t="s">
        <v>387</v>
      </c>
      <c r="I45" s="3" t="s">
        <v>330</v>
      </c>
      <c r="J45" s="3" t="s">
        <v>331</v>
      </c>
    </row>
    <row r="46">
      <c r="A46" s="10">
        <v>45370.61363648148</v>
      </c>
      <c r="B46" s="3" t="s">
        <v>429</v>
      </c>
      <c r="C46" s="3" t="s">
        <v>430</v>
      </c>
      <c r="D46" s="3" t="s">
        <v>431</v>
      </c>
      <c r="E46" s="3" t="s">
        <v>11</v>
      </c>
      <c r="F46" s="11">
        <v>45371.0</v>
      </c>
      <c r="G46" s="3" t="s">
        <v>430</v>
      </c>
      <c r="H46" s="3" t="s">
        <v>429</v>
      </c>
      <c r="I46" s="3" t="s">
        <v>330</v>
      </c>
      <c r="J46" s="3" t="s">
        <v>331</v>
      </c>
    </row>
    <row r="47">
      <c r="A47" s="10">
        <v>45371.401023784725</v>
      </c>
      <c r="B47" s="3" t="s">
        <v>429</v>
      </c>
      <c r="C47" s="3" t="s">
        <v>432</v>
      </c>
      <c r="D47" s="3" t="s">
        <v>433</v>
      </c>
      <c r="E47" s="3" t="s">
        <v>11</v>
      </c>
      <c r="F47" s="11">
        <v>45371.0</v>
      </c>
      <c r="G47" s="3" t="s">
        <v>434</v>
      </c>
      <c r="H47" s="3" t="s">
        <v>435</v>
      </c>
      <c r="I47" s="3" t="s">
        <v>330</v>
      </c>
      <c r="J47" s="3" t="s">
        <v>331</v>
      </c>
    </row>
    <row r="48">
      <c r="A48" s="10">
        <v>45371.44144863426</v>
      </c>
      <c r="B48" s="3" t="s">
        <v>429</v>
      </c>
      <c r="C48" s="3" t="s">
        <v>432</v>
      </c>
      <c r="D48" s="3" t="s">
        <v>436</v>
      </c>
      <c r="E48" s="3" t="s">
        <v>11</v>
      </c>
      <c r="F48" s="11">
        <v>45371.0</v>
      </c>
      <c r="G48" s="3" t="s">
        <v>432</v>
      </c>
      <c r="H48" s="3" t="s">
        <v>429</v>
      </c>
      <c r="I48" s="3" t="s">
        <v>330</v>
      </c>
    </row>
    <row r="49">
      <c r="A49" s="10">
        <v>45372.33337969908</v>
      </c>
      <c r="B49" s="3" t="s">
        <v>429</v>
      </c>
      <c r="C49" s="3" t="s">
        <v>432</v>
      </c>
      <c r="D49" s="3" t="s">
        <v>437</v>
      </c>
      <c r="E49" s="3" t="s">
        <v>11</v>
      </c>
      <c r="F49" s="11">
        <v>45372.0</v>
      </c>
      <c r="G49" s="3" t="s">
        <v>434</v>
      </c>
      <c r="H49" s="3" t="s">
        <v>435</v>
      </c>
      <c r="I49" s="3" t="s">
        <v>330</v>
      </c>
    </row>
    <row r="50">
      <c r="A50" s="10">
        <v>45372.42212307871</v>
      </c>
      <c r="B50" s="3" t="s">
        <v>361</v>
      </c>
      <c r="C50" s="3" t="s">
        <v>362</v>
      </c>
      <c r="D50" s="3" t="s">
        <v>438</v>
      </c>
      <c r="E50" s="3" t="s">
        <v>15</v>
      </c>
      <c r="F50" s="11">
        <v>45372.0</v>
      </c>
      <c r="G50" s="3" t="s">
        <v>362</v>
      </c>
      <c r="H50" s="3" t="s">
        <v>361</v>
      </c>
      <c r="I50" s="3" t="s">
        <v>330</v>
      </c>
    </row>
    <row r="51">
      <c r="A51" s="10">
        <v>45391.30102571759</v>
      </c>
      <c r="B51" s="3" t="s">
        <v>439</v>
      </c>
      <c r="C51" s="3" t="s">
        <v>440</v>
      </c>
      <c r="D51" s="3" t="s">
        <v>441</v>
      </c>
      <c r="E51" s="3" t="s">
        <v>15</v>
      </c>
      <c r="F51" s="11">
        <v>45391.0</v>
      </c>
      <c r="G51" s="3" t="s">
        <v>440</v>
      </c>
      <c r="H51" s="3" t="s">
        <v>439</v>
      </c>
      <c r="I51" s="3" t="s">
        <v>330</v>
      </c>
    </row>
    <row r="52">
      <c r="A52" s="10">
        <v>45392.43877143519</v>
      </c>
      <c r="B52" s="3" t="s">
        <v>332</v>
      </c>
      <c r="C52" s="3" t="s">
        <v>333</v>
      </c>
      <c r="D52" s="3" t="s">
        <v>442</v>
      </c>
      <c r="E52" s="3" t="s">
        <v>6</v>
      </c>
      <c r="F52" s="11">
        <v>45392.0</v>
      </c>
      <c r="G52" s="3" t="s">
        <v>333</v>
      </c>
      <c r="H52" s="3" t="s">
        <v>332</v>
      </c>
      <c r="I52" s="3" t="s">
        <v>330</v>
      </c>
      <c r="J52" s="3" t="s">
        <v>331</v>
      </c>
    </row>
    <row r="53">
      <c r="A53" s="10">
        <v>45420.37042953704</v>
      </c>
      <c r="B53" s="3" t="s">
        <v>352</v>
      </c>
      <c r="C53" s="3" t="s">
        <v>353</v>
      </c>
      <c r="D53" s="3" t="s">
        <v>443</v>
      </c>
      <c r="E53" s="3" t="s">
        <v>15</v>
      </c>
      <c r="F53" s="11">
        <v>45420.0</v>
      </c>
      <c r="G53" s="3" t="s">
        <v>373</v>
      </c>
      <c r="H53" s="3" t="s">
        <v>352</v>
      </c>
    </row>
    <row r="54">
      <c r="A54" s="10">
        <v>45428.37619833333</v>
      </c>
      <c r="B54" s="3" t="s">
        <v>352</v>
      </c>
      <c r="C54" s="3" t="s">
        <v>353</v>
      </c>
      <c r="D54" s="3" t="s">
        <v>444</v>
      </c>
      <c r="E54" s="3" t="s">
        <v>15</v>
      </c>
      <c r="F54" s="11">
        <v>45428.0</v>
      </c>
      <c r="G54" s="3" t="s">
        <v>373</v>
      </c>
      <c r="H54" s="3" t="s">
        <v>352</v>
      </c>
    </row>
    <row r="55">
      <c r="A55" s="10">
        <v>45432.525894895836</v>
      </c>
      <c r="B55" s="3" t="s">
        <v>346</v>
      </c>
      <c r="C55" s="3" t="s">
        <v>349</v>
      </c>
      <c r="D55" s="3" t="s">
        <v>445</v>
      </c>
      <c r="E55" s="3" t="s">
        <v>8</v>
      </c>
      <c r="F55" s="11">
        <v>45433.0</v>
      </c>
      <c r="G55" s="3" t="s">
        <v>347</v>
      </c>
      <c r="H55" s="3" t="s">
        <v>346</v>
      </c>
    </row>
    <row r="56">
      <c r="A56" s="10">
        <v>45436.4226759375</v>
      </c>
      <c r="B56" s="3" t="s">
        <v>356</v>
      </c>
      <c r="C56" s="3" t="s">
        <v>357</v>
      </c>
      <c r="D56" s="3" t="s">
        <v>446</v>
      </c>
      <c r="E56" s="3" t="s">
        <v>11</v>
      </c>
      <c r="F56" s="11">
        <v>45436.0</v>
      </c>
      <c r="G56" s="3" t="s">
        <v>357</v>
      </c>
      <c r="H56" s="3" t="s">
        <v>447</v>
      </c>
    </row>
    <row r="57">
      <c r="A57" s="10">
        <v>45442.332564826385</v>
      </c>
      <c r="B57" s="3" t="s">
        <v>439</v>
      </c>
      <c r="C57" s="3" t="s">
        <v>448</v>
      </c>
      <c r="D57" s="3" t="s">
        <v>449</v>
      </c>
      <c r="E57" s="3" t="s">
        <v>15</v>
      </c>
      <c r="F57" s="11">
        <v>45442.0</v>
      </c>
      <c r="G57" s="3" t="s">
        <v>448</v>
      </c>
      <c r="H57" s="3" t="s">
        <v>439</v>
      </c>
    </row>
    <row r="58">
      <c r="A58" s="10">
        <v>45460.73715394676</v>
      </c>
      <c r="B58" s="3" t="s">
        <v>352</v>
      </c>
      <c r="C58" s="3" t="s">
        <v>353</v>
      </c>
      <c r="D58" s="3" t="s">
        <v>450</v>
      </c>
      <c r="E58" s="3" t="s">
        <v>15</v>
      </c>
      <c r="F58" s="11">
        <v>45461.0</v>
      </c>
      <c r="G58" s="3" t="s">
        <v>353</v>
      </c>
      <c r="H58" s="3" t="s">
        <v>352</v>
      </c>
    </row>
    <row r="59">
      <c r="A59" s="10">
        <v>45461.45809732639</v>
      </c>
      <c r="B59" s="3" t="s">
        <v>352</v>
      </c>
      <c r="C59" s="3" t="s">
        <v>353</v>
      </c>
      <c r="D59" s="3" t="s">
        <v>451</v>
      </c>
      <c r="E59" s="3" t="s">
        <v>15</v>
      </c>
      <c r="F59" s="11">
        <v>45461.0</v>
      </c>
      <c r="G59" s="3" t="s">
        <v>353</v>
      </c>
      <c r="H59" s="3" t="s">
        <v>352</v>
      </c>
      <c r="I59" s="3" t="s">
        <v>452</v>
      </c>
    </row>
    <row r="60">
      <c r="A60" s="10">
        <v>45481.63463074074</v>
      </c>
      <c r="B60" s="3" t="s">
        <v>346</v>
      </c>
      <c r="C60" s="3" t="s">
        <v>349</v>
      </c>
      <c r="D60" s="3" t="s">
        <v>453</v>
      </c>
      <c r="E60" s="3" t="s">
        <v>8</v>
      </c>
      <c r="F60" s="11">
        <v>45482.0</v>
      </c>
      <c r="G60" s="3" t="s">
        <v>349</v>
      </c>
      <c r="H60" s="3" t="s">
        <v>454</v>
      </c>
    </row>
    <row r="61">
      <c r="A61" s="10">
        <v>45517.650387685186</v>
      </c>
      <c r="B61" s="3" t="s">
        <v>346</v>
      </c>
      <c r="C61" s="3" t="s">
        <v>349</v>
      </c>
      <c r="D61" s="3" t="s">
        <v>455</v>
      </c>
      <c r="E61" s="3" t="s">
        <v>8</v>
      </c>
      <c r="F61" s="11">
        <v>45518.0</v>
      </c>
      <c r="G61" s="3" t="s">
        <v>349</v>
      </c>
      <c r="H61" s="3" t="s">
        <v>454</v>
      </c>
    </row>
    <row r="62">
      <c r="A62" s="10">
        <v>45518.47360456019</v>
      </c>
      <c r="B62" s="3" t="s">
        <v>346</v>
      </c>
      <c r="C62" s="3" t="s">
        <v>349</v>
      </c>
      <c r="D62" s="3" t="s">
        <v>456</v>
      </c>
      <c r="E62" s="3" t="s">
        <v>8</v>
      </c>
      <c r="F62" s="11">
        <v>45519.0</v>
      </c>
      <c r="G62" s="3" t="s">
        <v>349</v>
      </c>
      <c r="H62" s="3" t="s">
        <v>346</v>
      </c>
    </row>
    <row r="63">
      <c r="A63" s="10">
        <v>45518.69908535879</v>
      </c>
      <c r="B63" s="3" t="s">
        <v>335</v>
      </c>
      <c r="C63" s="3" t="s">
        <v>457</v>
      </c>
      <c r="D63" s="3" t="s">
        <v>458</v>
      </c>
      <c r="E63" s="3" t="s">
        <v>7</v>
      </c>
      <c r="F63" s="11">
        <v>45519.0</v>
      </c>
      <c r="G63" s="3" t="s">
        <v>457</v>
      </c>
      <c r="H63" s="3" t="s">
        <v>335</v>
      </c>
    </row>
    <row r="64">
      <c r="A64" s="10">
        <v>45523.667248136575</v>
      </c>
      <c r="B64" s="3" t="s">
        <v>335</v>
      </c>
      <c r="C64" s="3" t="s">
        <v>459</v>
      </c>
      <c r="D64" s="3" t="s">
        <v>460</v>
      </c>
      <c r="E64" s="3" t="s">
        <v>8</v>
      </c>
      <c r="F64" s="11">
        <v>45524.0</v>
      </c>
      <c r="G64" s="3" t="s">
        <v>459</v>
      </c>
      <c r="H64" s="3" t="s">
        <v>335</v>
      </c>
    </row>
    <row r="65">
      <c r="A65" s="10">
        <v>45524.42491332176</v>
      </c>
      <c r="B65" s="3" t="s">
        <v>335</v>
      </c>
      <c r="C65" s="3" t="s">
        <v>459</v>
      </c>
      <c r="D65" s="3" t="s">
        <v>461</v>
      </c>
      <c r="E65" s="3" t="s">
        <v>8</v>
      </c>
      <c r="F65" s="11">
        <v>45525.0</v>
      </c>
      <c r="G65" s="3" t="s">
        <v>459</v>
      </c>
      <c r="H65" s="3" t="s">
        <v>462</v>
      </c>
    </row>
    <row r="66">
      <c r="A66" s="10">
        <v>45544.54004116898</v>
      </c>
      <c r="B66" s="3" t="s">
        <v>402</v>
      </c>
      <c r="C66" s="3" t="s">
        <v>463</v>
      </c>
      <c r="D66" s="3" t="s">
        <v>464</v>
      </c>
      <c r="E66" s="3" t="s">
        <v>13</v>
      </c>
      <c r="F66" s="11">
        <v>45562.0</v>
      </c>
      <c r="G66" s="3" t="s">
        <v>463</v>
      </c>
      <c r="H66" s="3" t="s">
        <v>402</v>
      </c>
    </row>
    <row r="67">
      <c r="A67" s="10">
        <v>45544.68621572916</v>
      </c>
      <c r="B67" s="3" t="s">
        <v>335</v>
      </c>
      <c r="C67" s="3" t="s">
        <v>459</v>
      </c>
      <c r="D67" s="3" t="s">
        <v>465</v>
      </c>
      <c r="E67" s="3" t="s">
        <v>8</v>
      </c>
      <c r="F67" s="11">
        <v>45545.0</v>
      </c>
      <c r="G67" s="3" t="s">
        <v>459</v>
      </c>
      <c r="H67" s="3" t="s">
        <v>335</v>
      </c>
    </row>
    <row r="68">
      <c r="A68" s="10">
        <v>45545.36082428241</v>
      </c>
      <c r="B68" s="3" t="s">
        <v>439</v>
      </c>
      <c r="C68" s="3" t="s">
        <v>440</v>
      </c>
      <c r="D68" s="3" t="s">
        <v>466</v>
      </c>
      <c r="E68" s="3" t="s">
        <v>5</v>
      </c>
      <c r="F68" s="11">
        <v>45546.0</v>
      </c>
      <c r="G68" s="3" t="s">
        <v>467</v>
      </c>
      <c r="H68" s="3" t="s">
        <v>468</v>
      </c>
    </row>
    <row r="69">
      <c r="A69" s="10">
        <v>45545.38941412037</v>
      </c>
      <c r="B69" s="3" t="s">
        <v>335</v>
      </c>
      <c r="C69" s="3" t="s">
        <v>469</v>
      </c>
      <c r="D69" s="3" t="s">
        <v>470</v>
      </c>
      <c r="E69" s="3" t="s">
        <v>7</v>
      </c>
      <c r="F69" s="11">
        <v>45546.0</v>
      </c>
      <c r="G69" s="3" t="s">
        <v>459</v>
      </c>
      <c r="H69" s="3" t="s">
        <v>335</v>
      </c>
    </row>
    <row r="70">
      <c r="A70" s="10">
        <v>45546.61206296296</v>
      </c>
      <c r="B70" s="3" t="s">
        <v>352</v>
      </c>
      <c r="C70" s="3" t="s">
        <v>353</v>
      </c>
      <c r="D70" s="3" t="s">
        <v>471</v>
      </c>
      <c r="E70" s="3" t="s">
        <v>6</v>
      </c>
      <c r="F70" s="11">
        <v>45547.0</v>
      </c>
      <c r="G70" s="3" t="s">
        <v>353</v>
      </c>
      <c r="H70" s="3" t="s">
        <v>352</v>
      </c>
    </row>
    <row r="71">
      <c r="A71" s="10">
        <v>45553.439896979165</v>
      </c>
      <c r="B71" s="3" t="s">
        <v>439</v>
      </c>
      <c r="C71" s="3" t="s">
        <v>448</v>
      </c>
      <c r="D71" s="3" t="s">
        <v>472</v>
      </c>
      <c r="E71" s="3" t="s">
        <v>15</v>
      </c>
      <c r="F71" s="11">
        <v>45553.0</v>
      </c>
      <c r="G71" s="3" t="s">
        <v>473</v>
      </c>
      <c r="H71" s="3" t="s">
        <v>332</v>
      </c>
    </row>
    <row r="72">
      <c r="A72" s="10">
        <v>45555.42366346065</v>
      </c>
      <c r="B72" s="3" t="s">
        <v>352</v>
      </c>
      <c r="C72" s="3" t="s">
        <v>353</v>
      </c>
      <c r="D72" s="3" t="s">
        <v>474</v>
      </c>
      <c r="E72" s="3" t="s">
        <v>15</v>
      </c>
      <c r="F72" s="11">
        <v>45555.0</v>
      </c>
      <c r="G72" s="3" t="s">
        <v>475</v>
      </c>
      <c r="H72" s="3" t="s">
        <v>352</v>
      </c>
    </row>
    <row r="73">
      <c r="A73" s="10">
        <v>45573.46163269676</v>
      </c>
      <c r="B73" s="3" t="s">
        <v>476</v>
      </c>
      <c r="C73" s="3" t="s">
        <v>477</v>
      </c>
      <c r="D73" s="3" t="s">
        <v>478</v>
      </c>
      <c r="E73" s="3" t="s">
        <v>11</v>
      </c>
      <c r="F73" s="11">
        <v>45574.0</v>
      </c>
      <c r="G73" s="3" t="s">
        <v>479</v>
      </c>
      <c r="H73" s="3" t="s">
        <v>476</v>
      </c>
    </row>
    <row r="74">
      <c r="A74" s="10">
        <v>45573.480135555554</v>
      </c>
      <c r="B74" s="3" t="s">
        <v>476</v>
      </c>
      <c r="C74" s="3" t="s">
        <v>479</v>
      </c>
      <c r="D74" s="3" t="s">
        <v>480</v>
      </c>
      <c r="E74" s="3" t="s">
        <v>11</v>
      </c>
      <c r="F74" s="11">
        <v>45574.0</v>
      </c>
      <c r="G74" s="3" t="s">
        <v>481</v>
      </c>
      <c r="H74" s="3" t="s">
        <v>476</v>
      </c>
    </row>
    <row r="75">
      <c r="A75" s="10">
        <v>45573.53456369213</v>
      </c>
      <c r="B75" s="3" t="s">
        <v>346</v>
      </c>
      <c r="C75" s="3" t="s">
        <v>349</v>
      </c>
      <c r="D75" s="3" t="s">
        <v>482</v>
      </c>
      <c r="E75" s="3" t="s">
        <v>8</v>
      </c>
      <c r="F75" s="11">
        <v>45573.0</v>
      </c>
      <c r="G75" s="3" t="s">
        <v>349</v>
      </c>
      <c r="H75" s="3" t="s">
        <v>346</v>
      </c>
    </row>
    <row r="76">
      <c r="A76" s="10">
        <v>45576.59893260417</v>
      </c>
      <c r="B76" s="3" t="s">
        <v>398</v>
      </c>
      <c r="C76" s="3" t="s">
        <v>483</v>
      </c>
      <c r="D76" s="3" t="s">
        <v>484</v>
      </c>
      <c r="E76" s="3" t="s">
        <v>7</v>
      </c>
      <c r="F76" s="11">
        <v>45579.0</v>
      </c>
      <c r="G76" s="3" t="s">
        <v>349</v>
      </c>
      <c r="H76" s="3" t="s">
        <v>485</v>
      </c>
    </row>
    <row r="77">
      <c r="A77" s="10">
        <v>45596.402508784726</v>
      </c>
      <c r="B77" s="3" t="s">
        <v>387</v>
      </c>
      <c r="C77" s="3" t="s">
        <v>388</v>
      </c>
      <c r="D77" s="3" t="s">
        <v>486</v>
      </c>
      <c r="E77" s="3" t="s">
        <v>15</v>
      </c>
      <c r="F77" s="11">
        <v>45595.0</v>
      </c>
      <c r="G77" s="3" t="s">
        <v>388</v>
      </c>
      <c r="H77" s="3" t="s">
        <v>387</v>
      </c>
    </row>
    <row r="78">
      <c r="A78" s="10">
        <v>45596.432147534724</v>
      </c>
      <c r="B78" s="3" t="s">
        <v>387</v>
      </c>
      <c r="C78" s="3" t="s">
        <v>388</v>
      </c>
      <c r="D78" s="3" t="s">
        <v>487</v>
      </c>
      <c r="E78" s="3" t="s">
        <v>15</v>
      </c>
      <c r="F78" s="11">
        <v>45596.0</v>
      </c>
      <c r="G78" s="3" t="s">
        <v>388</v>
      </c>
      <c r="H78" s="3" t="s">
        <v>387</v>
      </c>
    </row>
    <row r="79">
      <c r="A79" s="10">
        <v>45602.51065686342</v>
      </c>
      <c r="B79" s="3" t="s">
        <v>335</v>
      </c>
      <c r="C79" s="3" t="s">
        <v>488</v>
      </c>
      <c r="D79" s="3" t="s">
        <v>489</v>
      </c>
      <c r="E79" s="3" t="s">
        <v>5</v>
      </c>
      <c r="F79" s="11">
        <v>45603.0</v>
      </c>
      <c r="G79" s="3" t="s">
        <v>457</v>
      </c>
      <c r="H79" s="3" t="s">
        <v>335</v>
      </c>
    </row>
    <row r="80">
      <c r="A80" s="10">
        <v>45602.71793759259</v>
      </c>
      <c r="B80" s="3" t="s">
        <v>490</v>
      </c>
      <c r="C80" s="3" t="s">
        <v>491</v>
      </c>
      <c r="D80" s="3" t="s">
        <v>492</v>
      </c>
      <c r="E80" s="3" t="s">
        <v>7</v>
      </c>
      <c r="F80" s="11">
        <v>45602.0</v>
      </c>
      <c r="G80" s="3" t="s">
        <v>493</v>
      </c>
      <c r="H80" s="3" t="s">
        <v>490</v>
      </c>
    </row>
    <row r="81">
      <c r="A81" s="10">
        <v>45603.390634282405</v>
      </c>
      <c r="B81" s="3" t="s">
        <v>387</v>
      </c>
      <c r="C81" s="3" t="s">
        <v>388</v>
      </c>
      <c r="D81" s="3" t="s">
        <v>494</v>
      </c>
      <c r="E81" s="3" t="s">
        <v>7</v>
      </c>
      <c r="F81" s="11">
        <v>45602.0</v>
      </c>
      <c r="G81" s="3" t="s">
        <v>388</v>
      </c>
      <c r="H81" s="3" t="s">
        <v>387</v>
      </c>
    </row>
    <row r="82">
      <c r="A82" s="10">
        <v>45603.39346085648</v>
      </c>
      <c r="B82" s="3" t="s">
        <v>387</v>
      </c>
      <c r="C82" s="3" t="s">
        <v>388</v>
      </c>
      <c r="D82" s="3" t="s">
        <v>495</v>
      </c>
      <c r="E82" s="3" t="s">
        <v>15</v>
      </c>
      <c r="F82" s="11">
        <v>45602.0</v>
      </c>
      <c r="G82" s="3" t="s">
        <v>388</v>
      </c>
      <c r="H82" s="3" t="s">
        <v>387</v>
      </c>
    </row>
    <row r="83">
      <c r="A83" s="10">
        <v>45603.42894591435</v>
      </c>
      <c r="B83" s="3" t="s">
        <v>490</v>
      </c>
      <c r="C83" s="3" t="s">
        <v>493</v>
      </c>
      <c r="D83" s="3" t="s">
        <v>496</v>
      </c>
      <c r="E83" s="3" t="s">
        <v>7</v>
      </c>
      <c r="F83" s="11">
        <v>45603.0</v>
      </c>
      <c r="G83" s="3" t="s">
        <v>493</v>
      </c>
      <c r="H83" s="3" t="s">
        <v>490</v>
      </c>
    </row>
    <row r="84">
      <c r="A84" s="10">
        <v>45604.41277283565</v>
      </c>
      <c r="B84" s="3" t="s">
        <v>387</v>
      </c>
      <c r="C84" s="3" t="s">
        <v>388</v>
      </c>
      <c r="D84" s="3" t="s">
        <v>497</v>
      </c>
      <c r="E84" s="3" t="s">
        <v>15</v>
      </c>
      <c r="F84" s="11">
        <v>45604.0</v>
      </c>
      <c r="G84" s="3" t="s">
        <v>388</v>
      </c>
      <c r="H84" s="3" t="s">
        <v>387</v>
      </c>
    </row>
    <row r="85">
      <c r="A85" s="10">
        <v>45607.62613863426</v>
      </c>
      <c r="B85" s="3" t="s">
        <v>387</v>
      </c>
      <c r="C85" s="3" t="s">
        <v>388</v>
      </c>
      <c r="D85" s="3" t="s">
        <v>498</v>
      </c>
      <c r="E85" s="3" t="s">
        <v>15</v>
      </c>
      <c r="F85" s="11">
        <v>45607.0</v>
      </c>
      <c r="G85" s="3" t="s">
        <v>388</v>
      </c>
      <c r="H85" s="3" t="s">
        <v>387</v>
      </c>
    </row>
    <row r="86">
      <c r="A86" s="10">
        <v>45609.39742599537</v>
      </c>
      <c r="B86" s="3" t="s">
        <v>402</v>
      </c>
      <c r="C86" s="3" t="s">
        <v>499</v>
      </c>
      <c r="D86" s="3" t="s">
        <v>500</v>
      </c>
      <c r="E86" s="3" t="s">
        <v>11</v>
      </c>
      <c r="F86" s="11">
        <v>45609.0</v>
      </c>
      <c r="G86" s="3" t="s">
        <v>344</v>
      </c>
      <c r="H86" s="3" t="s">
        <v>501</v>
      </c>
    </row>
    <row r="87">
      <c r="A87" s="10">
        <v>45615.32561571759</v>
      </c>
      <c r="B87" s="3" t="s">
        <v>335</v>
      </c>
      <c r="C87" s="3" t="s">
        <v>457</v>
      </c>
      <c r="D87" s="3" t="s">
        <v>502</v>
      </c>
      <c r="E87" s="3" t="s">
        <v>7</v>
      </c>
      <c r="F87" s="11">
        <v>45615.0</v>
      </c>
      <c r="G87" s="3" t="s">
        <v>503</v>
      </c>
      <c r="H87" s="3" t="s">
        <v>425</v>
      </c>
    </row>
    <row r="88" ht="24.0" customHeight="1">
      <c r="A88" s="10">
        <v>45615.32787137732</v>
      </c>
      <c r="B88" s="3" t="s">
        <v>335</v>
      </c>
      <c r="C88" s="3" t="s">
        <v>457</v>
      </c>
      <c r="D88" s="3" t="s">
        <v>504</v>
      </c>
      <c r="E88" s="3" t="s">
        <v>15</v>
      </c>
      <c r="F88" s="11">
        <v>45615.0</v>
      </c>
      <c r="G88" s="3" t="s">
        <v>505</v>
      </c>
      <c r="H88" s="3" t="s">
        <v>425</v>
      </c>
    </row>
    <row r="89" ht="603.0" customHeight="1">
      <c r="A89" s="10">
        <v>45615.54983189815</v>
      </c>
      <c r="B89" s="3" t="s">
        <v>398</v>
      </c>
      <c r="C89" s="3" t="s">
        <v>506</v>
      </c>
      <c r="D89" s="3" t="s">
        <v>507</v>
      </c>
      <c r="E89" s="3" t="s">
        <v>11</v>
      </c>
      <c r="F89" s="11">
        <v>45602.0</v>
      </c>
      <c r="G89" s="3" t="s">
        <v>508</v>
      </c>
      <c r="H89" s="3" t="s">
        <v>476</v>
      </c>
    </row>
    <row r="90" ht="35.25" customHeight="1">
      <c r="A90" s="10">
        <v>45618.76357642361</v>
      </c>
      <c r="B90" s="3" t="s">
        <v>335</v>
      </c>
      <c r="C90" s="3" t="s">
        <v>350</v>
      </c>
      <c r="D90" s="3" t="s">
        <v>509</v>
      </c>
      <c r="E90" s="3" t="s">
        <v>5</v>
      </c>
      <c r="F90" s="11">
        <v>45617.0</v>
      </c>
      <c r="G90" s="3" t="s">
        <v>510</v>
      </c>
      <c r="H90" s="3" t="s">
        <v>468</v>
      </c>
    </row>
    <row r="91">
      <c r="A91" s="10">
        <v>45622.74444517361</v>
      </c>
      <c r="B91" s="3" t="s">
        <v>346</v>
      </c>
      <c r="C91" s="3" t="s">
        <v>505</v>
      </c>
      <c r="D91" s="3" t="s">
        <v>511</v>
      </c>
      <c r="E91" s="3" t="s">
        <v>15</v>
      </c>
      <c r="F91" s="11">
        <v>45607.0</v>
      </c>
      <c r="G91" s="3" t="s">
        <v>349</v>
      </c>
      <c r="H91" s="3" t="s">
        <v>346</v>
      </c>
    </row>
    <row r="92" ht="340.5" customHeight="1">
      <c r="A92" s="10">
        <v>45625.34191744213</v>
      </c>
      <c r="B92" s="3" t="s">
        <v>346</v>
      </c>
      <c r="C92" s="3" t="s">
        <v>349</v>
      </c>
      <c r="D92" s="3" t="s">
        <v>512</v>
      </c>
      <c r="E92" s="3" t="s">
        <v>15</v>
      </c>
      <c r="F92" s="11">
        <v>45618.0</v>
      </c>
      <c r="G92" s="3" t="s">
        <v>349</v>
      </c>
      <c r="H92" s="3" t="s">
        <v>346</v>
      </c>
    </row>
    <row r="93">
      <c r="A93" s="10">
        <v>45629.316451516206</v>
      </c>
      <c r="B93" s="3" t="s">
        <v>332</v>
      </c>
      <c r="C93" s="3" t="s">
        <v>333</v>
      </c>
      <c r="D93" s="3" t="s">
        <v>513</v>
      </c>
      <c r="E93" s="3" t="s">
        <v>7</v>
      </c>
      <c r="F93" s="11">
        <v>45629.0</v>
      </c>
      <c r="G93" s="3" t="s">
        <v>333</v>
      </c>
      <c r="H93" s="3" t="s">
        <v>332</v>
      </c>
    </row>
    <row r="94">
      <c r="A94" s="10">
        <v>45638.23571679398</v>
      </c>
      <c r="B94" s="3" t="s">
        <v>468</v>
      </c>
      <c r="C94" s="3" t="s">
        <v>514</v>
      </c>
      <c r="D94" s="3" t="s">
        <v>515</v>
      </c>
      <c r="E94" s="3" t="s">
        <v>5</v>
      </c>
      <c r="F94" s="11">
        <v>45638.0</v>
      </c>
      <c r="G94" s="3" t="s">
        <v>514</v>
      </c>
      <c r="H94" s="3" t="s">
        <v>468</v>
      </c>
    </row>
    <row r="95">
      <c r="A95" s="10">
        <v>45671.35013291667</v>
      </c>
      <c r="B95" s="3" t="s">
        <v>332</v>
      </c>
      <c r="C95" s="3" t="s">
        <v>333</v>
      </c>
      <c r="D95" s="3" t="s">
        <v>516</v>
      </c>
      <c r="E95" s="3" t="s">
        <v>7</v>
      </c>
      <c r="F95" s="11">
        <v>45671.0</v>
      </c>
      <c r="G95" s="3" t="s">
        <v>333</v>
      </c>
      <c r="H95" s="3" t="s">
        <v>332</v>
      </c>
    </row>
    <row r="96">
      <c r="A96" s="10">
        <v>45671.48408991898</v>
      </c>
      <c r="B96" s="3" t="s">
        <v>332</v>
      </c>
      <c r="C96" s="3" t="s">
        <v>333</v>
      </c>
      <c r="D96" s="3" t="s">
        <v>517</v>
      </c>
      <c r="E96" s="3" t="s">
        <v>7</v>
      </c>
      <c r="F96" s="11">
        <v>45671.0</v>
      </c>
      <c r="G96" s="3" t="s">
        <v>333</v>
      </c>
      <c r="H96" s="3" t="s">
        <v>332</v>
      </c>
    </row>
    <row r="97">
      <c r="A97" s="10">
        <v>45680.620457743054</v>
      </c>
      <c r="B97" s="3" t="s">
        <v>346</v>
      </c>
      <c r="C97" s="3" t="s">
        <v>349</v>
      </c>
      <c r="D97" s="3" t="s">
        <v>518</v>
      </c>
      <c r="E97" s="3" t="s">
        <v>15</v>
      </c>
      <c r="F97" s="11">
        <v>45671.0</v>
      </c>
      <c r="G97" s="3" t="s">
        <v>349</v>
      </c>
      <c r="H97" s="3" t="s">
        <v>346</v>
      </c>
    </row>
    <row r="98">
      <c r="A98" s="10">
        <v>45705.67513096065</v>
      </c>
      <c r="B98" s="3" t="s">
        <v>402</v>
      </c>
      <c r="C98" s="3" t="s">
        <v>519</v>
      </c>
      <c r="D98" s="3" t="s">
        <v>520</v>
      </c>
      <c r="E98" s="3" t="s">
        <v>11</v>
      </c>
      <c r="F98" s="11">
        <v>45706.0</v>
      </c>
      <c r="G98" s="3" t="s">
        <v>477</v>
      </c>
      <c r="H98" s="3" t="s">
        <v>476</v>
      </c>
    </row>
    <row r="99">
      <c r="A99" s="10">
        <v>45706.75515010417</v>
      </c>
      <c r="B99" s="3" t="s">
        <v>521</v>
      </c>
      <c r="C99" s="3" t="s">
        <v>522</v>
      </c>
      <c r="D99" s="3" t="s">
        <v>523</v>
      </c>
      <c r="E99" s="3" t="s">
        <v>5</v>
      </c>
      <c r="F99" s="11">
        <v>45693.0</v>
      </c>
      <c r="G99" s="3" t="s">
        <v>522</v>
      </c>
      <c r="H99" s="3" t="s">
        <v>521</v>
      </c>
    </row>
    <row r="100">
      <c r="A100" s="10">
        <v>45706.8686346412</v>
      </c>
      <c r="B100" s="3" t="s">
        <v>346</v>
      </c>
      <c r="C100" s="3" t="s">
        <v>349</v>
      </c>
      <c r="D100" s="3" t="s">
        <v>524</v>
      </c>
      <c r="E100" s="3" t="s">
        <v>15</v>
      </c>
      <c r="F100" s="11">
        <v>45700.0</v>
      </c>
      <c r="G100" s="3" t="s">
        <v>349</v>
      </c>
      <c r="H100" s="3" t="s">
        <v>346</v>
      </c>
    </row>
    <row r="101">
      <c r="A101" s="10">
        <v>45708.73814450232</v>
      </c>
      <c r="B101" s="3" t="s">
        <v>335</v>
      </c>
      <c r="C101" s="3" t="s">
        <v>457</v>
      </c>
      <c r="D101" s="3" t="s">
        <v>525</v>
      </c>
      <c r="E101" s="3" t="s">
        <v>5</v>
      </c>
      <c r="F101" s="11">
        <v>45709.0</v>
      </c>
      <c r="G101" s="3" t="s">
        <v>526</v>
      </c>
      <c r="H101" s="3" t="s">
        <v>527</v>
      </c>
    </row>
    <row r="102">
      <c r="A102" s="10">
        <v>45709.35817550926</v>
      </c>
      <c r="B102" s="3" t="s">
        <v>490</v>
      </c>
      <c r="C102" s="3" t="s">
        <v>493</v>
      </c>
      <c r="D102" s="3" t="s">
        <v>528</v>
      </c>
      <c r="E102" s="3" t="s">
        <v>15</v>
      </c>
      <c r="F102" s="11">
        <v>45709.0</v>
      </c>
      <c r="G102" s="3" t="s">
        <v>529</v>
      </c>
      <c r="H102" s="3" t="s">
        <v>346</v>
      </c>
    </row>
    <row r="103">
      <c r="A103" s="10">
        <v>45742.38354059028</v>
      </c>
      <c r="B103" s="3" t="s">
        <v>439</v>
      </c>
      <c r="C103" s="3" t="s">
        <v>440</v>
      </c>
      <c r="D103" s="3" t="s">
        <v>530</v>
      </c>
      <c r="E103" s="3" t="s">
        <v>7</v>
      </c>
      <c r="F103" s="11">
        <v>45742.0</v>
      </c>
      <c r="G103" s="3" t="s">
        <v>392</v>
      </c>
      <c r="H103" s="3" t="s">
        <v>332</v>
      </c>
    </row>
    <row r="104">
      <c r="A104" s="10">
        <v>45796.40347405092</v>
      </c>
      <c r="B104" s="3" t="s">
        <v>339</v>
      </c>
      <c r="C104" s="3" t="s">
        <v>340</v>
      </c>
      <c r="D104" s="3" t="s">
        <v>531</v>
      </c>
      <c r="E104" s="3" t="s">
        <v>5</v>
      </c>
      <c r="F104" s="11">
        <v>45796.0</v>
      </c>
      <c r="G104" s="3" t="s">
        <v>340</v>
      </c>
      <c r="H104" s="3" t="s">
        <v>339</v>
      </c>
    </row>
    <row r="105">
      <c r="A105" s="10">
        <v>45817.483833645834</v>
      </c>
      <c r="B105" s="3" t="s">
        <v>532</v>
      </c>
      <c r="C105" s="3" t="s">
        <v>422</v>
      </c>
      <c r="D105" s="3" t="s">
        <v>533</v>
      </c>
      <c r="E105" s="3" t="s">
        <v>8</v>
      </c>
      <c r="F105" s="11">
        <v>45817.0</v>
      </c>
      <c r="G105" s="3" t="s">
        <v>503</v>
      </c>
      <c r="H105" s="3" t="s">
        <v>356</v>
      </c>
    </row>
    <row r="106">
      <c r="A106" s="10">
        <v>45817.489816747686</v>
      </c>
      <c r="B106" s="3" t="s">
        <v>532</v>
      </c>
      <c r="C106" s="3" t="s">
        <v>422</v>
      </c>
      <c r="D106" s="3" t="s">
        <v>534</v>
      </c>
      <c r="E106" s="3" t="s">
        <v>7</v>
      </c>
      <c r="F106" s="11">
        <v>45817.0</v>
      </c>
      <c r="G106" s="3" t="s">
        <v>473</v>
      </c>
      <c r="H106" s="3" t="s">
        <v>332</v>
      </c>
    </row>
    <row r="107">
      <c r="A107" s="10">
        <v>45828.38972415509</v>
      </c>
      <c r="B107" s="3" t="s">
        <v>352</v>
      </c>
      <c r="C107" s="3" t="s">
        <v>353</v>
      </c>
      <c r="D107" s="3" t="s">
        <v>535</v>
      </c>
      <c r="E107" s="3" t="s">
        <v>15</v>
      </c>
      <c r="F107" s="11">
        <v>45828.0</v>
      </c>
      <c r="G107" s="3" t="s">
        <v>353</v>
      </c>
      <c r="H107" s="3" t="s">
        <v>352</v>
      </c>
    </row>
    <row r="108">
      <c r="A108" s="10">
        <v>45832.536485868055</v>
      </c>
      <c r="B108" s="3" t="s">
        <v>335</v>
      </c>
      <c r="C108" s="3" t="s">
        <v>459</v>
      </c>
      <c r="D108" s="3" t="s">
        <v>536</v>
      </c>
      <c r="E108" s="3" t="s">
        <v>5</v>
      </c>
      <c r="F108" s="11">
        <v>45832.0</v>
      </c>
      <c r="G108" s="3" t="s">
        <v>340</v>
      </c>
      <c r="H108" s="3" t="s">
        <v>339</v>
      </c>
    </row>
    <row r="109">
      <c r="A109" s="10">
        <v>45839.74044013889</v>
      </c>
      <c r="B109" s="3" t="s">
        <v>356</v>
      </c>
      <c r="C109" s="3" t="s">
        <v>357</v>
      </c>
      <c r="D109" s="5" t="s">
        <v>537</v>
      </c>
      <c r="E109" s="3" t="s">
        <v>8</v>
      </c>
      <c r="F109" s="11">
        <v>45826.0</v>
      </c>
      <c r="G109" s="3" t="s">
        <v>357</v>
      </c>
      <c r="H109" s="3" t="s">
        <v>356</v>
      </c>
    </row>
    <row r="110">
      <c r="A110" s="10">
        <v>45840.46977131945</v>
      </c>
      <c r="B110" s="3" t="s">
        <v>343</v>
      </c>
      <c r="C110" s="3" t="s">
        <v>538</v>
      </c>
      <c r="D110" s="3" t="s">
        <v>539</v>
      </c>
      <c r="E110" s="3" t="s">
        <v>11</v>
      </c>
      <c r="F110" s="11">
        <v>45841.0</v>
      </c>
      <c r="G110" s="3" t="s">
        <v>538</v>
      </c>
      <c r="H110" s="3" t="s">
        <v>343</v>
      </c>
    </row>
    <row r="111">
      <c r="A111" s="10">
        <v>45840.47015313657</v>
      </c>
      <c r="B111" s="3" t="s">
        <v>490</v>
      </c>
      <c r="C111" s="3" t="s">
        <v>493</v>
      </c>
      <c r="D111" s="3" t="s">
        <v>540</v>
      </c>
      <c r="E111" s="3" t="s">
        <v>7</v>
      </c>
      <c r="F111" s="11">
        <v>45840.0</v>
      </c>
      <c r="G111" s="3" t="s">
        <v>493</v>
      </c>
      <c r="H111" s="3" t="s">
        <v>490</v>
      </c>
    </row>
    <row r="112">
      <c r="A112" s="10">
        <v>45840.4889396875</v>
      </c>
      <c r="B112" s="3" t="s">
        <v>352</v>
      </c>
      <c r="C112" s="3" t="s">
        <v>353</v>
      </c>
      <c r="D112" s="3" t="s">
        <v>541</v>
      </c>
      <c r="E112" s="3" t="s">
        <v>15</v>
      </c>
      <c r="F112" s="11">
        <v>45840.0</v>
      </c>
      <c r="G112" s="3" t="s">
        <v>542</v>
      </c>
      <c r="H112" s="3" t="s">
        <v>346</v>
      </c>
    </row>
    <row r="113">
      <c r="A113" s="10">
        <v>45841.382315219904</v>
      </c>
      <c r="B113" s="3" t="s">
        <v>339</v>
      </c>
      <c r="C113" s="3" t="s">
        <v>340</v>
      </c>
      <c r="D113" s="3" t="s">
        <v>543</v>
      </c>
      <c r="E113" s="3" t="s">
        <v>5</v>
      </c>
      <c r="F113" s="11">
        <v>45841.0</v>
      </c>
      <c r="G113" s="3" t="s">
        <v>544</v>
      </c>
      <c r="H113" s="3" t="s">
        <v>339</v>
      </c>
    </row>
    <row r="114">
      <c r="A114" s="10">
        <v>45841.45581206019</v>
      </c>
      <c r="B114" s="3" t="s">
        <v>339</v>
      </c>
      <c r="C114" s="3" t="s">
        <v>340</v>
      </c>
      <c r="D114" s="3" t="s">
        <v>545</v>
      </c>
      <c r="E114" s="3" t="s">
        <v>5</v>
      </c>
      <c r="F114" s="11">
        <v>45841.0</v>
      </c>
      <c r="G114" s="3" t="s">
        <v>544</v>
      </c>
      <c r="H114" s="3" t="s">
        <v>339</v>
      </c>
    </row>
    <row r="115">
      <c r="A115" s="10">
        <v>45842.270748842595</v>
      </c>
      <c r="B115" s="3" t="s">
        <v>343</v>
      </c>
      <c r="C115" s="3" t="s">
        <v>538</v>
      </c>
      <c r="D115" s="3" t="s">
        <v>546</v>
      </c>
      <c r="E115" s="3" t="s">
        <v>11</v>
      </c>
      <c r="F115" s="11">
        <v>45842.0</v>
      </c>
      <c r="G115" s="3" t="s">
        <v>538</v>
      </c>
      <c r="H115" s="3" t="s">
        <v>343</v>
      </c>
    </row>
    <row r="116">
      <c r="A116" s="10">
        <v>45842.409295694444</v>
      </c>
      <c r="B116" s="3" t="s">
        <v>352</v>
      </c>
      <c r="C116" s="3" t="s">
        <v>353</v>
      </c>
      <c r="D116" s="3" t="s">
        <v>547</v>
      </c>
      <c r="E116" s="3" t="s">
        <v>15</v>
      </c>
      <c r="F116" s="11">
        <v>45842.0</v>
      </c>
      <c r="G116" s="3" t="s">
        <v>373</v>
      </c>
      <c r="H116" s="3" t="s">
        <v>352</v>
      </c>
    </row>
    <row r="117">
      <c r="A117" s="10">
        <v>45842.4239762037</v>
      </c>
      <c r="B117" s="3" t="s">
        <v>352</v>
      </c>
      <c r="C117" s="3" t="s">
        <v>353</v>
      </c>
      <c r="D117" s="3" t="s">
        <v>548</v>
      </c>
      <c r="E117" s="3" t="s">
        <v>15</v>
      </c>
      <c r="F117" s="11">
        <v>45842.0</v>
      </c>
      <c r="G117" s="3" t="s">
        <v>373</v>
      </c>
      <c r="H117" s="3" t="s">
        <v>352</v>
      </c>
    </row>
    <row r="118">
      <c r="A118" s="10">
        <v>45845.411550115736</v>
      </c>
      <c r="B118" s="3" t="s">
        <v>352</v>
      </c>
      <c r="C118" s="3" t="s">
        <v>353</v>
      </c>
      <c r="D118" s="3" t="s">
        <v>549</v>
      </c>
      <c r="E118" s="3" t="s">
        <v>15</v>
      </c>
      <c r="F118" s="11">
        <v>45845.0</v>
      </c>
      <c r="G118" s="3" t="s">
        <v>353</v>
      </c>
      <c r="H118" s="3" t="s">
        <v>352</v>
      </c>
    </row>
    <row r="119">
      <c r="A119" s="10">
        <v>45845.43455466435</v>
      </c>
      <c r="B119" s="3" t="s">
        <v>352</v>
      </c>
      <c r="C119" s="3" t="s">
        <v>353</v>
      </c>
      <c r="D119" s="3" t="s">
        <v>550</v>
      </c>
      <c r="E119" s="3" t="s">
        <v>15</v>
      </c>
      <c r="F119" s="11">
        <v>45845.0</v>
      </c>
      <c r="G119" s="3" t="s">
        <v>353</v>
      </c>
      <c r="H119" s="3" t="s">
        <v>352</v>
      </c>
    </row>
    <row r="120">
      <c r="A120" s="10">
        <v>45846.40886483796</v>
      </c>
      <c r="B120" s="3" t="s">
        <v>402</v>
      </c>
      <c r="C120" s="3" t="s">
        <v>499</v>
      </c>
      <c r="D120" s="3" t="s">
        <v>551</v>
      </c>
      <c r="E120" s="3" t="s">
        <v>5</v>
      </c>
      <c r="F120" s="11">
        <v>45846.0</v>
      </c>
      <c r="G120" s="3" t="s">
        <v>552</v>
      </c>
      <c r="H120" s="3" t="s">
        <v>335</v>
      </c>
    </row>
    <row r="121">
      <c r="A121" s="10">
        <v>45846.52783385417</v>
      </c>
      <c r="B121" s="3" t="s">
        <v>402</v>
      </c>
      <c r="C121" s="3" t="s">
        <v>519</v>
      </c>
      <c r="D121" s="3" t="s">
        <v>553</v>
      </c>
      <c r="E121" s="3" t="s">
        <v>7</v>
      </c>
      <c r="F121" s="11">
        <v>45848.0</v>
      </c>
      <c r="G121" s="3" t="s">
        <v>554</v>
      </c>
      <c r="H121" s="3" t="s">
        <v>332</v>
      </c>
    </row>
    <row r="122">
      <c r="A122" s="10">
        <v>45847.62163475694</v>
      </c>
      <c r="B122" s="3" t="s">
        <v>402</v>
      </c>
      <c r="C122" s="3" t="s">
        <v>519</v>
      </c>
      <c r="D122" s="3" t="s">
        <v>555</v>
      </c>
      <c r="E122" s="3" t="s">
        <v>8</v>
      </c>
      <c r="F122" s="11">
        <v>45848.0</v>
      </c>
      <c r="G122" s="3" t="s">
        <v>503</v>
      </c>
      <c r="H122" s="3" t="s">
        <v>356</v>
      </c>
    </row>
    <row r="123">
      <c r="A123" s="10">
        <v>45847.62602582176</v>
      </c>
      <c r="B123" s="3" t="s">
        <v>402</v>
      </c>
      <c r="C123" s="3" t="s">
        <v>519</v>
      </c>
      <c r="D123" s="3" t="s">
        <v>556</v>
      </c>
      <c r="E123" s="3" t="s">
        <v>7</v>
      </c>
      <c r="F123" s="11">
        <v>45848.0</v>
      </c>
      <c r="G123" s="3" t="s">
        <v>557</v>
      </c>
      <c r="H123" s="3" t="s">
        <v>332</v>
      </c>
    </row>
    <row r="124">
      <c r="A124" s="10">
        <v>45847.68245869213</v>
      </c>
      <c r="B124" s="3" t="s">
        <v>521</v>
      </c>
      <c r="C124" s="3" t="s">
        <v>558</v>
      </c>
      <c r="D124" s="3" t="s">
        <v>559</v>
      </c>
      <c r="E124" s="3" t="s">
        <v>11</v>
      </c>
      <c r="F124" s="11">
        <v>45832.0</v>
      </c>
      <c r="G124" s="3" t="s">
        <v>521</v>
      </c>
      <c r="H124" s="3" t="s">
        <v>521</v>
      </c>
    </row>
    <row r="125">
      <c r="A125" s="10">
        <v>45848.390677407406</v>
      </c>
      <c r="B125" s="3" t="s">
        <v>332</v>
      </c>
      <c r="C125" s="3" t="s">
        <v>333</v>
      </c>
      <c r="D125" s="3" t="s">
        <v>560</v>
      </c>
      <c r="E125" s="3" t="s">
        <v>7</v>
      </c>
      <c r="F125" s="11">
        <v>45848.0</v>
      </c>
      <c r="G125" s="3" t="s">
        <v>333</v>
      </c>
      <c r="H125" s="3" t="s">
        <v>332</v>
      </c>
    </row>
    <row r="126">
      <c r="A126" s="10">
        <v>45852.60618870371</v>
      </c>
      <c r="B126" s="3" t="s">
        <v>421</v>
      </c>
      <c r="C126" s="3" t="s">
        <v>422</v>
      </c>
      <c r="D126" s="3" t="s">
        <v>561</v>
      </c>
      <c r="E126" s="3" t="s">
        <v>7</v>
      </c>
      <c r="F126" s="11">
        <v>45852.0</v>
      </c>
      <c r="G126" s="3" t="s">
        <v>562</v>
      </c>
      <c r="H126" s="3" t="s">
        <v>332</v>
      </c>
    </row>
    <row r="127">
      <c r="A127" s="10">
        <v>45853.50500788195</v>
      </c>
      <c r="B127" s="3" t="s">
        <v>563</v>
      </c>
      <c r="C127" s="3" t="s">
        <v>558</v>
      </c>
      <c r="D127" s="3" t="s">
        <v>564</v>
      </c>
      <c r="E127" s="3" t="s">
        <v>11</v>
      </c>
      <c r="F127" s="11">
        <v>45853.0</v>
      </c>
      <c r="G127" s="3" t="s">
        <v>526</v>
      </c>
      <c r="H127" s="3" t="s">
        <v>521</v>
      </c>
    </row>
    <row r="128">
      <c r="A128" s="10">
        <v>45854.60966619213</v>
      </c>
      <c r="B128" s="3" t="s">
        <v>521</v>
      </c>
      <c r="C128" s="3" t="s">
        <v>526</v>
      </c>
      <c r="D128" s="3" t="s">
        <v>565</v>
      </c>
      <c r="E128" s="3" t="s">
        <v>11</v>
      </c>
      <c r="F128" s="11">
        <v>45854.0</v>
      </c>
      <c r="G128" s="3" t="s">
        <v>526</v>
      </c>
      <c r="H128" s="3" t="s">
        <v>521</v>
      </c>
    </row>
    <row r="129">
      <c r="A129" s="10">
        <v>45863.41745483797</v>
      </c>
      <c r="B129" s="3" t="s">
        <v>343</v>
      </c>
      <c r="C129" s="3" t="s">
        <v>538</v>
      </c>
      <c r="D129" s="3" t="s">
        <v>566</v>
      </c>
      <c r="E129" s="3" t="s">
        <v>11</v>
      </c>
      <c r="F129" s="11">
        <v>45863.0</v>
      </c>
      <c r="G129" s="3" t="s">
        <v>538</v>
      </c>
      <c r="H129" s="3" t="s">
        <v>343</v>
      </c>
    </row>
    <row r="130">
      <c r="A130" s="10">
        <v>45863.4211775463</v>
      </c>
      <c r="B130" s="3" t="s">
        <v>343</v>
      </c>
      <c r="C130" s="3" t="s">
        <v>538</v>
      </c>
      <c r="D130" s="3" t="s">
        <v>567</v>
      </c>
      <c r="E130" s="3" t="s">
        <v>11</v>
      </c>
      <c r="F130" s="11">
        <v>45863.0</v>
      </c>
      <c r="G130" s="3" t="s">
        <v>538</v>
      </c>
      <c r="H130" s="3" t="s">
        <v>343</v>
      </c>
    </row>
    <row r="131">
      <c r="A131" s="10">
        <v>45863.42778471065</v>
      </c>
      <c r="B131" s="3" t="s">
        <v>339</v>
      </c>
      <c r="C131" s="3" t="s">
        <v>568</v>
      </c>
      <c r="D131" s="3" t="s">
        <v>569</v>
      </c>
      <c r="E131" s="3" t="s">
        <v>5</v>
      </c>
      <c r="F131" s="11">
        <v>45864.0</v>
      </c>
      <c r="G131" s="3" t="s">
        <v>544</v>
      </c>
      <c r="H131" s="3" t="s">
        <v>570</v>
      </c>
    </row>
    <row r="132">
      <c r="A132" s="10">
        <v>45863.44249252314</v>
      </c>
      <c r="B132" s="3" t="s">
        <v>339</v>
      </c>
      <c r="C132" s="3" t="s">
        <v>340</v>
      </c>
      <c r="D132" s="3" t="s">
        <v>571</v>
      </c>
      <c r="E132" s="3" t="s">
        <v>5</v>
      </c>
      <c r="F132" s="11">
        <v>45864.0</v>
      </c>
      <c r="G132" s="3" t="s">
        <v>544</v>
      </c>
      <c r="H132" s="3" t="s">
        <v>339</v>
      </c>
    </row>
    <row r="133">
      <c r="A133" s="10">
        <v>45863.523416516204</v>
      </c>
      <c r="B133" s="3" t="s">
        <v>402</v>
      </c>
      <c r="C133" s="3" t="s">
        <v>519</v>
      </c>
      <c r="D133" s="3" t="s">
        <v>572</v>
      </c>
      <c r="E133" s="3" t="s">
        <v>7</v>
      </c>
      <c r="F133" s="11">
        <v>45866.0</v>
      </c>
      <c r="G133" s="3" t="s">
        <v>557</v>
      </c>
      <c r="H133" s="3" t="s">
        <v>332</v>
      </c>
    </row>
    <row r="134">
      <c r="A134" s="10">
        <v>45863.912220300925</v>
      </c>
      <c r="B134" s="3" t="s">
        <v>339</v>
      </c>
      <c r="C134" s="3" t="s">
        <v>340</v>
      </c>
      <c r="D134" s="3" t="s">
        <v>573</v>
      </c>
      <c r="E134" s="3" t="s">
        <v>5</v>
      </c>
      <c r="F134" s="11">
        <v>45864.0</v>
      </c>
      <c r="G134" s="3" t="s">
        <v>544</v>
      </c>
      <c r="H134" s="3" t="s">
        <v>339</v>
      </c>
    </row>
    <row r="135">
      <c r="A135" s="10">
        <v>45864.222367002316</v>
      </c>
      <c r="B135" s="3" t="s">
        <v>343</v>
      </c>
      <c r="C135" s="3" t="s">
        <v>538</v>
      </c>
      <c r="D135" s="3" t="s">
        <v>574</v>
      </c>
      <c r="E135" s="3" t="s">
        <v>11</v>
      </c>
      <c r="F135" s="11">
        <v>45864.0</v>
      </c>
      <c r="G135" s="3" t="s">
        <v>538</v>
      </c>
      <c r="H135" s="3" t="s">
        <v>343</v>
      </c>
    </row>
    <row r="136">
      <c r="A136" s="10">
        <v>45864.3940640625</v>
      </c>
      <c r="B136" s="3" t="s">
        <v>346</v>
      </c>
      <c r="C136" s="3" t="s">
        <v>347</v>
      </c>
      <c r="D136" s="3" t="s">
        <v>575</v>
      </c>
      <c r="E136" s="3" t="s">
        <v>5</v>
      </c>
      <c r="F136" s="11">
        <v>45864.0</v>
      </c>
      <c r="G136" s="3" t="s">
        <v>349</v>
      </c>
      <c r="H136" s="3" t="s">
        <v>346</v>
      </c>
    </row>
    <row r="137">
      <c r="A137" s="10">
        <v>45864.43628736111</v>
      </c>
      <c r="B137" s="3" t="s">
        <v>425</v>
      </c>
      <c r="C137" s="3" t="s">
        <v>357</v>
      </c>
      <c r="D137" s="5" t="s">
        <v>576</v>
      </c>
      <c r="E137" s="3" t="s">
        <v>8</v>
      </c>
      <c r="F137" s="11">
        <v>45864.0</v>
      </c>
      <c r="G137" s="3" t="s">
        <v>577</v>
      </c>
      <c r="H137" s="3" t="s">
        <v>356</v>
      </c>
    </row>
    <row r="138">
      <c r="A138" s="10">
        <v>45864.45925747685</v>
      </c>
      <c r="B138" s="3" t="s">
        <v>339</v>
      </c>
      <c r="C138" s="3" t="s">
        <v>340</v>
      </c>
      <c r="D138" s="3" t="s">
        <v>578</v>
      </c>
      <c r="E138" s="3" t="s">
        <v>5</v>
      </c>
      <c r="F138" s="11">
        <v>45864.0</v>
      </c>
      <c r="G138" s="3" t="s">
        <v>544</v>
      </c>
      <c r="H138" s="3" t="s">
        <v>339</v>
      </c>
      <c r="I138" s="3" t="s">
        <v>579</v>
      </c>
      <c r="J138" s="3" t="s">
        <v>426</v>
      </c>
    </row>
    <row r="139">
      <c r="A139" s="10">
        <v>45874.52825979167</v>
      </c>
      <c r="B139" s="3" t="s">
        <v>332</v>
      </c>
      <c r="C139" s="3" t="s">
        <v>333</v>
      </c>
      <c r="D139" s="3" t="s">
        <v>580</v>
      </c>
      <c r="E139" s="3" t="s">
        <v>7</v>
      </c>
      <c r="F139" s="11">
        <v>45867.0</v>
      </c>
      <c r="G139" s="3" t="s">
        <v>333</v>
      </c>
      <c r="H139" s="3" t="s">
        <v>332</v>
      </c>
      <c r="I139" s="3" t="s">
        <v>579</v>
      </c>
      <c r="J139" s="3" t="s">
        <v>426</v>
      </c>
    </row>
    <row r="140">
      <c r="A140" s="10">
        <v>45874.68860271991</v>
      </c>
      <c r="B140" s="3" t="s">
        <v>352</v>
      </c>
      <c r="C140" s="3" t="s">
        <v>355</v>
      </c>
      <c r="D140" s="5" t="s">
        <v>581</v>
      </c>
      <c r="E140" s="3" t="s">
        <v>6</v>
      </c>
      <c r="F140" s="11">
        <v>45874.0</v>
      </c>
      <c r="G140" s="3" t="s">
        <v>355</v>
      </c>
      <c r="H140" s="3" t="s">
        <v>352</v>
      </c>
      <c r="I140" s="3" t="s">
        <v>579</v>
      </c>
      <c r="J140" s="3" t="s">
        <v>426</v>
      </c>
    </row>
    <row r="141">
      <c r="A141" s="10">
        <v>45874.69488998843</v>
      </c>
      <c r="B141" s="3" t="s">
        <v>352</v>
      </c>
      <c r="C141" s="3" t="s">
        <v>385</v>
      </c>
      <c r="D141" s="3" t="s">
        <v>582</v>
      </c>
      <c r="E141" s="3" t="s">
        <v>6</v>
      </c>
      <c r="F141" s="11">
        <v>45874.0</v>
      </c>
      <c r="G141" s="3" t="s">
        <v>583</v>
      </c>
      <c r="H141" s="3" t="s">
        <v>352</v>
      </c>
      <c r="I141" s="3" t="s">
        <v>579</v>
      </c>
      <c r="J141" s="3" t="s">
        <v>426</v>
      </c>
    </row>
    <row r="142">
      <c r="A142" s="10">
        <v>45874.70773978009</v>
      </c>
      <c r="B142" s="3" t="s">
        <v>352</v>
      </c>
      <c r="C142" s="3" t="s">
        <v>353</v>
      </c>
      <c r="D142" s="3" t="s">
        <v>584</v>
      </c>
      <c r="E142" s="3" t="s">
        <v>6</v>
      </c>
      <c r="F142" s="11">
        <v>45874.0</v>
      </c>
      <c r="G142" s="3" t="s">
        <v>353</v>
      </c>
      <c r="H142" s="3" t="s">
        <v>352</v>
      </c>
      <c r="I142" s="3" t="s">
        <v>579</v>
      </c>
      <c r="J142" s="3" t="s">
        <v>426</v>
      </c>
    </row>
    <row r="143">
      <c r="A143" s="10">
        <v>45877.45854895833</v>
      </c>
      <c r="B143" s="3" t="s">
        <v>402</v>
      </c>
      <c r="C143" s="3" t="s">
        <v>519</v>
      </c>
      <c r="D143" s="3" t="s">
        <v>585</v>
      </c>
      <c r="E143" s="3" t="s">
        <v>7</v>
      </c>
      <c r="F143" s="11">
        <v>45877.0</v>
      </c>
      <c r="G143" s="3" t="s">
        <v>519</v>
      </c>
      <c r="H143" s="3" t="s">
        <v>402</v>
      </c>
      <c r="I143" s="3" t="s">
        <v>579</v>
      </c>
      <c r="J143" s="3" t="s">
        <v>426</v>
      </c>
    </row>
    <row r="144">
      <c r="A144" s="10">
        <v>45880.37044226852</v>
      </c>
      <c r="B144" s="3" t="s">
        <v>339</v>
      </c>
      <c r="C144" s="3" t="s">
        <v>340</v>
      </c>
      <c r="D144" s="3" t="s">
        <v>586</v>
      </c>
      <c r="E144" s="3" t="s">
        <v>5</v>
      </c>
      <c r="F144" s="11">
        <v>45880.0</v>
      </c>
      <c r="G144" s="3" t="s">
        <v>587</v>
      </c>
      <c r="H144" s="3" t="s">
        <v>588</v>
      </c>
      <c r="I144" s="3" t="s">
        <v>579</v>
      </c>
      <c r="J144" s="3" t="s">
        <v>426</v>
      </c>
    </row>
    <row r="145">
      <c r="A145" s="10">
        <v>45880.443968101856</v>
      </c>
      <c r="B145" s="3" t="s">
        <v>339</v>
      </c>
      <c r="C145" s="3" t="s">
        <v>340</v>
      </c>
      <c r="D145" s="3" t="s">
        <v>589</v>
      </c>
      <c r="E145" s="3" t="s">
        <v>5</v>
      </c>
      <c r="F145" s="11">
        <v>45880.0</v>
      </c>
      <c r="G145" s="3" t="s">
        <v>590</v>
      </c>
      <c r="H145" s="3" t="s">
        <v>588</v>
      </c>
      <c r="I145" s="3" t="s">
        <v>579</v>
      </c>
      <c r="J145" s="3" t="s">
        <v>426</v>
      </c>
    </row>
    <row r="146">
      <c r="A146" s="10">
        <v>45880.56147878472</v>
      </c>
      <c r="B146" s="3" t="s">
        <v>402</v>
      </c>
      <c r="C146" s="3" t="s">
        <v>519</v>
      </c>
      <c r="D146" s="3" t="s">
        <v>591</v>
      </c>
      <c r="E146" s="3" t="s">
        <v>7</v>
      </c>
      <c r="F146" s="11">
        <v>45880.0</v>
      </c>
      <c r="G146" s="3" t="s">
        <v>519</v>
      </c>
      <c r="H146" s="3" t="s">
        <v>402</v>
      </c>
      <c r="I146" s="3" t="s">
        <v>579</v>
      </c>
      <c r="J146" s="3" t="s">
        <v>426</v>
      </c>
    </row>
    <row r="147">
      <c r="A147" s="10">
        <v>45881.74614753472</v>
      </c>
      <c r="B147" s="3" t="s">
        <v>356</v>
      </c>
      <c r="C147" s="3" t="s">
        <v>357</v>
      </c>
      <c r="D147" s="3" t="s">
        <v>592</v>
      </c>
      <c r="E147" s="3" t="s">
        <v>8</v>
      </c>
      <c r="F147" s="11">
        <v>45880.0</v>
      </c>
      <c r="G147" s="3" t="s">
        <v>577</v>
      </c>
      <c r="H147" s="3" t="s">
        <v>356</v>
      </c>
      <c r="I147" s="3" t="s">
        <v>579</v>
      </c>
      <c r="J147" s="3" t="s">
        <v>426</v>
      </c>
    </row>
    <row r="148">
      <c r="A148" s="10">
        <v>45883.646523738425</v>
      </c>
      <c r="B148" s="3" t="s">
        <v>521</v>
      </c>
      <c r="C148" s="3" t="s">
        <v>526</v>
      </c>
      <c r="D148" s="5" t="s">
        <v>593</v>
      </c>
      <c r="E148" s="3" t="s">
        <v>11</v>
      </c>
      <c r="F148" s="11">
        <v>45876.0</v>
      </c>
      <c r="G148" s="3" t="s">
        <v>558</v>
      </c>
      <c r="H148" s="3" t="s">
        <v>521</v>
      </c>
      <c r="I148" s="3" t="s">
        <v>579</v>
      </c>
      <c r="J148" s="3" t="s">
        <v>426</v>
      </c>
    </row>
    <row r="149">
      <c r="A149" s="10">
        <v>45884.38663284722</v>
      </c>
      <c r="B149" s="3" t="s">
        <v>343</v>
      </c>
      <c r="C149" s="3" t="s">
        <v>538</v>
      </c>
      <c r="D149" s="3" t="s">
        <v>594</v>
      </c>
      <c r="E149" s="3" t="s">
        <v>11</v>
      </c>
      <c r="F149" s="11">
        <v>45884.0</v>
      </c>
      <c r="G149" s="3" t="s">
        <v>538</v>
      </c>
      <c r="H149" s="3" t="s">
        <v>343</v>
      </c>
      <c r="I149" s="3" t="s">
        <v>579</v>
      </c>
      <c r="J149" s="3" t="s">
        <v>426</v>
      </c>
    </row>
    <row r="150">
      <c r="A150" s="10">
        <v>45887.377762233795</v>
      </c>
      <c r="B150" s="3" t="s">
        <v>402</v>
      </c>
      <c r="C150" s="3" t="s">
        <v>519</v>
      </c>
      <c r="D150" s="3" t="s">
        <v>595</v>
      </c>
      <c r="E150" s="3" t="s">
        <v>7</v>
      </c>
      <c r="F150" s="11">
        <v>45887.0</v>
      </c>
      <c r="G150" s="3" t="s">
        <v>519</v>
      </c>
      <c r="H150" s="3" t="s">
        <v>402</v>
      </c>
      <c r="I150" s="3" t="s">
        <v>579</v>
      </c>
      <c r="J150" s="3" t="s">
        <v>426</v>
      </c>
    </row>
    <row r="151">
      <c r="A151" s="10">
        <v>45887.42346708333</v>
      </c>
      <c r="B151" s="3" t="s">
        <v>339</v>
      </c>
      <c r="C151" s="3" t="s">
        <v>340</v>
      </c>
      <c r="D151" s="3" t="s">
        <v>596</v>
      </c>
      <c r="E151" s="3" t="s">
        <v>5</v>
      </c>
      <c r="F151" s="11">
        <v>45887.0</v>
      </c>
      <c r="G151" s="3" t="s">
        <v>340</v>
      </c>
      <c r="H151" s="3" t="s">
        <v>339</v>
      </c>
      <c r="I151" s="3" t="s">
        <v>579</v>
      </c>
      <c r="J151" s="3" t="s">
        <v>426</v>
      </c>
    </row>
    <row r="152">
      <c r="A152" s="10">
        <v>45888.37607449074</v>
      </c>
      <c r="B152" s="3" t="s">
        <v>346</v>
      </c>
      <c r="C152" s="3" t="s">
        <v>349</v>
      </c>
      <c r="D152" s="3" t="s">
        <v>597</v>
      </c>
      <c r="E152" s="3" t="s">
        <v>5</v>
      </c>
      <c r="F152" s="11">
        <v>45888.0</v>
      </c>
      <c r="G152" s="3" t="s">
        <v>347</v>
      </c>
      <c r="H152" s="3" t="s">
        <v>346</v>
      </c>
      <c r="I152" s="3" t="s">
        <v>579</v>
      </c>
      <c r="J152" s="3" t="s">
        <v>426</v>
      </c>
    </row>
    <row r="153">
      <c r="A153" s="10">
        <v>45888.39052023148</v>
      </c>
      <c r="B153" s="3" t="s">
        <v>339</v>
      </c>
      <c r="C153" s="3" t="s">
        <v>340</v>
      </c>
      <c r="D153" s="3" t="s">
        <v>598</v>
      </c>
      <c r="E153" s="3" t="s">
        <v>5</v>
      </c>
      <c r="F153" s="11">
        <v>45888.0</v>
      </c>
      <c r="G153" s="3" t="s">
        <v>568</v>
      </c>
      <c r="H153" s="3" t="s">
        <v>339</v>
      </c>
      <c r="I153" s="3" t="s">
        <v>579</v>
      </c>
      <c r="J153" s="3" t="s">
        <v>426</v>
      </c>
    </row>
    <row r="154">
      <c r="A154" s="10">
        <v>45889.64537427083</v>
      </c>
      <c r="B154" s="3" t="s">
        <v>352</v>
      </c>
      <c r="C154" s="3" t="s">
        <v>353</v>
      </c>
      <c r="D154" s="3" t="s">
        <v>599</v>
      </c>
      <c r="E154" s="3" t="s">
        <v>15</v>
      </c>
      <c r="F154" s="11">
        <v>45889.0</v>
      </c>
      <c r="G154" s="3" t="s">
        <v>353</v>
      </c>
      <c r="H154" s="3" t="s">
        <v>352</v>
      </c>
      <c r="I154" s="3" t="s">
        <v>579</v>
      </c>
      <c r="J154" s="3" t="s">
        <v>426</v>
      </c>
    </row>
    <row r="155">
      <c r="A155" s="10">
        <v>45889.76420958333</v>
      </c>
      <c r="B155" s="3" t="s">
        <v>356</v>
      </c>
      <c r="C155" s="3" t="s">
        <v>577</v>
      </c>
      <c r="D155" s="3" t="s">
        <v>600</v>
      </c>
      <c r="E155" s="3" t="s">
        <v>8</v>
      </c>
      <c r="F155" s="11">
        <v>45890.0</v>
      </c>
      <c r="G155" s="3" t="s">
        <v>577</v>
      </c>
      <c r="H155" s="3" t="s">
        <v>356</v>
      </c>
      <c r="I155" s="3" t="s">
        <v>579</v>
      </c>
      <c r="J155" s="3" t="s">
        <v>426</v>
      </c>
    </row>
    <row r="156">
      <c r="A156" s="10">
        <v>45889.76502212963</v>
      </c>
      <c r="B156" s="3" t="s">
        <v>356</v>
      </c>
      <c r="C156" s="3" t="s">
        <v>577</v>
      </c>
      <c r="D156" s="3" t="s">
        <v>601</v>
      </c>
      <c r="E156" s="3" t="s">
        <v>7</v>
      </c>
      <c r="F156" s="11">
        <v>45890.0</v>
      </c>
      <c r="G156" s="3" t="s">
        <v>577</v>
      </c>
      <c r="H156" s="3" t="s">
        <v>356</v>
      </c>
      <c r="I156" s="3" t="s">
        <v>579</v>
      </c>
      <c r="J156" s="3" t="s">
        <v>426</v>
      </c>
    </row>
    <row r="157">
      <c r="A157" s="10">
        <v>45902.380711122685</v>
      </c>
      <c r="B157" s="3" t="s">
        <v>439</v>
      </c>
      <c r="C157" s="3" t="s">
        <v>440</v>
      </c>
      <c r="D157" s="3" t="s">
        <v>602</v>
      </c>
      <c r="E157" s="3" t="s">
        <v>15</v>
      </c>
      <c r="F157" s="11">
        <v>45902.0</v>
      </c>
      <c r="G157" s="3" t="s">
        <v>603</v>
      </c>
      <c r="H157" s="3" t="s">
        <v>352</v>
      </c>
      <c r="I157" s="3" t="s">
        <v>579</v>
      </c>
      <c r="J157" s="3" t="s">
        <v>426</v>
      </c>
    </row>
    <row r="158">
      <c r="A158" s="10">
        <v>45903.35329903935</v>
      </c>
      <c r="B158" s="3" t="s">
        <v>570</v>
      </c>
      <c r="C158" s="3" t="s">
        <v>340</v>
      </c>
      <c r="D158" s="3" t="s">
        <v>604</v>
      </c>
      <c r="E158" s="3" t="s">
        <v>15</v>
      </c>
      <c r="F158" s="11">
        <v>45903.0</v>
      </c>
      <c r="G158" s="3" t="s">
        <v>544</v>
      </c>
      <c r="H158" s="3" t="s">
        <v>339</v>
      </c>
      <c r="I158" s="3" t="s">
        <v>579</v>
      </c>
      <c r="J158" s="3" t="s">
        <v>426</v>
      </c>
    </row>
    <row r="159">
      <c r="A159" s="10">
        <v>45904.34416407408</v>
      </c>
      <c r="B159" s="3" t="s">
        <v>339</v>
      </c>
      <c r="C159" s="3" t="s">
        <v>340</v>
      </c>
      <c r="D159" s="3" t="s">
        <v>605</v>
      </c>
      <c r="E159" s="3" t="s">
        <v>15</v>
      </c>
      <c r="F159" s="11">
        <v>45904.0</v>
      </c>
      <c r="G159" s="3" t="s">
        <v>544</v>
      </c>
      <c r="H159" s="3" t="s">
        <v>339</v>
      </c>
      <c r="I159" s="3" t="s">
        <v>579</v>
      </c>
      <c r="J159" s="3" t="s">
        <v>426</v>
      </c>
    </row>
    <row r="160">
      <c r="A160" s="10">
        <v>45908.52027273148</v>
      </c>
      <c r="B160" s="3" t="s">
        <v>439</v>
      </c>
      <c r="C160" s="3" t="s">
        <v>440</v>
      </c>
      <c r="D160" s="3" t="s">
        <v>606</v>
      </c>
      <c r="E160" s="3" t="s">
        <v>5</v>
      </c>
      <c r="F160" s="11">
        <v>45908.0</v>
      </c>
      <c r="G160" s="3" t="s">
        <v>607</v>
      </c>
      <c r="H160" s="3" t="s">
        <v>335</v>
      </c>
      <c r="I160" s="3" t="s">
        <v>579</v>
      </c>
      <c r="J160" s="3" t="s">
        <v>426</v>
      </c>
    </row>
    <row r="161">
      <c r="A161" s="10">
        <v>45908.532030752314</v>
      </c>
      <c r="B161" s="3" t="s">
        <v>343</v>
      </c>
      <c r="C161" s="3" t="s">
        <v>538</v>
      </c>
      <c r="D161" s="3" t="s">
        <v>608</v>
      </c>
      <c r="E161" s="3" t="s">
        <v>11</v>
      </c>
      <c r="F161" s="11">
        <v>45909.0</v>
      </c>
      <c r="G161" s="3" t="s">
        <v>538</v>
      </c>
      <c r="H161" s="3" t="s">
        <v>343</v>
      </c>
      <c r="I161" s="3" t="s">
        <v>579</v>
      </c>
      <c r="J161" s="3" t="s">
        <v>426</v>
      </c>
    </row>
    <row r="162">
      <c r="A162" s="10">
        <v>45909.38399096065</v>
      </c>
      <c r="B162" s="3" t="s">
        <v>609</v>
      </c>
      <c r="C162" s="3" t="s">
        <v>483</v>
      </c>
      <c r="D162" s="3" t="s">
        <v>610</v>
      </c>
      <c r="E162" s="3" t="s">
        <v>13</v>
      </c>
      <c r="F162" s="11">
        <v>45909.0</v>
      </c>
      <c r="G162" s="3" t="s">
        <v>483</v>
      </c>
      <c r="H162" s="3" t="s">
        <v>398</v>
      </c>
      <c r="I162" s="3" t="s">
        <v>579</v>
      </c>
      <c r="J162" s="3" t="s">
        <v>426</v>
      </c>
    </row>
    <row r="163">
      <c r="A163" s="10">
        <v>45909.489216539354</v>
      </c>
      <c r="B163" s="3" t="s">
        <v>356</v>
      </c>
      <c r="C163" s="3" t="s">
        <v>611</v>
      </c>
      <c r="D163" s="5" t="s">
        <v>612</v>
      </c>
      <c r="E163" s="3" t="s">
        <v>8</v>
      </c>
      <c r="F163" s="11">
        <v>45909.0</v>
      </c>
      <c r="G163" s="3" t="s">
        <v>577</v>
      </c>
      <c r="H163" s="3" t="s">
        <v>356</v>
      </c>
      <c r="I163" s="3" t="s">
        <v>579</v>
      </c>
      <c r="J163" s="3" t="s">
        <v>426</v>
      </c>
    </row>
    <row r="164">
      <c r="A164" s="10">
        <v>45909.493387291666</v>
      </c>
      <c r="B164" s="3" t="s">
        <v>476</v>
      </c>
      <c r="C164" s="3" t="s">
        <v>508</v>
      </c>
      <c r="D164" s="3" t="s">
        <v>613</v>
      </c>
      <c r="E164" s="3" t="s">
        <v>5</v>
      </c>
      <c r="F164" s="11">
        <v>45910.0</v>
      </c>
      <c r="G164" s="3" t="s">
        <v>477</v>
      </c>
      <c r="H164" s="3" t="s">
        <v>476</v>
      </c>
      <c r="I164" s="3" t="s">
        <v>579</v>
      </c>
      <c r="J164" s="3" t="s">
        <v>426</v>
      </c>
    </row>
    <row r="165">
      <c r="A165" s="10">
        <v>45911.475871435185</v>
      </c>
      <c r="B165" s="3" t="s">
        <v>326</v>
      </c>
      <c r="C165" s="3" t="s">
        <v>329</v>
      </c>
      <c r="D165" s="3" t="s">
        <v>614</v>
      </c>
      <c r="E165" s="3" t="s">
        <v>15</v>
      </c>
      <c r="F165" s="11">
        <v>45911.0</v>
      </c>
      <c r="G165" s="3" t="s">
        <v>329</v>
      </c>
      <c r="H165" s="3" t="s">
        <v>326</v>
      </c>
      <c r="I165" s="3" t="s">
        <v>579</v>
      </c>
      <c r="J165" s="3" t="s">
        <v>426</v>
      </c>
    </row>
    <row r="166">
      <c r="A166" s="10">
        <v>45912.371647685184</v>
      </c>
      <c r="B166" s="3" t="s">
        <v>335</v>
      </c>
      <c r="C166" s="3" t="s">
        <v>459</v>
      </c>
      <c r="D166" s="3" t="s">
        <v>615</v>
      </c>
      <c r="E166" s="3" t="s">
        <v>8</v>
      </c>
      <c r="F166" s="11">
        <v>45912.0</v>
      </c>
      <c r="G166" s="3" t="s">
        <v>503</v>
      </c>
      <c r="H166" s="3" t="s">
        <v>616</v>
      </c>
      <c r="I166" s="3" t="s">
        <v>579</v>
      </c>
      <c r="J166" s="3" t="s">
        <v>426</v>
      </c>
    </row>
    <row r="167">
      <c r="A167" s="10">
        <v>45912.685268726855</v>
      </c>
      <c r="B167" s="3" t="s">
        <v>356</v>
      </c>
      <c r="C167" s="3" t="s">
        <v>357</v>
      </c>
      <c r="D167" s="3" t="s">
        <v>617</v>
      </c>
      <c r="E167" s="3" t="s">
        <v>8</v>
      </c>
      <c r="F167" s="11">
        <v>45912.0</v>
      </c>
      <c r="G167" s="3" t="s">
        <v>577</v>
      </c>
      <c r="H167" s="3" t="s">
        <v>356</v>
      </c>
      <c r="I167" s="3" t="s">
        <v>579</v>
      </c>
      <c r="J167" s="3" t="s">
        <v>426</v>
      </c>
    </row>
    <row r="168">
      <c r="A168" s="10">
        <v>45915.52604622685</v>
      </c>
      <c r="B168" s="3" t="s">
        <v>335</v>
      </c>
      <c r="C168" s="3" t="s">
        <v>607</v>
      </c>
      <c r="D168" s="3" t="s">
        <v>618</v>
      </c>
      <c r="E168" s="3" t="s">
        <v>11</v>
      </c>
      <c r="F168" s="11">
        <v>45915.0</v>
      </c>
      <c r="G168" s="3" t="s">
        <v>344</v>
      </c>
      <c r="H168" s="3" t="s">
        <v>619</v>
      </c>
      <c r="I168" s="3" t="s">
        <v>579</v>
      </c>
      <c r="J168" s="3" t="s">
        <v>426</v>
      </c>
    </row>
    <row r="169">
      <c r="A169" s="10">
        <v>45915.544976296296</v>
      </c>
      <c r="B169" s="3" t="s">
        <v>439</v>
      </c>
      <c r="C169" s="3" t="s">
        <v>440</v>
      </c>
      <c r="D169" s="3" t="s">
        <v>620</v>
      </c>
      <c r="E169" s="3" t="s">
        <v>11</v>
      </c>
      <c r="F169" s="11">
        <v>45915.0</v>
      </c>
      <c r="G169" s="3" t="s">
        <v>583</v>
      </c>
      <c r="H169" s="3" t="s">
        <v>352</v>
      </c>
      <c r="I169" s="3" t="s">
        <v>621</v>
      </c>
    </row>
    <row r="170">
      <c r="A170" s="10">
        <v>45916.49242769676</v>
      </c>
      <c r="B170" s="3" t="s">
        <v>335</v>
      </c>
      <c r="C170" s="3" t="s">
        <v>336</v>
      </c>
      <c r="D170" s="3" t="s">
        <v>622</v>
      </c>
      <c r="E170" s="3" t="s">
        <v>5</v>
      </c>
      <c r="F170" s="11">
        <v>45916.0</v>
      </c>
      <c r="G170" s="3" t="s">
        <v>607</v>
      </c>
      <c r="H170" s="3" t="s">
        <v>335</v>
      </c>
      <c r="I170" s="3" t="s">
        <v>623</v>
      </c>
      <c r="J170" s="3" t="s">
        <v>426</v>
      </c>
    </row>
    <row r="171">
      <c r="A171" s="10">
        <v>45930.60056086806</v>
      </c>
      <c r="B171" s="3" t="s">
        <v>356</v>
      </c>
      <c r="C171" s="3" t="s">
        <v>357</v>
      </c>
      <c r="D171" s="3" t="s">
        <v>624</v>
      </c>
      <c r="E171" s="3" t="s">
        <v>8</v>
      </c>
      <c r="F171" s="11">
        <v>45929.0</v>
      </c>
      <c r="G171" s="3" t="s">
        <v>577</v>
      </c>
      <c r="H171" s="3" t="s">
        <v>356</v>
      </c>
      <c r="I171" s="3" t="s">
        <v>579</v>
      </c>
      <c r="J171" s="3" t="s">
        <v>426</v>
      </c>
    </row>
    <row r="172">
      <c r="A172" s="10">
        <v>45931.514416018515</v>
      </c>
      <c r="B172" s="3" t="s">
        <v>439</v>
      </c>
      <c r="C172" s="3" t="s">
        <v>440</v>
      </c>
      <c r="D172" s="3" t="s">
        <v>625</v>
      </c>
      <c r="E172" s="3" t="s">
        <v>12</v>
      </c>
      <c r="F172" s="11">
        <v>45931.0</v>
      </c>
      <c r="G172" s="3" t="s">
        <v>583</v>
      </c>
      <c r="H172" s="3" t="s">
        <v>352</v>
      </c>
      <c r="I172" s="3" t="s">
        <v>579</v>
      </c>
      <c r="J172" s="3" t="s">
        <v>426</v>
      </c>
    </row>
    <row r="173">
      <c r="A173" s="10">
        <v>45940.34271722222</v>
      </c>
      <c r="B173" s="3" t="s">
        <v>339</v>
      </c>
      <c r="C173" s="3" t="s">
        <v>544</v>
      </c>
      <c r="D173" s="3" t="s">
        <v>626</v>
      </c>
      <c r="E173" s="3" t="s">
        <v>12</v>
      </c>
      <c r="F173" s="11">
        <v>45940.0</v>
      </c>
      <c r="G173" s="3" t="s">
        <v>544</v>
      </c>
      <c r="H173" s="3" t="s">
        <v>339</v>
      </c>
      <c r="I173" s="3" t="s">
        <v>623</v>
      </c>
      <c r="J173" s="3" t="s">
        <v>426</v>
      </c>
    </row>
    <row r="174">
      <c r="A174" s="10">
        <v>45940.403605451385</v>
      </c>
      <c r="B174" s="3" t="s">
        <v>352</v>
      </c>
      <c r="C174" s="3" t="s">
        <v>353</v>
      </c>
      <c r="D174" s="5" t="s">
        <v>627</v>
      </c>
      <c r="E174" s="3" t="s">
        <v>15</v>
      </c>
      <c r="F174" s="11">
        <v>45940.0</v>
      </c>
      <c r="G174" s="3" t="s">
        <v>628</v>
      </c>
      <c r="H174" s="3" t="s">
        <v>629</v>
      </c>
      <c r="I174" s="3" t="s">
        <v>623</v>
      </c>
      <c r="J174" s="3" t="s">
        <v>426</v>
      </c>
    </row>
    <row r="175">
      <c r="A175" s="10">
        <v>45942.92336019676</v>
      </c>
      <c r="B175" s="3" t="s">
        <v>356</v>
      </c>
      <c r="C175" s="3" t="s">
        <v>630</v>
      </c>
      <c r="D175" s="3" t="s">
        <v>631</v>
      </c>
      <c r="E175" s="3" t="s">
        <v>8</v>
      </c>
      <c r="F175" s="11">
        <v>45937.0</v>
      </c>
      <c r="G175" s="3" t="s">
        <v>577</v>
      </c>
      <c r="H175" s="3" t="s">
        <v>356</v>
      </c>
      <c r="I175" s="3" t="s">
        <v>623</v>
      </c>
      <c r="J175" s="3" t="s">
        <v>426</v>
      </c>
    </row>
    <row r="176">
      <c r="A176" s="10">
        <v>45944.45838340277</v>
      </c>
      <c r="B176" s="3" t="s">
        <v>490</v>
      </c>
      <c r="C176" s="3" t="s">
        <v>493</v>
      </c>
      <c r="D176" s="3" t="s">
        <v>632</v>
      </c>
      <c r="E176" s="3" t="s">
        <v>15</v>
      </c>
      <c r="F176" s="11">
        <v>45944.0</v>
      </c>
      <c r="G176" s="3" t="s">
        <v>493</v>
      </c>
      <c r="H176" s="3" t="s">
        <v>490</v>
      </c>
      <c r="I176" s="3" t="s">
        <v>623</v>
      </c>
      <c r="J176" s="3" t="s">
        <v>426</v>
      </c>
    </row>
    <row r="177">
      <c r="A177" s="10">
        <v>45945.25551107639</v>
      </c>
      <c r="B177" s="3" t="s">
        <v>356</v>
      </c>
      <c r="C177" s="3" t="s">
        <v>630</v>
      </c>
      <c r="D177" s="3" t="s">
        <v>633</v>
      </c>
      <c r="E177" s="3" t="s">
        <v>8</v>
      </c>
      <c r="F177" s="11">
        <v>45945.0</v>
      </c>
      <c r="G177" s="3" t="s">
        <v>577</v>
      </c>
      <c r="H177" s="3" t="s">
        <v>356</v>
      </c>
      <c r="I177" s="3" t="s">
        <v>623</v>
      </c>
      <c r="J177" s="3" t="s">
        <v>426</v>
      </c>
    </row>
    <row r="178">
      <c r="A178" s="10">
        <v>45945.51252513889</v>
      </c>
      <c r="B178" s="3" t="s">
        <v>356</v>
      </c>
      <c r="C178" s="3" t="s">
        <v>630</v>
      </c>
      <c r="D178" s="3" t="s">
        <v>634</v>
      </c>
      <c r="E178" s="3" t="s">
        <v>8</v>
      </c>
      <c r="F178" s="11">
        <v>45945.0</v>
      </c>
      <c r="G178" s="3" t="s">
        <v>577</v>
      </c>
      <c r="H178" s="3" t="s">
        <v>356</v>
      </c>
      <c r="I178" s="3" t="s">
        <v>623</v>
      </c>
      <c r="J178" s="3" t="s">
        <v>426</v>
      </c>
    </row>
    <row r="179">
      <c r="A179" s="10">
        <v>45951.392504247684</v>
      </c>
      <c r="B179" s="3" t="s">
        <v>402</v>
      </c>
      <c r="C179" s="3" t="s">
        <v>519</v>
      </c>
      <c r="D179" s="3" t="s">
        <v>635</v>
      </c>
      <c r="E179" s="3" t="s">
        <v>7</v>
      </c>
      <c r="F179" s="11">
        <v>45951.0</v>
      </c>
      <c r="G179" s="3" t="s">
        <v>519</v>
      </c>
      <c r="H179" s="3" t="s">
        <v>402</v>
      </c>
      <c r="I179" s="3" t="s">
        <v>623</v>
      </c>
      <c r="J179" s="3" t="s">
        <v>426</v>
      </c>
    </row>
    <row r="180">
      <c r="A180" s="10">
        <v>45952.58870532407</v>
      </c>
      <c r="B180" s="3" t="s">
        <v>326</v>
      </c>
      <c r="C180" s="3" t="s">
        <v>329</v>
      </c>
      <c r="D180" s="3" t="s">
        <v>636</v>
      </c>
      <c r="E180" s="3" t="s">
        <v>15</v>
      </c>
      <c r="F180" s="11">
        <v>45952.0</v>
      </c>
      <c r="G180" s="3" t="s">
        <v>637</v>
      </c>
      <c r="H180" s="3" t="s">
        <v>326</v>
      </c>
      <c r="I180" s="3" t="s">
        <v>623</v>
      </c>
      <c r="J180" s="3" t="s">
        <v>426</v>
      </c>
    </row>
    <row r="181">
      <c r="A181" s="10">
        <v>45953.32327674769</v>
      </c>
      <c r="B181" s="3" t="s">
        <v>402</v>
      </c>
      <c r="C181" s="3" t="s">
        <v>519</v>
      </c>
      <c r="D181" s="5" t="s">
        <v>638</v>
      </c>
      <c r="E181" s="3" t="s">
        <v>15</v>
      </c>
      <c r="F181" s="11">
        <v>45945.0</v>
      </c>
      <c r="G181" s="3" t="s">
        <v>639</v>
      </c>
      <c r="H181" s="3" t="s">
        <v>640</v>
      </c>
      <c r="I181" s="3" t="s">
        <v>623</v>
      </c>
      <c r="J181" s="3" t="s">
        <v>426</v>
      </c>
    </row>
    <row r="182">
      <c r="A182" s="10">
        <v>45992.54010320602</v>
      </c>
      <c r="B182" s="3" t="s">
        <v>332</v>
      </c>
      <c r="C182" s="3" t="s">
        <v>641</v>
      </c>
      <c r="D182" s="3" t="s">
        <v>642</v>
      </c>
      <c r="E182" s="3" t="s">
        <v>14</v>
      </c>
      <c r="F182" s="11">
        <v>45987.0</v>
      </c>
      <c r="G182" s="3" t="s">
        <v>641</v>
      </c>
      <c r="H182" s="3" t="s">
        <v>332</v>
      </c>
      <c r="I182" s="3" t="s">
        <v>623</v>
      </c>
      <c r="J182" s="3" t="s">
        <v>426</v>
      </c>
    </row>
    <row r="183">
      <c r="A183" s="10">
        <v>45993.743050034725</v>
      </c>
      <c r="B183" s="3" t="s">
        <v>356</v>
      </c>
      <c r="C183" s="3" t="s">
        <v>577</v>
      </c>
      <c r="D183" s="5" t="s">
        <v>643</v>
      </c>
      <c r="E183" s="3" t="s">
        <v>8</v>
      </c>
      <c r="F183" s="11">
        <v>45989.0</v>
      </c>
      <c r="G183" s="3" t="s">
        <v>577</v>
      </c>
      <c r="H183" s="3" t="s">
        <v>356</v>
      </c>
      <c r="I183" s="3" t="s">
        <v>623</v>
      </c>
      <c r="J183" s="3" t="s">
        <v>426</v>
      </c>
    </row>
    <row r="184">
      <c r="A184" s="10">
        <v>45998.64624918981</v>
      </c>
      <c r="B184" s="3" t="s">
        <v>476</v>
      </c>
      <c r="C184" s="3" t="s">
        <v>479</v>
      </c>
      <c r="D184" s="3" t="s">
        <v>644</v>
      </c>
      <c r="E184" s="3" t="s">
        <v>5</v>
      </c>
      <c r="F184" s="11">
        <v>45989.0</v>
      </c>
      <c r="G184" s="3" t="s">
        <v>479</v>
      </c>
      <c r="H184" s="3" t="s">
        <v>476</v>
      </c>
      <c r="I184" s="3" t="s">
        <v>623</v>
      </c>
      <c r="J184" s="3" t="s">
        <v>426</v>
      </c>
    </row>
    <row r="185">
      <c r="A185" s="10">
        <v>46001.34074496527</v>
      </c>
      <c r="B185" s="3" t="s">
        <v>352</v>
      </c>
      <c r="C185" s="3" t="s">
        <v>353</v>
      </c>
      <c r="D185" s="5" t="s">
        <v>645</v>
      </c>
      <c r="E185" s="3" t="s">
        <v>6</v>
      </c>
      <c r="F185" s="11">
        <v>46001.0</v>
      </c>
      <c r="G185" s="3" t="s">
        <v>373</v>
      </c>
      <c r="H185" s="3" t="s">
        <v>352</v>
      </c>
      <c r="I185" s="3" t="s">
        <v>623</v>
      </c>
      <c r="J185" s="3" t="s">
        <v>426</v>
      </c>
    </row>
    <row r="186">
      <c r="A186" s="10">
        <v>46002.450554930554</v>
      </c>
      <c r="B186" s="3" t="s">
        <v>326</v>
      </c>
      <c r="C186" s="3" t="s">
        <v>329</v>
      </c>
      <c r="D186" s="3" t="s">
        <v>646</v>
      </c>
      <c r="E186" s="3" t="s">
        <v>15</v>
      </c>
      <c r="F186" s="11">
        <v>45999.0</v>
      </c>
      <c r="G186" s="3" t="s">
        <v>637</v>
      </c>
      <c r="H186" s="3" t="s">
        <v>326</v>
      </c>
      <c r="I186" s="3" t="s">
        <v>623</v>
      </c>
      <c r="J186" s="3" t="s">
        <v>426</v>
      </c>
    </row>
    <row r="187">
      <c r="A187" s="10">
        <v>46031.38590033565</v>
      </c>
      <c r="B187" s="3" t="s">
        <v>402</v>
      </c>
      <c r="C187" s="3" t="s">
        <v>463</v>
      </c>
      <c r="D187" s="3" t="s">
        <v>647</v>
      </c>
      <c r="E187" s="3" t="s">
        <v>15</v>
      </c>
      <c r="F187" s="11">
        <v>46030.0</v>
      </c>
      <c r="G187" s="3" t="s">
        <v>648</v>
      </c>
      <c r="H187" s="3" t="s">
        <v>649</v>
      </c>
      <c r="I187" s="3" t="s">
        <v>623</v>
      </c>
      <c r="J187" s="3" t="s">
        <v>426</v>
      </c>
    </row>
    <row r="188">
      <c r="A188" s="10">
        <v>46036.703138425924</v>
      </c>
      <c r="B188" s="3" t="s">
        <v>650</v>
      </c>
      <c r="C188" s="3" t="s">
        <v>483</v>
      </c>
      <c r="D188" s="3" t="s">
        <v>651</v>
      </c>
      <c r="E188" s="3" t="s">
        <v>11</v>
      </c>
      <c r="F188" s="11">
        <v>46037.0</v>
      </c>
      <c r="G188" s="3" t="s">
        <v>652</v>
      </c>
      <c r="H188" s="3" t="s">
        <v>650</v>
      </c>
      <c r="I188" s="3" t="s">
        <v>623</v>
      </c>
      <c r="J188" s="3" t="s">
        <v>426</v>
      </c>
    </row>
    <row r="189">
      <c r="A189" s="10">
        <v>46043.33490297454</v>
      </c>
      <c r="B189" s="3" t="s">
        <v>326</v>
      </c>
      <c r="C189" s="3" t="s">
        <v>329</v>
      </c>
      <c r="D189" s="3" t="s">
        <v>653</v>
      </c>
      <c r="E189" s="3" t="s">
        <v>15</v>
      </c>
      <c r="F189" s="11">
        <v>46042.0</v>
      </c>
      <c r="G189" s="3" t="s">
        <v>637</v>
      </c>
      <c r="H189" s="3" t="s">
        <v>326</v>
      </c>
      <c r="I189" s="3" t="s">
        <v>623</v>
      </c>
      <c r="J189" s="3" t="s">
        <v>426</v>
      </c>
    </row>
    <row r="190">
      <c r="A190" s="10">
        <v>46048.365439189816</v>
      </c>
      <c r="B190" s="3" t="s">
        <v>654</v>
      </c>
      <c r="C190" s="3" t="s">
        <v>655</v>
      </c>
      <c r="D190" s="3" t="s">
        <v>656</v>
      </c>
      <c r="E190" s="3" t="s">
        <v>15</v>
      </c>
      <c r="F190" s="11">
        <v>46048.0</v>
      </c>
      <c r="G190" s="3" t="s">
        <v>385</v>
      </c>
      <c r="H190" s="3" t="s">
        <v>352</v>
      </c>
    </row>
    <row r="191">
      <c r="A191" s="10">
        <v>46048.43629898148</v>
      </c>
      <c r="B191" s="3" t="s">
        <v>421</v>
      </c>
      <c r="C191" s="3" t="s">
        <v>422</v>
      </c>
      <c r="D191" s="5" t="s">
        <v>657</v>
      </c>
      <c r="E191" s="3" t="s">
        <v>15</v>
      </c>
      <c r="F191" s="11">
        <v>46048.0</v>
      </c>
      <c r="G191" s="3" t="s">
        <v>658</v>
      </c>
      <c r="H191" s="3" t="s">
        <v>326</v>
      </c>
      <c r="I191" s="3" t="s">
        <v>623</v>
      </c>
      <c r="J191" s="3" t="s">
        <v>426</v>
      </c>
    </row>
    <row r="192">
      <c r="A192" s="10">
        <v>46051.48950988426</v>
      </c>
      <c r="B192" s="3" t="s">
        <v>326</v>
      </c>
      <c r="C192" s="3" t="s">
        <v>329</v>
      </c>
      <c r="D192" s="3" t="s">
        <v>659</v>
      </c>
      <c r="E192" s="3" t="s">
        <v>15</v>
      </c>
      <c r="F192" s="11">
        <v>46050.0</v>
      </c>
      <c r="G192" s="3" t="s">
        <v>637</v>
      </c>
      <c r="H192" s="3" t="s">
        <v>326</v>
      </c>
      <c r="I192" s="3" t="s">
        <v>623</v>
      </c>
      <c r="J192" s="3" t="s">
        <v>426</v>
      </c>
    </row>
    <row r="193">
      <c r="A193" s="10">
        <v>46052.698246087966</v>
      </c>
      <c r="B193" s="3" t="s">
        <v>343</v>
      </c>
      <c r="C193" s="3" t="s">
        <v>538</v>
      </c>
      <c r="D193" s="3" t="s">
        <v>660</v>
      </c>
      <c r="E193" s="3" t="s">
        <v>11</v>
      </c>
      <c r="F193" s="11">
        <v>46053.0</v>
      </c>
      <c r="G193" s="3" t="s">
        <v>538</v>
      </c>
      <c r="H193" s="3" t="s">
        <v>343</v>
      </c>
      <c r="I193" s="3" t="s">
        <v>623</v>
      </c>
      <c r="J193" s="3" t="s">
        <v>426</v>
      </c>
    </row>
    <row r="194">
      <c r="A194" s="10">
        <v>46065.65513623843</v>
      </c>
      <c r="B194" s="3" t="s">
        <v>343</v>
      </c>
      <c r="C194" s="3" t="s">
        <v>538</v>
      </c>
      <c r="D194" s="3" t="s">
        <v>661</v>
      </c>
      <c r="E194" s="3" t="s">
        <v>11</v>
      </c>
      <c r="F194" s="11">
        <v>46066.0</v>
      </c>
      <c r="G194" s="3" t="s">
        <v>538</v>
      </c>
      <c r="H194" s="3" t="s">
        <v>343</v>
      </c>
      <c r="I194" s="3" t="s">
        <v>623</v>
      </c>
      <c r="J194" s="3" t="s">
        <v>426</v>
      </c>
    </row>
    <row r="195">
      <c r="A195" s="10">
        <v>46084.68492190972</v>
      </c>
      <c r="B195" s="3" t="s">
        <v>662</v>
      </c>
      <c r="C195" s="3" t="s">
        <v>663</v>
      </c>
      <c r="D195" s="3" t="s">
        <v>664</v>
      </c>
      <c r="E195" s="3" t="s">
        <v>6</v>
      </c>
      <c r="F195" s="11">
        <v>46085.0</v>
      </c>
      <c r="G195" s="3" t="s">
        <v>665</v>
      </c>
      <c r="H195" s="3" t="s">
        <v>662</v>
      </c>
      <c r="I195" s="3" t="s">
        <v>623</v>
      </c>
      <c r="J195" s="3" t="s">
        <v>426</v>
      </c>
    </row>
    <row r="196">
      <c r="A196" s="10">
        <v>46085.38557773148</v>
      </c>
      <c r="B196" s="3" t="s">
        <v>666</v>
      </c>
      <c r="C196" s="3" t="s">
        <v>665</v>
      </c>
      <c r="D196" s="3" t="s">
        <v>667</v>
      </c>
      <c r="E196" s="3" t="s">
        <v>6</v>
      </c>
      <c r="F196" s="11">
        <v>46085.0</v>
      </c>
      <c r="G196" s="3" t="s">
        <v>665</v>
      </c>
      <c r="H196" s="3" t="s">
        <v>662</v>
      </c>
      <c r="I196" s="3" t="s">
        <v>623</v>
      </c>
      <c r="J196" s="3" t="s">
        <v>426</v>
      </c>
    </row>
    <row r="197">
      <c r="A197" s="10">
        <v>46093.435236053236</v>
      </c>
      <c r="B197" s="3" t="s">
        <v>339</v>
      </c>
      <c r="C197" s="3" t="s">
        <v>340</v>
      </c>
      <c r="D197" s="3" t="s">
        <v>668</v>
      </c>
      <c r="E197" s="3" t="s">
        <v>12</v>
      </c>
      <c r="F197" s="11">
        <v>46093.0</v>
      </c>
      <c r="G197" s="3" t="s">
        <v>544</v>
      </c>
      <c r="H197" s="3" t="s">
        <v>339</v>
      </c>
      <c r="I197" s="3" t="s">
        <v>623</v>
      </c>
      <c r="J197" s="3" t="s">
        <v>426</v>
      </c>
    </row>
    <row r="198">
      <c r="A198" s="10">
        <v>46093.44139896991</v>
      </c>
      <c r="B198" s="3" t="s">
        <v>339</v>
      </c>
      <c r="C198" s="3" t="s">
        <v>340</v>
      </c>
      <c r="D198" s="3" t="s">
        <v>669</v>
      </c>
      <c r="E198" s="3" t="s">
        <v>12</v>
      </c>
      <c r="F198" s="11">
        <v>46093.0</v>
      </c>
      <c r="G198" s="3" t="s">
        <v>544</v>
      </c>
      <c r="H198" s="3" t="s">
        <v>339</v>
      </c>
      <c r="I198" s="3" t="s">
        <v>623</v>
      </c>
      <c r="J198" s="3" t="s">
        <v>426</v>
      </c>
    </row>
    <row r="199">
      <c r="A199" s="10">
        <v>46094.40892109954</v>
      </c>
      <c r="B199" s="3" t="s">
        <v>335</v>
      </c>
      <c r="C199" s="3" t="s">
        <v>350</v>
      </c>
      <c r="D199" s="3" t="s">
        <v>670</v>
      </c>
      <c r="E199" s="3" t="s">
        <v>11</v>
      </c>
      <c r="F199" s="11">
        <v>46094.0</v>
      </c>
      <c r="G199" s="3" t="s">
        <v>671</v>
      </c>
      <c r="H199" s="3" t="s">
        <v>619</v>
      </c>
      <c r="I199" s="3" t="s">
        <v>623</v>
      </c>
      <c r="J199" s="3" t="s">
        <v>426</v>
      </c>
    </row>
    <row r="200">
      <c r="A200" s="10">
        <v>46094.44075512732</v>
      </c>
      <c r="B200" s="3" t="s">
        <v>335</v>
      </c>
      <c r="C200" s="3" t="s">
        <v>350</v>
      </c>
      <c r="D200" s="3" t="s">
        <v>672</v>
      </c>
      <c r="E200" s="3" t="s">
        <v>11</v>
      </c>
      <c r="F200" s="11">
        <v>46094.0</v>
      </c>
      <c r="G200" s="3" t="s">
        <v>673</v>
      </c>
      <c r="H200" s="3" t="s">
        <v>343</v>
      </c>
      <c r="I200" s="3" t="s">
        <v>623</v>
      </c>
      <c r="J200" s="3" t="s">
        <v>426</v>
      </c>
    </row>
    <row r="201">
      <c r="A201" s="10">
        <v>46094.473253819444</v>
      </c>
      <c r="B201" s="3" t="s">
        <v>335</v>
      </c>
      <c r="C201" s="3" t="s">
        <v>350</v>
      </c>
      <c r="D201" s="3" t="s">
        <v>674</v>
      </c>
      <c r="E201" s="3" t="s">
        <v>11</v>
      </c>
      <c r="F201" s="11">
        <v>46094.0</v>
      </c>
      <c r="G201" s="3" t="s">
        <v>671</v>
      </c>
      <c r="H201" s="3" t="s">
        <v>343</v>
      </c>
      <c r="I201" s="3" t="s">
        <v>623</v>
      </c>
      <c r="J201" s="3" t="s">
        <v>426</v>
      </c>
    </row>
    <row r="202">
      <c r="A202" s="10">
        <v>46105.428312777774</v>
      </c>
      <c r="B202" s="3" t="s">
        <v>335</v>
      </c>
      <c r="C202" s="3" t="s">
        <v>350</v>
      </c>
      <c r="D202" s="3" t="s">
        <v>675</v>
      </c>
      <c r="E202" s="3" t="s">
        <v>11</v>
      </c>
      <c r="F202" s="11">
        <v>46097.0</v>
      </c>
      <c r="G202" s="3" t="s">
        <v>676</v>
      </c>
      <c r="H202" s="3" t="s">
        <v>619</v>
      </c>
      <c r="I202" s="3" t="s">
        <v>623</v>
      </c>
      <c r="J202" s="3" t="s">
        <v>426</v>
      </c>
    </row>
    <row r="203">
      <c r="A203" s="10">
        <v>46105.76398002315</v>
      </c>
      <c r="B203" s="3" t="s">
        <v>326</v>
      </c>
      <c r="C203" s="3" t="s">
        <v>327</v>
      </c>
      <c r="D203" s="3" t="s">
        <v>677</v>
      </c>
      <c r="E203" s="3" t="s">
        <v>15</v>
      </c>
      <c r="F203" s="11">
        <v>46104.0</v>
      </c>
      <c r="G203" s="3" t="s">
        <v>329</v>
      </c>
      <c r="H203" s="3" t="s">
        <v>678</v>
      </c>
      <c r="I203" s="3" t="s">
        <v>623</v>
      </c>
      <c r="J203" s="3" t="s">
        <v>426</v>
      </c>
    </row>
    <row r="204">
      <c r="A204" s="10">
        <v>46120.63744760417</v>
      </c>
      <c r="B204" s="3" t="s">
        <v>402</v>
      </c>
      <c r="C204" s="3" t="s">
        <v>519</v>
      </c>
      <c r="D204" s="3" t="s">
        <v>679</v>
      </c>
      <c r="E204" s="3" t="s">
        <v>7</v>
      </c>
      <c r="F204" s="11">
        <v>46119.0</v>
      </c>
      <c r="G204" s="3" t="s">
        <v>680</v>
      </c>
      <c r="H204" s="3" t="s">
        <v>681</v>
      </c>
      <c r="I204" s="3" t="s">
        <v>623</v>
      </c>
      <c r="J204" s="3" t="s">
        <v>426</v>
      </c>
    </row>
    <row r="205">
      <c r="A205" s="10">
        <v>46120.64032918982</v>
      </c>
      <c r="B205" s="3" t="s">
        <v>402</v>
      </c>
      <c r="C205" s="3" t="s">
        <v>519</v>
      </c>
      <c r="D205" s="3" t="s">
        <v>682</v>
      </c>
      <c r="E205" s="3" t="s">
        <v>7</v>
      </c>
      <c r="F205" s="11">
        <v>46120.0</v>
      </c>
      <c r="G205" s="3" t="s">
        <v>683</v>
      </c>
      <c r="H205" s="3" t="s">
        <v>681</v>
      </c>
      <c r="I205" s="3" t="s">
        <v>623</v>
      </c>
      <c r="J205" s="3" t="s">
        <v>426</v>
      </c>
    </row>
    <row r="206">
      <c r="A206" s="10">
        <v>46121.36404793982</v>
      </c>
      <c r="B206" s="3" t="s">
        <v>332</v>
      </c>
      <c r="C206" s="3" t="s">
        <v>473</v>
      </c>
      <c r="D206" s="3" t="s">
        <v>684</v>
      </c>
      <c r="E206" s="3" t="s">
        <v>13</v>
      </c>
      <c r="F206" s="11">
        <v>46121.0</v>
      </c>
      <c r="G206" s="3" t="s">
        <v>333</v>
      </c>
      <c r="H206" s="3" t="s">
        <v>332</v>
      </c>
      <c r="I206" s="3" t="s">
        <v>685</v>
      </c>
      <c r="J206" s="3" t="s">
        <v>426</v>
      </c>
    </row>
    <row r="207">
      <c r="A207" s="10">
        <v>46122.36111534722</v>
      </c>
      <c r="B207" s="3" t="s">
        <v>332</v>
      </c>
      <c r="C207" s="3" t="s">
        <v>473</v>
      </c>
      <c r="D207" s="3" t="s">
        <v>686</v>
      </c>
      <c r="E207" s="3" t="s">
        <v>13</v>
      </c>
      <c r="F207" s="11">
        <v>46121.0</v>
      </c>
      <c r="G207" s="3" t="s">
        <v>333</v>
      </c>
      <c r="H207" s="3" t="s">
        <v>332</v>
      </c>
      <c r="I207" s="3" t="s">
        <v>623</v>
      </c>
      <c r="J207" s="3" t="s">
        <v>426</v>
      </c>
    </row>
    <row r="208">
      <c r="A208" s="10">
        <v>46125.37864605324</v>
      </c>
      <c r="B208" s="3" t="s">
        <v>326</v>
      </c>
      <c r="C208" s="3" t="s">
        <v>687</v>
      </c>
      <c r="D208" s="3" t="s">
        <v>688</v>
      </c>
      <c r="E208" s="3" t="s">
        <v>15</v>
      </c>
      <c r="F208" s="11">
        <v>46118.0</v>
      </c>
      <c r="G208" s="3" t="s">
        <v>329</v>
      </c>
      <c r="H208" s="3" t="s">
        <v>326</v>
      </c>
      <c r="I208" s="3" t="s">
        <v>623</v>
      </c>
      <c r="J208" s="3" t="s">
        <v>426</v>
      </c>
    </row>
    <row r="209">
      <c r="A209" s="10">
        <v>46125.48253474537</v>
      </c>
      <c r="B209" s="3" t="s">
        <v>343</v>
      </c>
      <c r="C209" s="3" t="s">
        <v>538</v>
      </c>
      <c r="D209" s="3" t="s">
        <v>689</v>
      </c>
      <c r="E209" s="3" t="s">
        <v>12</v>
      </c>
      <c r="F209" s="11">
        <v>46126.0</v>
      </c>
      <c r="G209" s="3" t="s">
        <v>690</v>
      </c>
      <c r="H209" s="3" t="s">
        <v>339</v>
      </c>
      <c r="I209" s="3" t="s">
        <v>623</v>
      </c>
      <c r="J209" s="3" t="s">
        <v>426</v>
      </c>
    </row>
    <row r="210">
      <c r="A210" s="10">
        <v>46129.467792951385</v>
      </c>
      <c r="B210" s="3" t="s">
        <v>691</v>
      </c>
      <c r="C210" s="3" t="s">
        <v>692</v>
      </c>
      <c r="D210" s="3" t="s">
        <v>693</v>
      </c>
      <c r="E210" s="3" t="s">
        <v>13</v>
      </c>
      <c r="F210" s="11">
        <v>46129.0</v>
      </c>
      <c r="G210" s="3" t="s">
        <v>562</v>
      </c>
      <c r="H210" s="3" t="s">
        <v>332</v>
      </c>
      <c r="I210" s="3" t="s">
        <v>623</v>
      </c>
      <c r="J210" s="3" t="s">
        <v>426</v>
      </c>
    </row>
    <row r="211">
      <c r="A211" s="10">
        <v>46134.580652453704</v>
      </c>
      <c r="B211" s="3" t="s">
        <v>694</v>
      </c>
      <c r="C211" s="3" t="s">
        <v>603</v>
      </c>
      <c r="D211" s="3" t="s">
        <v>695</v>
      </c>
      <c r="E211" s="3" t="s">
        <v>11</v>
      </c>
      <c r="F211" s="11">
        <v>46134.0</v>
      </c>
      <c r="G211" s="3" t="s">
        <v>353</v>
      </c>
      <c r="H211" s="3" t="s">
        <v>694</v>
      </c>
      <c r="I211" s="3" t="s">
        <v>623</v>
      </c>
      <c r="J211" s="3" t="s">
        <v>426</v>
      </c>
    </row>
    <row r="212">
      <c r="A212" s="10">
        <v>46134.594229803246</v>
      </c>
      <c r="B212" s="3" t="s">
        <v>694</v>
      </c>
      <c r="C212" s="3" t="s">
        <v>603</v>
      </c>
      <c r="D212" s="3" t="s">
        <v>696</v>
      </c>
      <c r="E212" s="3" t="s">
        <v>11</v>
      </c>
      <c r="F212" s="11">
        <v>46134.0</v>
      </c>
      <c r="G212" s="3" t="s">
        <v>353</v>
      </c>
      <c r="H212" s="3" t="s">
        <v>694</v>
      </c>
      <c r="I212" s="3" t="s">
        <v>623</v>
      </c>
      <c r="J212" s="3" t="s">
        <v>426</v>
      </c>
    </row>
    <row r="213">
      <c r="A213" s="10">
        <v>46139.567883449075</v>
      </c>
      <c r="B213" s="3" t="s">
        <v>697</v>
      </c>
      <c r="C213" s="3" t="s">
        <v>327</v>
      </c>
      <c r="D213" s="3" t="s">
        <v>698</v>
      </c>
      <c r="E213" s="3" t="s">
        <v>15</v>
      </c>
      <c r="F213" s="11">
        <v>46139.0</v>
      </c>
      <c r="G213" s="3" t="s">
        <v>329</v>
      </c>
      <c r="H213" s="3" t="s">
        <v>326</v>
      </c>
      <c r="I213" s="3" t="s">
        <v>623</v>
      </c>
      <c r="J213" s="3" t="s">
        <v>426</v>
      </c>
    </row>
    <row r="214">
      <c r="A214" s="10">
        <v>46140.38701685185</v>
      </c>
      <c r="B214" s="3" t="s">
        <v>326</v>
      </c>
      <c r="C214" s="3" t="s">
        <v>327</v>
      </c>
      <c r="D214" s="3" t="s">
        <v>699</v>
      </c>
      <c r="E214" s="3" t="s">
        <v>15</v>
      </c>
      <c r="F214" s="11">
        <v>46140.0</v>
      </c>
      <c r="G214" s="3" t="s">
        <v>329</v>
      </c>
      <c r="H214" s="3" t="s">
        <v>326</v>
      </c>
      <c r="I214" s="3" t="s">
        <v>623</v>
      </c>
      <c r="J214" s="3" t="s">
        <v>426</v>
      </c>
    </row>
    <row r="215">
      <c r="A215" s="10">
        <v>46140.42764674769</v>
      </c>
      <c r="B215" s="3" t="s">
        <v>346</v>
      </c>
      <c r="C215" s="3" t="s">
        <v>349</v>
      </c>
      <c r="D215" s="3" t="s">
        <v>700</v>
      </c>
      <c r="E215" s="3" t="s">
        <v>7</v>
      </c>
      <c r="F215" s="11">
        <v>46129.0</v>
      </c>
      <c r="G215" s="3" t="s">
        <v>503</v>
      </c>
      <c r="H215" s="3" t="s">
        <v>701</v>
      </c>
      <c r="I215" s="3" t="s">
        <v>623</v>
      </c>
      <c r="J215" s="3" t="s">
        <v>426</v>
      </c>
    </row>
    <row r="216">
      <c r="A216" s="10">
        <v>46144.335621817125</v>
      </c>
      <c r="B216" s="3" t="s">
        <v>629</v>
      </c>
      <c r="C216" s="3" t="s">
        <v>702</v>
      </c>
      <c r="D216" s="3" t="s">
        <v>703</v>
      </c>
      <c r="E216" s="3" t="s">
        <v>11</v>
      </c>
      <c r="F216" s="11">
        <v>46144.0</v>
      </c>
      <c r="G216" s="3" t="s">
        <v>702</v>
      </c>
      <c r="H216" s="3" t="s">
        <v>629</v>
      </c>
    </row>
    <row r="217">
      <c r="A217" s="10">
        <v>46144.40394346065</v>
      </c>
      <c r="B217" s="3" t="s">
        <v>629</v>
      </c>
      <c r="C217" s="3" t="s">
        <v>702</v>
      </c>
      <c r="D217" s="3" t="s">
        <v>704</v>
      </c>
      <c r="E217" s="3" t="s">
        <v>11</v>
      </c>
      <c r="F217" s="11">
        <v>46144.0</v>
      </c>
      <c r="G217" s="3" t="s">
        <v>702</v>
      </c>
      <c r="H217" s="3" t="s">
        <v>629</v>
      </c>
    </row>
    <row r="218">
      <c r="A218" s="10">
        <v>46146.47667668981</v>
      </c>
      <c r="B218" s="3" t="s">
        <v>521</v>
      </c>
      <c r="C218" s="3" t="s">
        <v>558</v>
      </c>
      <c r="D218" s="3" t="s">
        <v>705</v>
      </c>
      <c r="E218" s="3" t="s">
        <v>13</v>
      </c>
      <c r="F218" s="11">
        <v>46147.0</v>
      </c>
      <c r="G218" s="3" t="s">
        <v>558</v>
      </c>
      <c r="H218" s="3" t="s">
        <v>706</v>
      </c>
    </row>
    <row r="219">
      <c r="A219" s="10">
        <v>46146.48891630787</v>
      </c>
      <c r="B219" s="3" t="s">
        <v>339</v>
      </c>
      <c r="C219" s="3" t="s">
        <v>340</v>
      </c>
      <c r="D219" s="3" t="s">
        <v>707</v>
      </c>
      <c r="E219" s="3" t="s">
        <v>12</v>
      </c>
      <c r="F219" s="11">
        <v>46146.0</v>
      </c>
      <c r="G219" s="3" t="s">
        <v>544</v>
      </c>
      <c r="H219" s="3" t="s">
        <v>339</v>
      </c>
    </row>
    <row r="220">
      <c r="A220" s="10">
        <v>46148.48178494213</v>
      </c>
      <c r="B220" s="3" t="s">
        <v>706</v>
      </c>
      <c r="C220" s="3" t="s">
        <v>522</v>
      </c>
      <c r="D220" s="3" t="s">
        <v>708</v>
      </c>
      <c r="E220" s="3" t="s">
        <v>13</v>
      </c>
      <c r="F220" s="11">
        <v>46147.0</v>
      </c>
      <c r="G220" s="3" t="s">
        <v>709</v>
      </c>
      <c r="H220" s="3" t="s">
        <v>706</v>
      </c>
    </row>
    <row r="221">
      <c r="D221" s="12"/>
    </row>
    <row r="222">
      <c r="D222" s="12"/>
    </row>
    <row r="223">
      <c r="D223" s="12"/>
    </row>
    <row r="224">
      <c r="D224" s="12"/>
    </row>
    <row r="225">
      <c r="D225" s="12"/>
    </row>
    <row r="226">
      <c r="D226" s="12"/>
    </row>
    <row r="227">
      <c r="D227" s="12"/>
    </row>
    <row r="228">
      <c r="D228" s="12"/>
    </row>
    <row r="229">
      <c r="D229" s="12"/>
    </row>
    <row r="230">
      <c r="D230" s="12"/>
    </row>
    <row r="231">
      <c r="D231" s="12"/>
    </row>
    <row r="232">
      <c r="D232" s="12"/>
    </row>
    <row r="233">
      <c r="D233" s="12"/>
    </row>
    <row r="234">
      <c r="D234" s="12"/>
    </row>
    <row r="235">
      <c r="D235" s="12"/>
    </row>
    <row r="236">
      <c r="D236" s="12"/>
    </row>
    <row r="237">
      <c r="D237" s="12"/>
    </row>
    <row r="238">
      <c r="D238" s="12"/>
    </row>
    <row r="239">
      <c r="D239" s="12"/>
    </row>
    <row r="240">
      <c r="D240" s="12"/>
    </row>
    <row r="241">
      <c r="D241" s="12"/>
    </row>
    <row r="242">
      <c r="D242" s="12"/>
    </row>
    <row r="243">
      <c r="D243" s="12"/>
    </row>
    <row r="244">
      <c r="D244" s="12"/>
    </row>
    <row r="245">
      <c r="D245" s="12"/>
    </row>
    <row r="246">
      <c r="D246" s="12"/>
    </row>
    <row r="247">
      <c r="D247" s="12"/>
    </row>
    <row r="248">
      <c r="D248" s="12"/>
    </row>
    <row r="249">
      <c r="D249" s="12"/>
    </row>
    <row r="250">
      <c r="D250" s="12"/>
    </row>
    <row r="251">
      <c r="D251" s="12"/>
    </row>
    <row r="252">
      <c r="D252" s="12"/>
    </row>
    <row r="253">
      <c r="D253" s="12"/>
    </row>
    <row r="254">
      <c r="D254" s="12"/>
    </row>
    <row r="255">
      <c r="D255" s="12"/>
    </row>
    <row r="256">
      <c r="D256" s="12"/>
    </row>
    <row r="257">
      <c r="D257" s="12"/>
    </row>
    <row r="258">
      <c r="D258" s="12"/>
    </row>
    <row r="259">
      <c r="D259" s="12"/>
    </row>
    <row r="260">
      <c r="D260" s="12"/>
    </row>
    <row r="261">
      <c r="D261" s="12"/>
    </row>
    <row r="262">
      <c r="D262" s="12"/>
    </row>
    <row r="263">
      <c r="D263" s="12"/>
    </row>
    <row r="264">
      <c r="D264" s="12"/>
    </row>
    <row r="265">
      <c r="D265" s="12"/>
    </row>
    <row r="266">
      <c r="D266" s="12"/>
    </row>
    <row r="267">
      <c r="D267" s="12"/>
    </row>
    <row r="268">
      <c r="D268" s="12"/>
    </row>
    <row r="269">
      <c r="D269" s="12"/>
    </row>
    <row r="270">
      <c r="D270" s="12"/>
    </row>
    <row r="271">
      <c r="D271" s="12"/>
    </row>
    <row r="272">
      <c r="D272" s="12"/>
    </row>
    <row r="273">
      <c r="D273" s="12"/>
    </row>
    <row r="274">
      <c r="D274" s="12"/>
    </row>
    <row r="275">
      <c r="D275" s="12"/>
    </row>
    <row r="276">
      <c r="D276" s="12"/>
    </row>
    <row r="277">
      <c r="D277" s="12"/>
    </row>
    <row r="278">
      <c r="D278" s="12"/>
    </row>
    <row r="279">
      <c r="D279" s="12"/>
    </row>
    <row r="280">
      <c r="D280" s="12"/>
    </row>
    <row r="281">
      <c r="D281" s="12"/>
    </row>
    <row r="282">
      <c r="D282" s="12"/>
    </row>
    <row r="283">
      <c r="D283" s="12"/>
    </row>
    <row r="284">
      <c r="D284" s="12"/>
    </row>
    <row r="285">
      <c r="D285" s="12"/>
    </row>
    <row r="286">
      <c r="D286" s="12"/>
    </row>
    <row r="287">
      <c r="D287" s="12"/>
    </row>
    <row r="288">
      <c r="D288" s="12"/>
    </row>
    <row r="289">
      <c r="D289" s="12"/>
    </row>
    <row r="290">
      <c r="D290" s="12"/>
    </row>
    <row r="291">
      <c r="D291" s="12"/>
    </row>
    <row r="292">
      <c r="D292" s="12"/>
    </row>
    <row r="293">
      <c r="D293" s="12"/>
    </row>
    <row r="294">
      <c r="D294" s="12"/>
    </row>
    <row r="295">
      <c r="D295" s="12"/>
    </row>
    <row r="296">
      <c r="D296" s="12"/>
    </row>
    <row r="297">
      <c r="D297" s="12"/>
    </row>
    <row r="298">
      <c r="D298" s="12"/>
    </row>
    <row r="299">
      <c r="D299" s="12"/>
    </row>
    <row r="300">
      <c r="D300" s="12"/>
    </row>
    <row r="301">
      <c r="D301" s="12"/>
    </row>
    <row r="302">
      <c r="D302" s="12"/>
    </row>
    <row r="303">
      <c r="D303" s="12"/>
    </row>
    <row r="304">
      <c r="D304" s="12"/>
    </row>
    <row r="305">
      <c r="D305" s="12"/>
    </row>
    <row r="306">
      <c r="D306" s="12"/>
    </row>
    <row r="307">
      <c r="D307" s="12"/>
    </row>
    <row r="308">
      <c r="D308" s="12"/>
    </row>
    <row r="309">
      <c r="D309" s="12"/>
    </row>
    <row r="310">
      <c r="D310" s="12"/>
    </row>
    <row r="311">
      <c r="D311" s="12"/>
    </row>
    <row r="312">
      <c r="D312" s="12"/>
    </row>
    <row r="313">
      <c r="D313" s="12"/>
    </row>
    <row r="314">
      <c r="D314" s="12"/>
    </row>
    <row r="315">
      <c r="D315" s="12"/>
    </row>
    <row r="316">
      <c r="D316" s="12"/>
    </row>
    <row r="317">
      <c r="D317" s="12"/>
    </row>
    <row r="318">
      <c r="D318" s="12"/>
    </row>
    <row r="319">
      <c r="D319" s="12"/>
    </row>
    <row r="320">
      <c r="D320" s="12"/>
    </row>
  </sheetData>
  <autoFilter ref="$A$44:$J$220"/>
  <printOptions gridLines="1" horizontalCentered="1"/>
  <pageMargins bottom="0.75" footer="0.0" header="0.0" left="0.7" right="0.7" top="0.75"/>
  <pageSetup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07D8B"/>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hidden="1" min="9" max="9" width="12.63"/>
    <col hidden="1" min="15" max="15" width="12.63"/>
    <col hidden="1" min="21" max="21" width="12.63"/>
    <col hidden="1" min="27" max="27" width="12.63"/>
    <col hidden="1" min="33" max="33" width="12.63"/>
    <col hidden="1" min="39" max="39" width="12.63"/>
    <col hidden="1" min="45" max="45" width="12.63"/>
    <col hidden="1" min="51" max="51" width="12.63"/>
    <col hidden="1" min="57" max="57" width="12.63"/>
    <col hidden="1" min="63" max="63" width="12.63"/>
    <col hidden="1" min="69" max="69" width="12.63"/>
  </cols>
  <sheetData>
    <row r="1">
      <c r="A1" s="13" t="s">
        <v>710</v>
      </c>
      <c r="B1" s="13" t="s">
        <v>711</v>
      </c>
      <c r="C1" s="13" t="s">
        <v>712</v>
      </c>
      <c r="D1" s="13" t="s">
        <v>713</v>
      </c>
      <c r="E1" s="13" t="s">
        <v>714</v>
      </c>
      <c r="F1" s="13" t="s">
        <v>715</v>
      </c>
      <c r="G1" s="13" t="s">
        <v>716</v>
      </c>
      <c r="H1" s="13" t="s">
        <v>717</v>
      </c>
      <c r="I1" s="13" t="s">
        <v>718</v>
      </c>
      <c r="J1" s="13" t="s">
        <v>719</v>
      </c>
      <c r="K1" s="13" t="s">
        <v>720</v>
      </c>
      <c r="L1" s="13" t="s">
        <v>721</v>
      </c>
      <c r="M1" s="13" t="s">
        <v>722</v>
      </c>
      <c r="N1" s="13" t="s">
        <v>723</v>
      </c>
      <c r="O1" s="13" t="s">
        <v>724</v>
      </c>
      <c r="P1" s="13" t="s">
        <v>725</v>
      </c>
      <c r="Q1" s="13" t="s">
        <v>726</v>
      </c>
      <c r="R1" s="13" t="s">
        <v>727</v>
      </c>
      <c r="S1" s="13" t="s">
        <v>728</v>
      </c>
      <c r="T1" s="13" t="s">
        <v>729</v>
      </c>
      <c r="U1" s="13" t="s">
        <v>730</v>
      </c>
      <c r="V1" s="13" t="s">
        <v>731</v>
      </c>
      <c r="W1" s="13" t="s">
        <v>732</v>
      </c>
      <c r="X1" s="13" t="s">
        <v>733</v>
      </c>
      <c r="Y1" s="13" t="s">
        <v>734</v>
      </c>
      <c r="Z1" s="13" t="s">
        <v>735</v>
      </c>
      <c r="AA1" s="13" t="s">
        <v>736</v>
      </c>
      <c r="AB1" s="13" t="s">
        <v>737</v>
      </c>
      <c r="AC1" s="13" t="s">
        <v>738</v>
      </c>
      <c r="AD1" s="13" t="s">
        <v>739</v>
      </c>
      <c r="AE1" s="13" t="s">
        <v>740</v>
      </c>
      <c r="AF1" s="13" t="s">
        <v>741</v>
      </c>
      <c r="AG1" s="13" t="s">
        <v>742</v>
      </c>
      <c r="AH1" s="13" t="s">
        <v>743</v>
      </c>
      <c r="AI1" s="13" t="s">
        <v>744</v>
      </c>
      <c r="AJ1" s="13" t="s">
        <v>745</v>
      </c>
      <c r="AK1" s="13" t="s">
        <v>746</v>
      </c>
      <c r="AL1" s="13" t="s">
        <v>747</v>
      </c>
      <c r="AM1" s="13" t="s">
        <v>748</v>
      </c>
      <c r="AN1" s="13" t="s">
        <v>749</v>
      </c>
      <c r="AO1" s="13" t="s">
        <v>750</v>
      </c>
      <c r="AP1" s="13" t="s">
        <v>751</v>
      </c>
      <c r="AQ1" s="13" t="s">
        <v>752</v>
      </c>
      <c r="AR1" s="13" t="s">
        <v>753</v>
      </c>
      <c r="AS1" s="13" t="s">
        <v>754</v>
      </c>
      <c r="AT1" s="13" t="s">
        <v>755</v>
      </c>
      <c r="AU1" s="13" t="s">
        <v>756</v>
      </c>
      <c r="AV1" s="13" t="s">
        <v>757</v>
      </c>
      <c r="AW1" s="13" t="s">
        <v>758</v>
      </c>
      <c r="AX1" s="13" t="s">
        <v>759</v>
      </c>
      <c r="AY1" s="13" t="s">
        <v>760</v>
      </c>
      <c r="AZ1" s="13" t="s">
        <v>761</v>
      </c>
      <c r="BA1" s="13" t="s">
        <v>762</v>
      </c>
      <c r="BB1" s="13" t="s">
        <v>763</v>
      </c>
      <c r="BC1" s="13" t="s">
        <v>764</v>
      </c>
      <c r="BD1" s="13" t="s">
        <v>765</v>
      </c>
      <c r="BE1" s="13" t="s">
        <v>766</v>
      </c>
      <c r="BF1" s="13" t="s">
        <v>767</v>
      </c>
      <c r="BG1" s="13" t="s">
        <v>768</v>
      </c>
      <c r="BH1" s="13" t="s">
        <v>769</v>
      </c>
      <c r="BI1" s="13" t="s">
        <v>770</v>
      </c>
      <c r="BJ1" s="13" t="s">
        <v>771</v>
      </c>
      <c r="BK1" s="13" t="s">
        <v>772</v>
      </c>
      <c r="BL1" s="13" t="s">
        <v>773</v>
      </c>
      <c r="BM1" s="13" t="s">
        <v>774</v>
      </c>
      <c r="BN1" s="13" t="s">
        <v>775</v>
      </c>
      <c r="BO1" s="13" t="s">
        <v>776</v>
      </c>
      <c r="BP1" s="13" t="s">
        <v>777</v>
      </c>
      <c r="BQ1" s="13" t="s">
        <v>778</v>
      </c>
    </row>
  </sheetData>
  <drawing r:id="rId2"/>
  <legacyDrawing r:id="rId3"/>
</worksheet>
</file>