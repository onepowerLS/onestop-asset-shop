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AC Material Database and Track" sheetId="1" r:id="rId5"/>
    <sheet state="visible" name="Form Responses 1" sheetId="2" r:id="rId6"/>
  </sheets>
  <definedNames/>
  <calcPr/>
</workbook>
</file>

<file path=xl/sharedStrings.xml><?xml version="1.0" encoding="utf-8"?>
<sst xmlns="http://schemas.openxmlformats.org/spreadsheetml/2006/main" count="348" uniqueCount="183">
  <si>
    <t>Date Captured</t>
  </si>
  <si>
    <t>Item</t>
  </si>
  <si>
    <t>Item Description</t>
  </si>
  <si>
    <t>Unit</t>
  </si>
  <si>
    <t>Quantity Procured</t>
  </si>
  <si>
    <t>Quantity Balance in Store</t>
  </si>
  <si>
    <t>MAT</t>
  </si>
  <si>
    <t>TLH</t>
  </si>
  <si>
    <t>MAS</t>
  </si>
  <si>
    <t>SHG</t>
  </si>
  <si>
    <t>LEB</t>
  </si>
  <si>
    <t>RIB</t>
  </si>
  <si>
    <t>KET</t>
  </si>
  <si>
    <t>SEH</t>
  </si>
  <si>
    <t>TOS</t>
  </si>
  <si>
    <t>SEB</t>
  </si>
  <si>
    <t>MAK</t>
  </si>
  <si>
    <t>BOB</t>
  </si>
  <si>
    <t>MET</t>
  </si>
  <si>
    <t>NKU</t>
  </si>
  <si>
    <t>TLH CLINIC</t>
  </si>
  <si>
    <t>HQ</t>
  </si>
  <si>
    <t>Cut 70mm Bare Copper Earth Wire</t>
  </si>
  <si>
    <t>70mm</t>
  </si>
  <si>
    <t>metres</t>
  </si>
  <si>
    <t>MC4 Inline PV Connector Female</t>
  </si>
  <si>
    <t>Female Connector</t>
  </si>
  <si>
    <t>pcs</t>
  </si>
  <si>
    <t>MC4 Inline PV Connector Male</t>
  </si>
  <si>
    <t>Male Connector</t>
  </si>
  <si>
    <t>Lug Crimp 70mm x 10mm</t>
  </si>
  <si>
    <t>70mm x 10mm</t>
  </si>
  <si>
    <t>Lug Crimp 70mm x 16mm</t>
  </si>
  <si>
    <t>70mm x 16mm</t>
  </si>
  <si>
    <t>Cylindrical Fuse 10 x 38mm 20A</t>
  </si>
  <si>
    <t>10 x 38mm 20A</t>
  </si>
  <si>
    <t>Gland Hellermann No BWR4</t>
  </si>
  <si>
    <t>No BWR4</t>
  </si>
  <si>
    <t>Shroud Hellermann No SHP4</t>
  </si>
  <si>
    <t>No SHP4</t>
  </si>
  <si>
    <t>M25 Compression Gland Nylon No2</t>
  </si>
  <si>
    <t>No2 PMGB25-18 Grey</t>
  </si>
  <si>
    <t>M32 Compression Gland Nylon No3</t>
  </si>
  <si>
    <t>No3 PMGB32-25 Grey</t>
  </si>
  <si>
    <t>M40 Compression Gland Nylon No4</t>
  </si>
  <si>
    <t>No4 PMGB40-32 Grey</t>
  </si>
  <si>
    <t>Tracker Dampers</t>
  </si>
  <si>
    <t>Steel Power Skirting</t>
  </si>
  <si>
    <t>90mm x 55mm x 3m</t>
  </si>
  <si>
    <t>End Caps</t>
  </si>
  <si>
    <t>PVC Male Adaptor</t>
  </si>
  <si>
    <t>50mm</t>
  </si>
  <si>
    <t>PVC Conduit</t>
  </si>
  <si>
    <t>25mm</t>
  </si>
  <si>
    <t>PVC Couplings</t>
  </si>
  <si>
    <t>Lug Crimp 16mm x 8mm</t>
  </si>
  <si>
    <t>16mm x 8mm</t>
  </si>
  <si>
    <t>Lug Crimp 25mm x 8mm</t>
  </si>
  <si>
    <t>25mm x 8mm</t>
  </si>
  <si>
    <t>Lug Crimp 35mm x 8mm</t>
  </si>
  <si>
    <t>35mm x 8mm</t>
  </si>
  <si>
    <t>Ferrule Crimp 2.5mm</t>
  </si>
  <si>
    <t>2.5mm</t>
  </si>
  <si>
    <t>Ferrule Crimp 4mm</t>
  </si>
  <si>
    <t>4mm</t>
  </si>
  <si>
    <t>Ferrule Crimp 1.5mm</t>
  </si>
  <si>
    <t>1.5mm</t>
  </si>
  <si>
    <t>Plug Top</t>
  </si>
  <si>
    <t>16A Rubber Black</t>
  </si>
  <si>
    <t xml:space="preserve">Gland PVC No 0 </t>
  </si>
  <si>
    <t>Black (Blue Rubber)</t>
  </si>
  <si>
    <t>Earth Spikes Econo</t>
  </si>
  <si>
    <t>M12 x 1.2m</t>
  </si>
  <si>
    <t>Pop Rivet Washer</t>
  </si>
  <si>
    <t>4.8mm</t>
  </si>
  <si>
    <t>Cut Surfix (Wire) black</t>
  </si>
  <si>
    <t>4.0mm x 2core</t>
  </si>
  <si>
    <t>Scandilux HVAC</t>
  </si>
  <si>
    <t>Indoor Unit SC 09 E-Pro</t>
  </si>
  <si>
    <t>Outdoor Unit SC 09 E-Pro</t>
  </si>
  <si>
    <t>20mm</t>
  </si>
  <si>
    <t>Earth Rod clamps</t>
  </si>
  <si>
    <t>Earth rod clamps</t>
  </si>
  <si>
    <t>Earth spikes rod</t>
  </si>
  <si>
    <t>Earth spikes rod 1.5m</t>
  </si>
  <si>
    <t>M12 Washer</t>
  </si>
  <si>
    <t>M12 x 24 x 3</t>
  </si>
  <si>
    <t>M6 x 25 Flange Screw</t>
  </si>
  <si>
    <t>M6 x 25 Flange Bolt</t>
  </si>
  <si>
    <t>M16 x 300 Hex Bolt</t>
  </si>
  <si>
    <t>M6 x 20mm Hex Bolt</t>
  </si>
  <si>
    <t>M8 x 20mm Flange Bolt</t>
  </si>
  <si>
    <t>M10 x 40mm Hex Bolt</t>
  </si>
  <si>
    <t>M12 x 40mm Flange Bolt</t>
  </si>
  <si>
    <t>M16 x 50mm Flange Bolt</t>
  </si>
  <si>
    <t>M20 x 80 Hex Bolt</t>
  </si>
  <si>
    <t>M4 x 25 Bolt</t>
  </si>
  <si>
    <t>M6 Flange nuts</t>
  </si>
  <si>
    <t>M8 Flange nuts</t>
  </si>
  <si>
    <t>M10 Flange nuts</t>
  </si>
  <si>
    <t>M12 Flange nuts</t>
  </si>
  <si>
    <t>M16 Flange nuts</t>
  </si>
  <si>
    <t>M4 Nyloc nut</t>
  </si>
  <si>
    <t>M16 Nyloc nut</t>
  </si>
  <si>
    <t>M16 Hex nut</t>
  </si>
  <si>
    <t>M20 Hex nut</t>
  </si>
  <si>
    <t>M6 washer fender</t>
  </si>
  <si>
    <t>M6 x 25 x 1.6</t>
  </si>
  <si>
    <t>M8 washer fender</t>
  </si>
  <si>
    <t>M8 x 25 x 2.0</t>
  </si>
  <si>
    <t>M4 washer fender</t>
  </si>
  <si>
    <t>M4 x 9 x 0.7</t>
  </si>
  <si>
    <t>M6 x 12.5 x 1.6</t>
  </si>
  <si>
    <t>M16 Washer</t>
  </si>
  <si>
    <t>M16 x 30 x 3</t>
  </si>
  <si>
    <t>M20 Washer</t>
  </si>
  <si>
    <t>M20 x 37 x 40</t>
  </si>
  <si>
    <t>Timestamp</t>
  </si>
  <si>
    <t>Email Address</t>
  </si>
  <si>
    <t>Full Names of Requester</t>
  </si>
  <si>
    <t>Items Requested</t>
  </si>
  <si>
    <t>Concession/Site</t>
  </si>
  <si>
    <t>Estimated Time of Dispatch to Site</t>
  </si>
  <si>
    <t>Name of Assigned Receiver on Site</t>
  </si>
  <si>
    <t xml:space="preserve">Email of Assigned Receiver on Site </t>
  </si>
  <si>
    <t>Notes</t>
  </si>
  <si>
    <t>Updated database</t>
  </si>
  <si>
    <t>matete@1pwrafrica.com</t>
  </si>
  <si>
    <t>MATETE NKHETHOA</t>
  </si>
  <si>
    <t>static slew-drive (1)
dumper mount upper side joiner plates (1set)
2m Earth Spikes from RET stock (12)</t>
  </si>
  <si>
    <t>Neo Makosholo</t>
  </si>
  <si>
    <t>neo@1pwrafrica.com</t>
  </si>
  <si>
    <t>static slew drive (1)
cable tray hanger (1)
power-house floor PV-cable input plate (1)
roof truss divider (1set)
E-stop holder (1)</t>
  </si>
  <si>
    <t xml:space="preserve">Mandla </t>
  </si>
  <si>
    <t>mandla@1pwrafrica.com</t>
  </si>
  <si>
    <t>serobanyane@1pwrafrica.com</t>
  </si>
  <si>
    <t>Neo Serobanyane</t>
  </si>
  <si>
    <t>Dampers (4)</t>
  </si>
  <si>
    <t>all requested items given</t>
  </si>
  <si>
    <t>komete@1pwrafrica.com</t>
  </si>
  <si>
    <t xml:space="preserve">Mokhethi Komete </t>
  </si>
  <si>
    <t>Pvc conduits 25 mm   ×2
P c conduits 20 mm    ×5
Earth spikes     2.5 m    ×5</t>
  </si>
  <si>
    <t>maks@1pwrafrica.com</t>
  </si>
  <si>
    <t>Makoanyane Khakanyo</t>
  </si>
  <si>
    <t>3m Connie's (4), 3m skirting (4), 2m  round bar (1), 20mm settles (20), carpet (off cut as discussed with Malikelle,air spike (1) pg7 glands No. 00 from procurement (24), white rubberized paint (1), hydro membrane (1), 500ml filler foam (1),  AAA Batteries (4), usb Cables (3), usb adapters (3), 70m air dec(1), NCU anemometer(1)</t>
  </si>
  <si>
    <t>Makoanyane</t>
  </si>
  <si>
    <t>1. Gutter joiners x 12.
2. Foam spray x 10.
3. Bathroom door lock handles x 2.
4. Main door lock x 1.
5. Jack hammer brushes x 1 &amp; (1 spare brushes).
6. Plumbing conduits.</t>
  </si>
  <si>
    <t>PVC conduits (20mm x 25, 25mm x5), wall box (4 x 2) x 1, LED lights x 4, orange toolbox ( with miscellaneous screws and bolts)</t>
  </si>
  <si>
    <t>Neo Makoasholo</t>
  </si>
  <si>
    <t>trusses (10), pile base clamps (20), cross member clamps (10), M10x50mm bolt and nut (18), M10x100mm bolt and nut (2)</t>
  </si>
  <si>
    <t>cable tray (1)</t>
  </si>
  <si>
    <t>ralekaota@1pwrafrica.com</t>
  </si>
  <si>
    <t xml:space="preserve">Lebohang Ralekaota </t>
  </si>
  <si>
    <t xml:space="preserve">Ready boards(15),u-nails(2 packets),steel nails(1 packet),saddles(1packet) and 1 step down transformer </t>
  </si>
  <si>
    <t xml:space="preserve">Lebohang </t>
  </si>
  <si>
    <t>Surge arrestors 12kv,70mm bare earth wire×30m,ready boards×15,1packet saddles,1packet steel nails,1 packet u nails</t>
  </si>
  <si>
    <t>makhoalinyane@1pwrafrica.com</t>
  </si>
  <si>
    <t xml:space="preserve">Teboho Makhoalinyane </t>
  </si>
  <si>
    <t xml:space="preserve">2 SYL batteries </t>
  </si>
  <si>
    <t xml:space="preserve">Taole Letsetsa </t>
  </si>
  <si>
    <t>letseka@1pwrafrica.com</t>
  </si>
  <si>
    <t>teboho@1pwrafrica.com</t>
  </si>
  <si>
    <t>Neo</t>
  </si>
  <si>
    <t>earth spike 1.5M, PVC conduit 25MM (2 Full lengths), Bare copper wire 25MM * 50M</t>
  </si>
  <si>
    <t>All items given</t>
  </si>
  <si>
    <t xml:space="preserve">20mm PVC conduit bundle (25 pipes)
Bare Copper Earth Wire 25mm x 100m
Stay Wire LV x100m
</t>
  </si>
  <si>
    <t xml:space="preserve"> Neo Makosholo</t>
  </si>
  <si>
    <t>neo@1pwafrica.com</t>
  </si>
  <si>
    <t>6mm insulated earth wire (green/yellow) x 100m
cable ties 4.8mmx300mm x400
MC4 connectors and adapters male and female x 16 each</t>
  </si>
  <si>
    <t>U bolts*6 and struts set x6</t>
  </si>
  <si>
    <t xml:space="preserve">Weather station screen </t>
  </si>
  <si>
    <t xml:space="preserve">2*outdoor Cam </t>
  </si>
  <si>
    <t xml:space="preserve">Katleho Thakholi </t>
  </si>
  <si>
    <t>thakholi@1pwrafrica.com</t>
  </si>
  <si>
    <t>pv wires black and red 100m, (2.5mm brown, 2.5mm blue, 2.5mm green/yellow house wire) all 100m, M12 washers x100, earth rod 1.5m x7, lightining protection rod x1, earth rod clamps x7, 20mm pvc conduit x25</t>
  </si>
  <si>
    <t>Teboho Noko</t>
  </si>
  <si>
    <t>2 Batterries (12V 200AH / 10HR) - SX12-200D for LEB Utilities Module</t>
  </si>
  <si>
    <t>Sula</t>
  </si>
  <si>
    <t>sula@1pwrafrica.com</t>
  </si>
  <si>
    <t>Given but they being to OnM</t>
  </si>
  <si>
    <t>Keketso Sula</t>
  </si>
  <si>
    <t>heat shrink tube 10mm, 70mm kapa all of them
ccg glands no4 x 4 
ccg glands no5 x 2
50mm insulated earth cable g/y x32m
double socket outlet x1
airdac 80m
riverts 4.8mmx12mm x100 (1packet
Tapeite 9m
Nylon glands 40mm x 6</t>
  </si>
  <si>
    <t>Neo@1pwrafrica.com</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</si>
</sst>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dd/yyyy"/>
    <numFmt numFmtId="165" formatCode="m/d/yyyy"/>
    <numFmt numFmtId="166" formatCode="m/d/yyyy h:mm:ss"/>
  </numFmts>
  <fonts count="4">
    <font>
      <sz val="10.0"/>
      <color rgb="FF000000"/>
      <name val="Arial"/>
      <scheme val="minor"/>
    </font>
    <font>
      <b/>
      <color theme="1"/>
      <name val="Arial"/>
      <scheme val="minor"/>
    </font>
    <font>
      <b/>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vertical="bottom"/>
    </xf>
    <xf borderId="0" fillId="0" fontId="3" numFmtId="0" xfId="0" applyAlignment="1" applyFont="1">
      <alignment readingOrder="0"/>
    </xf>
    <xf borderId="0" fillId="0" fontId="3" numFmtId="0" xfId="0" applyFont="1"/>
    <xf borderId="0" fillId="0" fontId="3" numFmtId="164" xfId="0" applyAlignment="1" applyFont="1" applyNumberFormat="1">
      <alignment readingOrder="0"/>
    </xf>
    <xf borderId="0" fillId="0" fontId="3" numFmtId="165" xfId="0" applyAlignment="1" applyFont="1" applyNumberFormat="1">
      <alignment readingOrder="0"/>
    </xf>
    <xf borderId="0" fillId="0" fontId="1" numFmtId="0" xfId="0" applyAlignment="1" applyFont="1">
      <alignment horizontal="center"/>
    </xf>
    <xf borderId="0" fillId="0" fontId="1" numFmtId="0" xfId="0" applyAlignment="1" applyFont="1">
      <alignment horizontal="center"/>
    </xf>
    <xf borderId="0" fillId="0" fontId="3" numFmtId="166" xfId="0" applyAlignment="1" applyFont="1" applyNumberFormat="1">
      <alignment readingOrder="0"/>
    </xf>
    <xf borderId="0" fillId="0" fontId="3" numFmtId="14" xfId="0" applyAlignment="1" applyFont="1" applyNumberFormat="1">
      <alignment readingOrder="0"/>
    </xf>
    <xf borderId="0" fillId="0" fontId="3"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7.25"/>
    <col customWidth="1" min="2" max="2" width="28.25"/>
    <col customWidth="1" min="3" max="3" width="22.75"/>
    <col customWidth="1" min="4" max="4" width="9.88"/>
    <col customWidth="1" min="5" max="5" width="17.0"/>
    <col customWidth="1" min="6" max="6" width="21.63"/>
    <col customWidth="1" min="7" max="7" width="4.5"/>
    <col customWidth="1" min="8" max="8" width="4.25"/>
    <col customWidth="1" min="9" max="9" width="4.75"/>
    <col customWidth="1" min="10" max="10" width="4.63"/>
    <col customWidth="1" min="11" max="11" width="4.38"/>
    <col customWidth="1" min="12" max="12" width="3.88"/>
    <col customWidth="1" min="13" max="16" width="4.38"/>
    <col customWidth="1" min="17" max="18" width="4.75"/>
    <col customWidth="1" min="19" max="19" width="4.5"/>
    <col customWidth="1" min="20" max="20" width="4.63"/>
    <col customWidth="1" min="21" max="21" width="10.25"/>
  </cols>
  <sheetData>
    <row r="1">
      <c r="A1" s="1" t="s">
        <v>0</v>
      </c>
      <c r="B1" s="1" t="s">
        <v>1</v>
      </c>
      <c r="C1" s="1" t="s">
        <v>2</v>
      </c>
      <c r="D1" s="1" t="s">
        <v>3</v>
      </c>
      <c r="E1" s="1" t="s">
        <v>4</v>
      </c>
      <c r="F1" s="1"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1" t="s">
        <v>21</v>
      </c>
    </row>
    <row r="2">
      <c r="A2" s="3"/>
      <c r="B2" s="3" t="s">
        <v>22</v>
      </c>
      <c r="C2" s="3" t="s">
        <v>23</v>
      </c>
      <c r="D2" s="3" t="s">
        <v>24</v>
      </c>
      <c r="E2" s="3">
        <v>80.0</v>
      </c>
      <c r="F2" s="4">
        <f t="shared" ref="F2:F16" si="1">E2-(SUM(G2:U2))</f>
        <v>0</v>
      </c>
      <c r="N2" s="3">
        <v>80.0</v>
      </c>
    </row>
    <row r="3">
      <c r="A3" s="3"/>
      <c r="B3" s="3" t="s">
        <v>25</v>
      </c>
      <c r="C3" s="3" t="s">
        <v>26</v>
      </c>
      <c r="D3" s="3" t="s">
        <v>27</v>
      </c>
      <c r="E3" s="3">
        <v>180.0</v>
      </c>
      <c r="F3" s="4">
        <f t="shared" si="1"/>
        <v>0</v>
      </c>
      <c r="M3" s="3">
        <v>180.0</v>
      </c>
    </row>
    <row r="4">
      <c r="A4" s="3"/>
      <c r="B4" s="3" t="s">
        <v>28</v>
      </c>
      <c r="C4" s="3" t="s">
        <v>29</v>
      </c>
      <c r="D4" s="3" t="s">
        <v>27</v>
      </c>
      <c r="E4" s="3">
        <v>180.0</v>
      </c>
      <c r="F4" s="4">
        <f t="shared" si="1"/>
        <v>0</v>
      </c>
      <c r="M4" s="3">
        <v>180.0</v>
      </c>
    </row>
    <row r="5">
      <c r="A5" s="3"/>
      <c r="B5" s="3" t="s">
        <v>30</v>
      </c>
      <c r="C5" s="3" t="s">
        <v>31</v>
      </c>
      <c r="D5" s="3" t="s">
        <v>27</v>
      </c>
      <c r="E5" s="3">
        <v>276.0</v>
      </c>
      <c r="F5" s="4">
        <f t="shared" si="1"/>
        <v>276</v>
      </c>
    </row>
    <row r="6">
      <c r="A6" s="3"/>
      <c r="B6" s="3" t="s">
        <v>32</v>
      </c>
      <c r="C6" s="3" t="s">
        <v>33</v>
      </c>
      <c r="D6" s="3" t="s">
        <v>27</v>
      </c>
      <c r="E6" s="3">
        <v>96.0</v>
      </c>
      <c r="F6" s="4">
        <f t="shared" si="1"/>
        <v>96</v>
      </c>
    </row>
    <row r="7">
      <c r="A7" s="3"/>
      <c r="B7" s="3" t="s">
        <v>34</v>
      </c>
      <c r="C7" s="3" t="s">
        <v>35</v>
      </c>
      <c r="D7" s="3" t="s">
        <v>27</v>
      </c>
      <c r="E7" s="3">
        <v>12.0</v>
      </c>
      <c r="F7" s="4">
        <f t="shared" si="1"/>
        <v>12</v>
      </c>
    </row>
    <row r="8">
      <c r="A8" s="3"/>
      <c r="B8" s="3" t="s">
        <v>36</v>
      </c>
      <c r="C8" s="3" t="s">
        <v>37</v>
      </c>
      <c r="D8" s="3" t="s">
        <v>27</v>
      </c>
      <c r="E8" s="3">
        <v>30.0</v>
      </c>
      <c r="F8" s="4">
        <f t="shared" si="1"/>
        <v>27</v>
      </c>
      <c r="N8" s="3">
        <v>3.0</v>
      </c>
    </row>
    <row r="9">
      <c r="A9" s="3"/>
      <c r="B9" s="3" t="s">
        <v>38</v>
      </c>
      <c r="C9" s="3" t="s">
        <v>39</v>
      </c>
      <c r="D9" s="3" t="s">
        <v>27</v>
      </c>
      <c r="E9" s="3">
        <v>18.0</v>
      </c>
      <c r="F9" s="4">
        <f t="shared" si="1"/>
        <v>18</v>
      </c>
    </row>
    <row r="10">
      <c r="A10" s="3"/>
      <c r="B10" s="3" t="s">
        <v>40</v>
      </c>
      <c r="C10" s="3" t="s">
        <v>41</v>
      </c>
      <c r="D10" s="3" t="s">
        <v>27</v>
      </c>
      <c r="F10" s="4">
        <f t="shared" si="1"/>
        <v>0</v>
      </c>
    </row>
    <row r="11">
      <c r="A11" s="3"/>
      <c r="B11" s="3" t="s">
        <v>42</v>
      </c>
      <c r="C11" s="3" t="s">
        <v>43</v>
      </c>
      <c r="D11" s="3" t="s">
        <v>27</v>
      </c>
      <c r="E11" s="3">
        <v>6.0</v>
      </c>
      <c r="F11" s="4">
        <f t="shared" si="1"/>
        <v>6</v>
      </c>
    </row>
    <row r="12">
      <c r="A12" s="3"/>
      <c r="B12" s="3" t="s">
        <v>44</v>
      </c>
      <c r="C12" s="3" t="s">
        <v>45</v>
      </c>
      <c r="D12" s="3" t="s">
        <v>27</v>
      </c>
      <c r="E12" s="3">
        <v>30.0</v>
      </c>
      <c r="F12" s="4">
        <f t="shared" si="1"/>
        <v>30</v>
      </c>
    </row>
    <row r="13">
      <c r="A13" s="3"/>
      <c r="B13" s="3" t="s">
        <v>46</v>
      </c>
      <c r="C13" s="3" t="s">
        <v>46</v>
      </c>
      <c r="D13" s="3" t="s">
        <v>27</v>
      </c>
      <c r="E13" s="3">
        <v>40.0</v>
      </c>
      <c r="F13" s="4">
        <f t="shared" si="1"/>
        <v>24</v>
      </c>
      <c r="H13" s="3">
        <v>4.0</v>
      </c>
      <c r="M13" s="3">
        <v>4.0</v>
      </c>
      <c r="N13" s="3">
        <v>4.0</v>
      </c>
      <c r="Q13" s="3">
        <v>4.0</v>
      </c>
    </row>
    <row r="14">
      <c r="A14" s="5">
        <v>45295.0</v>
      </c>
      <c r="B14" s="3" t="s">
        <v>47</v>
      </c>
      <c r="C14" s="3" t="s">
        <v>48</v>
      </c>
      <c r="D14" s="3" t="s">
        <v>27</v>
      </c>
      <c r="E14" s="3">
        <v>50.0</v>
      </c>
      <c r="F14" s="4">
        <f t="shared" si="1"/>
        <v>50</v>
      </c>
    </row>
    <row r="15">
      <c r="A15" s="5">
        <v>45295.0</v>
      </c>
      <c r="B15" s="3" t="s">
        <v>49</v>
      </c>
      <c r="C15" s="3" t="s">
        <v>49</v>
      </c>
      <c r="D15" s="3" t="s">
        <v>27</v>
      </c>
      <c r="E15" s="3">
        <v>6.0</v>
      </c>
      <c r="F15" s="4">
        <f t="shared" si="1"/>
        <v>6</v>
      </c>
    </row>
    <row r="16">
      <c r="A16" s="5">
        <v>45295.0</v>
      </c>
      <c r="B16" s="3" t="s">
        <v>50</v>
      </c>
      <c r="C16" s="3" t="s">
        <v>51</v>
      </c>
      <c r="D16" s="3" t="s">
        <v>27</v>
      </c>
      <c r="E16" s="3">
        <v>6.0</v>
      </c>
      <c r="F16" s="4">
        <f t="shared" si="1"/>
        <v>5</v>
      </c>
      <c r="N16" s="3">
        <v>1.0</v>
      </c>
    </row>
    <row r="17">
      <c r="A17" s="5">
        <v>45295.0</v>
      </c>
      <c r="B17" s="3" t="s">
        <v>52</v>
      </c>
      <c r="C17" s="3" t="s">
        <v>53</v>
      </c>
      <c r="D17" s="3" t="s">
        <v>27</v>
      </c>
      <c r="E17" s="3">
        <v>3.0</v>
      </c>
      <c r="F17" s="4">
        <f t="shared" ref="F17:F143" si="2">E17-(SUM(G17:V17))</f>
        <v>3</v>
      </c>
    </row>
    <row r="18">
      <c r="A18" s="5">
        <v>45295.0</v>
      </c>
      <c r="B18" s="3" t="s">
        <v>54</v>
      </c>
      <c r="C18" s="3" t="s">
        <v>53</v>
      </c>
      <c r="D18" s="3" t="s">
        <v>27</v>
      </c>
      <c r="E18" s="3">
        <v>22.0</v>
      </c>
      <c r="F18" s="4">
        <f t="shared" si="2"/>
        <v>22</v>
      </c>
    </row>
    <row r="19">
      <c r="A19" s="5">
        <v>45295.0</v>
      </c>
      <c r="B19" s="3" t="s">
        <v>55</v>
      </c>
      <c r="C19" s="3" t="s">
        <v>56</v>
      </c>
      <c r="D19" s="3" t="s">
        <v>27</v>
      </c>
      <c r="E19" s="3">
        <v>10.0</v>
      </c>
      <c r="F19" s="4">
        <f t="shared" si="2"/>
        <v>10</v>
      </c>
    </row>
    <row r="20">
      <c r="A20" s="5">
        <v>45295.0</v>
      </c>
      <c r="B20" s="3" t="s">
        <v>57</v>
      </c>
      <c r="C20" s="3" t="s">
        <v>58</v>
      </c>
      <c r="D20" s="3" t="s">
        <v>27</v>
      </c>
      <c r="E20" s="3">
        <v>10.0</v>
      </c>
      <c r="F20" s="4">
        <f t="shared" si="2"/>
        <v>10</v>
      </c>
    </row>
    <row r="21">
      <c r="A21" s="5">
        <v>45295.0</v>
      </c>
      <c r="B21" s="3" t="s">
        <v>59</v>
      </c>
      <c r="C21" s="3" t="s">
        <v>60</v>
      </c>
      <c r="D21" s="3" t="s">
        <v>27</v>
      </c>
      <c r="E21" s="3">
        <v>10.0</v>
      </c>
      <c r="F21" s="4">
        <f t="shared" si="2"/>
        <v>0</v>
      </c>
      <c r="N21" s="3">
        <v>10.0</v>
      </c>
    </row>
    <row r="22">
      <c r="A22" s="5">
        <v>45295.0</v>
      </c>
      <c r="B22" s="3" t="s">
        <v>61</v>
      </c>
      <c r="C22" s="3" t="s">
        <v>62</v>
      </c>
      <c r="D22" s="3" t="s">
        <v>27</v>
      </c>
      <c r="E22" s="3">
        <v>20.0</v>
      </c>
      <c r="F22" s="4">
        <f t="shared" si="2"/>
        <v>20</v>
      </c>
    </row>
    <row r="23">
      <c r="A23" s="5">
        <v>45295.0</v>
      </c>
      <c r="B23" s="3" t="s">
        <v>63</v>
      </c>
      <c r="C23" s="3" t="s">
        <v>64</v>
      </c>
      <c r="D23" s="3" t="s">
        <v>27</v>
      </c>
      <c r="E23" s="3">
        <v>12.0</v>
      </c>
      <c r="F23" s="4">
        <f t="shared" si="2"/>
        <v>12</v>
      </c>
    </row>
    <row r="24">
      <c r="A24" s="5">
        <v>45295.0</v>
      </c>
      <c r="B24" s="3" t="s">
        <v>65</v>
      </c>
      <c r="C24" s="3" t="s">
        <v>66</v>
      </c>
      <c r="D24" s="3" t="s">
        <v>27</v>
      </c>
      <c r="E24" s="3">
        <v>20.0</v>
      </c>
      <c r="F24" s="4">
        <f t="shared" si="2"/>
        <v>20</v>
      </c>
    </row>
    <row r="25">
      <c r="A25" s="5">
        <v>45295.0</v>
      </c>
      <c r="B25" s="3" t="s">
        <v>67</v>
      </c>
      <c r="C25" s="3" t="s">
        <v>68</v>
      </c>
      <c r="D25" s="3" t="s">
        <v>27</v>
      </c>
      <c r="E25" s="3">
        <v>12.0</v>
      </c>
      <c r="F25" s="4">
        <f t="shared" si="2"/>
        <v>12</v>
      </c>
    </row>
    <row r="26">
      <c r="A26" s="5">
        <v>45295.0</v>
      </c>
      <c r="B26" s="3" t="s">
        <v>36</v>
      </c>
      <c r="C26" s="3" t="s">
        <v>37</v>
      </c>
      <c r="D26" s="3" t="s">
        <v>27</v>
      </c>
      <c r="E26" s="3">
        <v>2.0</v>
      </c>
      <c r="F26" s="4">
        <f t="shared" si="2"/>
        <v>2</v>
      </c>
    </row>
    <row r="27">
      <c r="A27" s="5">
        <v>45295.0</v>
      </c>
      <c r="B27" s="3" t="s">
        <v>38</v>
      </c>
      <c r="C27" s="3" t="s">
        <v>39</v>
      </c>
      <c r="D27" s="3" t="s">
        <v>27</v>
      </c>
      <c r="E27" s="3">
        <v>2.0</v>
      </c>
      <c r="F27" s="4">
        <f t="shared" si="2"/>
        <v>2</v>
      </c>
    </row>
    <row r="28">
      <c r="A28" s="5">
        <v>45295.0</v>
      </c>
      <c r="B28" s="3" t="s">
        <v>69</v>
      </c>
      <c r="C28" s="3" t="s">
        <v>70</v>
      </c>
      <c r="D28" s="3" t="s">
        <v>27</v>
      </c>
      <c r="E28" s="3">
        <v>24.0</v>
      </c>
      <c r="F28" s="4">
        <f t="shared" si="2"/>
        <v>24</v>
      </c>
    </row>
    <row r="29">
      <c r="A29" s="5">
        <v>45295.0</v>
      </c>
      <c r="B29" s="3" t="s">
        <v>71</v>
      </c>
      <c r="C29" s="3" t="s">
        <v>72</v>
      </c>
      <c r="D29" s="3" t="s">
        <v>27</v>
      </c>
      <c r="E29" s="3">
        <v>4.0</v>
      </c>
      <c r="F29" s="4">
        <f t="shared" si="2"/>
        <v>4</v>
      </c>
    </row>
    <row r="30">
      <c r="A30" s="5">
        <v>45295.0</v>
      </c>
      <c r="B30" s="3" t="s">
        <v>73</v>
      </c>
      <c r="C30" s="3" t="s">
        <v>74</v>
      </c>
      <c r="D30" s="3" t="s">
        <v>27</v>
      </c>
      <c r="E30" s="3">
        <v>400.0</v>
      </c>
      <c r="F30" s="4">
        <f t="shared" si="2"/>
        <v>400</v>
      </c>
    </row>
    <row r="31">
      <c r="A31" s="5">
        <v>45295.0</v>
      </c>
      <c r="B31" s="3" t="s">
        <v>75</v>
      </c>
      <c r="C31" s="3" t="s">
        <v>76</v>
      </c>
      <c r="D31" s="3" t="s">
        <v>24</v>
      </c>
      <c r="E31" s="3">
        <v>20.0</v>
      </c>
      <c r="F31" s="4">
        <f t="shared" si="2"/>
        <v>10</v>
      </c>
      <c r="N31" s="3">
        <v>10.0</v>
      </c>
    </row>
    <row r="32">
      <c r="A32" s="5">
        <v>45314.0</v>
      </c>
      <c r="B32" s="3" t="s">
        <v>77</v>
      </c>
      <c r="C32" s="3" t="s">
        <v>78</v>
      </c>
      <c r="D32" s="3" t="s">
        <v>27</v>
      </c>
      <c r="E32" s="3">
        <v>10.0</v>
      </c>
      <c r="F32" s="4">
        <f t="shared" si="2"/>
        <v>9</v>
      </c>
      <c r="V32" s="3">
        <v>1.0</v>
      </c>
    </row>
    <row r="33">
      <c r="A33" s="5">
        <v>45314.0</v>
      </c>
      <c r="B33" s="3" t="s">
        <v>77</v>
      </c>
      <c r="C33" s="3" t="s">
        <v>79</v>
      </c>
      <c r="D33" s="3" t="s">
        <v>27</v>
      </c>
      <c r="E33" s="3">
        <v>9.0</v>
      </c>
      <c r="F33" s="4">
        <f t="shared" si="2"/>
        <v>8</v>
      </c>
      <c r="V33" s="3">
        <v>1.0</v>
      </c>
    </row>
    <row r="34">
      <c r="A34" s="6">
        <v>45944.0</v>
      </c>
      <c r="B34" s="3" t="s">
        <v>52</v>
      </c>
      <c r="C34" s="3" t="s">
        <v>80</v>
      </c>
      <c r="D34" s="3" t="s">
        <v>27</v>
      </c>
      <c r="E34" s="3">
        <f>25+25</f>
        <v>50</v>
      </c>
      <c r="F34" s="4">
        <f t="shared" si="2"/>
        <v>0</v>
      </c>
      <c r="K34" s="4">
        <f>25</f>
        <v>25</v>
      </c>
      <c r="L34" s="3">
        <v>25.0</v>
      </c>
    </row>
    <row r="35">
      <c r="A35" s="6">
        <v>45944.0</v>
      </c>
      <c r="B35" s="3" t="s">
        <v>81</v>
      </c>
      <c r="C35" s="3" t="s">
        <v>82</v>
      </c>
      <c r="D35" s="3" t="s">
        <v>27</v>
      </c>
      <c r="E35" s="3">
        <v>7.0</v>
      </c>
      <c r="F35" s="4">
        <f t="shared" si="2"/>
        <v>0</v>
      </c>
      <c r="K35" s="4">
        <f>7</f>
        <v>7</v>
      </c>
    </row>
    <row r="36">
      <c r="A36" s="6">
        <v>45944.0</v>
      </c>
      <c r="B36" s="3" t="s">
        <v>83</v>
      </c>
      <c r="C36" s="3" t="s">
        <v>84</v>
      </c>
      <c r="D36" s="3" t="s">
        <v>27</v>
      </c>
      <c r="E36" s="3">
        <v>7.0</v>
      </c>
      <c r="F36" s="4">
        <f t="shared" si="2"/>
        <v>0</v>
      </c>
      <c r="K36" s="3">
        <v>7.0</v>
      </c>
    </row>
    <row r="37">
      <c r="A37" s="6">
        <v>45944.0</v>
      </c>
      <c r="B37" s="3" t="s">
        <v>85</v>
      </c>
      <c r="C37" s="3" t="s">
        <v>86</v>
      </c>
      <c r="D37" s="3" t="s">
        <v>27</v>
      </c>
      <c r="E37" s="3">
        <f>322</f>
        <v>322</v>
      </c>
      <c r="F37" s="4">
        <f t="shared" si="2"/>
        <v>222</v>
      </c>
      <c r="K37" s="4">
        <f>100</f>
        <v>100</v>
      </c>
    </row>
    <row r="38">
      <c r="A38" s="6">
        <v>45944.0</v>
      </c>
      <c r="B38" s="3" t="s">
        <v>87</v>
      </c>
      <c r="C38" s="3" t="s">
        <v>88</v>
      </c>
      <c r="D38" s="3" t="s">
        <v>27</v>
      </c>
      <c r="E38" s="4">
        <f>560</f>
        <v>560</v>
      </c>
      <c r="F38" s="4">
        <f t="shared" si="2"/>
        <v>560</v>
      </c>
    </row>
    <row r="39">
      <c r="A39" s="6">
        <v>45944.0</v>
      </c>
      <c r="B39" s="3" t="s">
        <v>89</v>
      </c>
      <c r="C39" s="3" t="s">
        <v>89</v>
      </c>
      <c r="D39" s="3" t="s">
        <v>27</v>
      </c>
      <c r="E39" s="3">
        <f>56</f>
        <v>56</v>
      </c>
      <c r="F39" s="4">
        <f t="shared" si="2"/>
        <v>56</v>
      </c>
    </row>
    <row r="40">
      <c r="A40" s="6">
        <v>45944.0</v>
      </c>
      <c r="B40" s="3" t="s">
        <v>90</v>
      </c>
      <c r="C40" s="3" t="s">
        <v>90</v>
      </c>
      <c r="D40" s="3" t="s">
        <v>27</v>
      </c>
      <c r="E40" s="3">
        <f>399</f>
        <v>399</v>
      </c>
      <c r="F40" s="4">
        <f t="shared" si="2"/>
        <v>399</v>
      </c>
    </row>
    <row r="41">
      <c r="A41" s="6">
        <v>45944.0</v>
      </c>
      <c r="B41" s="3" t="s">
        <v>91</v>
      </c>
      <c r="C41" s="3" t="s">
        <v>91</v>
      </c>
      <c r="D41" s="3" t="s">
        <v>27</v>
      </c>
      <c r="E41" s="4">
        <f>560</f>
        <v>560</v>
      </c>
      <c r="F41" s="4">
        <f t="shared" si="2"/>
        <v>560</v>
      </c>
    </row>
    <row r="42">
      <c r="A42" s="6">
        <v>45944.0</v>
      </c>
      <c r="B42" s="3" t="s">
        <v>92</v>
      </c>
      <c r="C42" s="3" t="s">
        <v>92</v>
      </c>
      <c r="D42" s="3" t="s">
        <v>27</v>
      </c>
      <c r="E42" s="3">
        <v>28.0</v>
      </c>
      <c r="F42" s="4">
        <f t="shared" si="2"/>
        <v>28</v>
      </c>
    </row>
    <row r="43">
      <c r="A43" s="6">
        <v>45944.0</v>
      </c>
      <c r="B43" s="3" t="s">
        <v>93</v>
      </c>
      <c r="C43" s="3" t="s">
        <v>93</v>
      </c>
      <c r="D43" s="3" t="s">
        <v>27</v>
      </c>
      <c r="E43" s="4">
        <f>322</f>
        <v>322</v>
      </c>
      <c r="F43" s="4">
        <f t="shared" si="2"/>
        <v>322</v>
      </c>
    </row>
    <row r="44">
      <c r="A44" s="6">
        <v>45944.0</v>
      </c>
      <c r="B44" s="3" t="s">
        <v>94</v>
      </c>
      <c r="C44" s="3" t="s">
        <v>94</v>
      </c>
      <c r="D44" s="3" t="s">
        <v>27</v>
      </c>
      <c r="E44" s="4">
        <f>994</f>
        <v>994</v>
      </c>
      <c r="F44" s="4">
        <f t="shared" si="2"/>
        <v>994</v>
      </c>
    </row>
    <row r="45">
      <c r="A45" s="6">
        <v>45944.0</v>
      </c>
      <c r="B45" s="3" t="s">
        <v>95</v>
      </c>
      <c r="C45" s="3" t="s">
        <v>95</v>
      </c>
      <c r="D45" s="3" t="s">
        <v>27</v>
      </c>
      <c r="E45" s="4">
        <f>28</f>
        <v>28</v>
      </c>
      <c r="F45" s="4">
        <f t="shared" si="2"/>
        <v>28</v>
      </c>
    </row>
    <row r="46">
      <c r="A46" s="6">
        <v>45944.0</v>
      </c>
      <c r="B46" s="3" t="s">
        <v>96</v>
      </c>
      <c r="C46" s="3" t="s">
        <v>96</v>
      </c>
      <c r="D46" s="3" t="s">
        <v>27</v>
      </c>
      <c r="E46" s="3">
        <v>14.0</v>
      </c>
      <c r="F46" s="4">
        <f t="shared" si="2"/>
        <v>14</v>
      </c>
    </row>
    <row r="47">
      <c r="A47" s="6">
        <v>45944.0</v>
      </c>
      <c r="B47" s="3" t="s">
        <v>97</v>
      </c>
      <c r="C47" s="3" t="s">
        <v>97</v>
      </c>
      <c r="D47" s="3" t="s">
        <v>27</v>
      </c>
      <c r="E47" s="3">
        <v>1036.0</v>
      </c>
      <c r="F47" s="4">
        <f t="shared" si="2"/>
        <v>1036</v>
      </c>
    </row>
    <row r="48">
      <c r="A48" s="6">
        <v>45944.0</v>
      </c>
      <c r="B48" s="3" t="s">
        <v>98</v>
      </c>
      <c r="C48" s="3" t="s">
        <v>98</v>
      </c>
      <c r="D48" s="3" t="s">
        <v>27</v>
      </c>
      <c r="E48" s="4">
        <f>560</f>
        <v>560</v>
      </c>
      <c r="F48" s="4">
        <f t="shared" si="2"/>
        <v>560</v>
      </c>
    </row>
    <row r="49">
      <c r="A49" s="6">
        <v>45944.0</v>
      </c>
      <c r="B49" s="3" t="s">
        <v>99</v>
      </c>
      <c r="C49" s="3" t="s">
        <v>99</v>
      </c>
      <c r="D49" s="3" t="s">
        <v>27</v>
      </c>
      <c r="E49" s="4">
        <f>70</f>
        <v>70</v>
      </c>
      <c r="F49" s="4">
        <f t="shared" si="2"/>
        <v>70</v>
      </c>
    </row>
    <row r="50">
      <c r="A50" s="6">
        <v>45944.0</v>
      </c>
      <c r="B50" s="3" t="s">
        <v>100</v>
      </c>
      <c r="C50" s="3" t="s">
        <v>100</v>
      </c>
      <c r="D50" s="3" t="s">
        <v>27</v>
      </c>
      <c r="E50" s="4">
        <f>686</f>
        <v>686</v>
      </c>
      <c r="F50" s="4">
        <f t="shared" si="2"/>
        <v>686</v>
      </c>
    </row>
    <row r="51">
      <c r="A51" s="6">
        <v>45944.0</v>
      </c>
      <c r="B51" s="3" t="s">
        <v>101</v>
      </c>
      <c r="C51" s="3" t="s">
        <v>101</v>
      </c>
      <c r="D51" s="3" t="s">
        <v>27</v>
      </c>
      <c r="E51" s="4">
        <f>1001</f>
        <v>1001</v>
      </c>
      <c r="F51" s="4">
        <f t="shared" si="2"/>
        <v>1001</v>
      </c>
    </row>
    <row r="52">
      <c r="A52" s="6">
        <v>45944.0</v>
      </c>
      <c r="B52" s="3" t="s">
        <v>102</v>
      </c>
      <c r="C52" s="3" t="s">
        <v>102</v>
      </c>
      <c r="D52" s="3" t="s">
        <v>27</v>
      </c>
      <c r="E52" s="3">
        <f>14</f>
        <v>14</v>
      </c>
      <c r="F52" s="4">
        <f t="shared" si="2"/>
        <v>14</v>
      </c>
    </row>
    <row r="53">
      <c r="A53" s="6">
        <v>45944.0</v>
      </c>
      <c r="B53" s="3" t="s">
        <v>103</v>
      </c>
      <c r="C53" s="3" t="s">
        <v>103</v>
      </c>
      <c r="D53" s="3" t="s">
        <v>27</v>
      </c>
      <c r="E53" s="4">
        <f>56</f>
        <v>56</v>
      </c>
      <c r="F53" s="4">
        <f t="shared" si="2"/>
        <v>56</v>
      </c>
    </row>
    <row r="54">
      <c r="A54" s="6">
        <v>45944.0</v>
      </c>
      <c r="B54" s="3" t="s">
        <v>104</v>
      </c>
      <c r="C54" s="3" t="s">
        <v>104</v>
      </c>
      <c r="D54" s="3" t="s">
        <v>27</v>
      </c>
      <c r="E54" s="4">
        <f>112</f>
        <v>112</v>
      </c>
      <c r="F54" s="4">
        <f t="shared" si="2"/>
        <v>112</v>
      </c>
    </row>
    <row r="55">
      <c r="A55" s="6">
        <v>45944.0</v>
      </c>
      <c r="B55" s="3" t="s">
        <v>105</v>
      </c>
      <c r="C55" s="3" t="s">
        <v>105</v>
      </c>
      <c r="D55" s="3" t="s">
        <v>27</v>
      </c>
      <c r="E55" s="4">
        <f>28</f>
        <v>28</v>
      </c>
      <c r="F55" s="4">
        <f t="shared" si="2"/>
        <v>28</v>
      </c>
    </row>
    <row r="56">
      <c r="A56" s="6">
        <v>45944.0</v>
      </c>
      <c r="B56" s="3" t="s">
        <v>106</v>
      </c>
      <c r="C56" s="3" t="s">
        <v>107</v>
      </c>
      <c r="D56" s="3" t="s">
        <v>27</v>
      </c>
      <c r="E56" s="4">
        <f t="shared" ref="E56:E57" si="3">560</f>
        <v>560</v>
      </c>
      <c r="F56" s="4">
        <f t="shared" si="2"/>
        <v>560</v>
      </c>
    </row>
    <row r="57">
      <c r="A57" s="6">
        <v>45944.0</v>
      </c>
      <c r="B57" s="3" t="s">
        <v>108</v>
      </c>
      <c r="C57" s="3" t="s">
        <v>109</v>
      </c>
      <c r="D57" s="3" t="s">
        <v>27</v>
      </c>
      <c r="E57" s="4">
        <f t="shared" si="3"/>
        <v>560</v>
      </c>
      <c r="F57" s="4">
        <f t="shared" si="2"/>
        <v>560</v>
      </c>
    </row>
    <row r="58">
      <c r="A58" s="6">
        <v>45944.0</v>
      </c>
      <c r="B58" s="3" t="s">
        <v>110</v>
      </c>
      <c r="C58" s="3" t="s">
        <v>111</v>
      </c>
      <c r="D58" s="3" t="s">
        <v>27</v>
      </c>
      <c r="E58" s="4">
        <f>14</f>
        <v>14</v>
      </c>
      <c r="F58" s="4">
        <f t="shared" si="2"/>
        <v>14</v>
      </c>
    </row>
    <row r="59">
      <c r="A59" s="6">
        <v>45944.0</v>
      </c>
      <c r="B59" s="3" t="s">
        <v>106</v>
      </c>
      <c r="C59" s="3" t="s">
        <v>112</v>
      </c>
      <c r="D59" s="3" t="s">
        <v>27</v>
      </c>
      <c r="E59" s="3">
        <f>112</f>
        <v>112</v>
      </c>
      <c r="F59" s="4">
        <f t="shared" si="2"/>
        <v>112</v>
      </c>
    </row>
    <row r="60">
      <c r="A60" s="6">
        <v>45944.0</v>
      </c>
      <c r="B60" s="3" t="s">
        <v>113</v>
      </c>
      <c r="C60" s="3" t="s">
        <v>114</v>
      </c>
      <c r="D60" s="3" t="s">
        <v>27</v>
      </c>
      <c r="E60" s="4">
        <f>944</f>
        <v>944</v>
      </c>
      <c r="F60" s="4">
        <f t="shared" si="2"/>
        <v>944</v>
      </c>
    </row>
    <row r="61">
      <c r="A61" s="6">
        <v>45944.0</v>
      </c>
      <c r="B61" s="3" t="s">
        <v>115</v>
      </c>
      <c r="C61" s="3" t="s">
        <v>116</v>
      </c>
      <c r="D61" s="3" t="s">
        <v>27</v>
      </c>
      <c r="E61" s="4">
        <f>84</f>
        <v>84</v>
      </c>
      <c r="F61" s="4">
        <f t="shared" si="2"/>
        <v>84</v>
      </c>
    </row>
    <row r="62">
      <c r="F62" s="4">
        <f t="shared" si="2"/>
        <v>0</v>
      </c>
    </row>
    <row r="63">
      <c r="F63" s="4">
        <f t="shared" si="2"/>
        <v>0</v>
      </c>
    </row>
    <row r="64">
      <c r="F64" s="4">
        <f t="shared" si="2"/>
        <v>0</v>
      </c>
    </row>
    <row r="65">
      <c r="F65" s="4">
        <f t="shared" si="2"/>
        <v>0</v>
      </c>
    </row>
    <row r="66">
      <c r="F66" s="4">
        <f t="shared" si="2"/>
        <v>0</v>
      </c>
    </row>
    <row r="67">
      <c r="F67" s="4">
        <f t="shared" si="2"/>
        <v>0</v>
      </c>
    </row>
    <row r="68">
      <c r="F68" s="4">
        <f t="shared" si="2"/>
        <v>0</v>
      </c>
    </row>
    <row r="69">
      <c r="F69" s="4">
        <f t="shared" si="2"/>
        <v>0</v>
      </c>
    </row>
    <row r="70">
      <c r="F70" s="4">
        <f t="shared" si="2"/>
        <v>0</v>
      </c>
    </row>
    <row r="71">
      <c r="F71" s="4">
        <f t="shared" si="2"/>
        <v>0</v>
      </c>
    </row>
    <row r="72">
      <c r="F72" s="4">
        <f t="shared" si="2"/>
        <v>0</v>
      </c>
    </row>
    <row r="73">
      <c r="F73" s="4">
        <f t="shared" si="2"/>
        <v>0</v>
      </c>
    </row>
    <row r="74">
      <c r="F74" s="4">
        <f t="shared" si="2"/>
        <v>0</v>
      </c>
    </row>
    <row r="75">
      <c r="F75" s="4">
        <f t="shared" si="2"/>
        <v>0</v>
      </c>
    </row>
    <row r="76">
      <c r="F76" s="4">
        <f t="shared" si="2"/>
        <v>0</v>
      </c>
    </row>
    <row r="77">
      <c r="F77" s="4">
        <f t="shared" si="2"/>
        <v>0</v>
      </c>
    </row>
    <row r="78">
      <c r="F78" s="4">
        <f t="shared" si="2"/>
        <v>0</v>
      </c>
    </row>
    <row r="79">
      <c r="F79" s="4">
        <f t="shared" si="2"/>
        <v>0</v>
      </c>
    </row>
    <row r="80">
      <c r="F80" s="4">
        <f t="shared" si="2"/>
        <v>0</v>
      </c>
    </row>
    <row r="81">
      <c r="F81" s="4">
        <f t="shared" si="2"/>
        <v>0</v>
      </c>
    </row>
    <row r="82">
      <c r="F82" s="4">
        <f t="shared" si="2"/>
        <v>0</v>
      </c>
    </row>
    <row r="83">
      <c r="F83" s="4">
        <f t="shared" si="2"/>
        <v>0</v>
      </c>
    </row>
    <row r="84">
      <c r="F84" s="4">
        <f t="shared" si="2"/>
        <v>0</v>
      </c>
    </row>
    <row r="85">
      <c r="F85" s="4">
        <f t="shared" si="2"/>
        <v>0</v>
      </c>
    </row>
    <row r="86">
      <c r="F86" s="4">
        <f t="shared" si="2"/>
        <v>0</v>
      </c>
    </row>
    <row r="87">
      <c r="F87" s="4">
        <f t="shared" si="2"/>
        <v>0</v>
      </c>
    </row>
    <row r="88">
      <c r="F88" s="4">
        <f t="shared" si="2"/>
        <v>0</v>
      </c>
    </row>
    <row r="89">
      <c r="F89" s="4">
        <f t="shared" si="2"/>
        <v>0</v>
      </c>
    </row>
    <row r="90">
      <c r="F90" s="4">
        <f t="shared" si="2"/>
        <v>0</v>
      </c>
    </row>
    <row r="91">
      <c r="F91" s="4">
        <f t="shared" si="2"/>
        <v>0</v>
      </c>
    </row>
    <row r="92">
      <c r="F92" s="4">
        <f t="shared" si="2"/>
        <v>0</v>
      </c>
    </row>
    <row r="93">
      <c r="F93" s="4">
        <f t="shared" si="2"/>
        <v>0</v>
      </c>
    </row>
    <row r="94">
      <c r="F94" s="4">
        <f t="shared" si="2"/>
        <v>0</v>
      </c>
    </row>
    <row r="95">
      <c r="F95" s="4">
        <f t="shared" si="2"/>
        <v>0</v>
      </c>
    </row>
    <row r="96">
      <c r="F96" s="4">
        <f t="shared" si="2"/>
        <v>0</v>
      </c>
    </row>
    <row r="97">
      <c r="F97" s="4">
        <f t="shared" si="2"/>
        <v>0</v>
      </c>
    </row>
    <row r="98">
      <c r="F98" s="4">
        <f t="shared" si="2"/>
        <v>0</v>
      </c>
    </row>
    <row r="99">
      <c r="F99" s="4">
        <f t="shared" si="2"/>
        <v>0</v>
      </c>
    </row>
    <row r="100">
      <c r="F100" s="4">
        <f t="shared" si="2"/>
        <v>0</v>
      </c>
    </row>
    <row r="101">
      <c r="F101" s="4">
        <f t="shared" si="2"/>
        <v>0</v>
      </c>
    </row>
    <row r="102">
      <c r="F102" s="4">
        <f t="shared" si="2"/>
        <v>0</v>
      </c>
    </row>
    <row r="103">
      <c r="F103" s="4">
        <f t="shared" si="2"/>
        <v>0</v>
      </c>
    </row>
    <row r="104">
      <c r="F104" s="4">
        <f t="shared" si="2"/>
        <v>0</v>
      </c>
    </row>
    <row r="105">
      <c r="F105" s="4">
        <f t="shared" si="2"/>
        <v>0</v>
      </c>
    </row>
    <row r="106">
      <c r="F106" s="4">
        <f t="shared" si="2"/>
        <v>0</v>
      </c>
    </row>
    <row r="107">
      <c r="F107" s="4">
        <f t="shared" si="2"/>
        <v>0</v>
      </c>
    </row>
    <row r="108">
      <c r="F108" s="4">
        <f t="shared" si="2"/>
        <v>0</v>
      </c>
    </row>
    <row r="109">
      <c r="F109" s="4">
        <f t="shared" si="2"/>
        <v>0</v>
      </c>
    </row>
    <row r="110">
      <c r="F110" s="4">
        <f t="shared" si="2"/>
        <v>0</v>
      </c>
    </row>
    <row r="111">
      <c r="F111" s="4">
        <f t="shared" si="2"/>
        <v>0</v>
      </c>
    </row>
    <row r="112">
      <c r="F112" s="4">
        <f t="shared" si="2"/>
        <v>0</v>
      </c>
    </row>
    <row r="113">
      <c r="F113" s="4">
        <f t="shared" si="2"/>
        <v>0</v>
      </c>
    </row>
    <row r="114">
      <c r="F114" s="4">
        <f t="shared" si="2"/>
        <v>0</v>
      </c>
    </row>
    <row r="115">
      <c r="F115" s="4">
        <f t="shared" si="2"/>
        <v>0</v>
      </c>
    </row>
    <row r="116">
      <c r="F116" s="4">
        <f t="shared" si="2"/>
        <v>0</v>
      </c>
    </row>
    <row r="117">
      <c r="F117" s="4">
        <f t="shared" si="2"/>
        <v>0</v>
      </c>
    </row>
    <row r="118">
      <c r="F118" s="4">
        <f t="shared" si="2"/>
        <v>0</v>
      </c>
    </row>
    <row r="119">
      <c r="F119" s="4">
        <f t="shared" si="2"/>
        <v>0</v>
      </c>
    </row>
    <row r="120">
      <c r="F120" s="4">
        <f t="shared" si="2"/>
        <v>0</v>
      </c>
    </row>
    <row r="121">
      <c r="F121" s="4">
        <f t="shared" si="2"/>
        <v>0</v>
      </c>
    </row>
    <row r="122">
      <c r="F122" s="4">
        <f t="shared" si="2"/>
        <v>0</v>
      </c>
    </row>
    <row r="123">
      <c r="F123" s="4">
        <f t="shared" si="2"/>
        <v>0</v>
      </c>
    </row>
    <row r="124">
      <c r="F124" s="4">
        <f t="shared" si="2"/>
        <v>0</v>
      </c>
    </row>
    <row r="125">
      <c r="F125" s="4">
        <f t="shared" si="2"/>
        <v>0</v>
      </c>
    </row>
    <row r="126">
      <c r="F126" s="4">
        <f t="shared" si="2"/>
        <v>0</v>
      </c>
    </row>
    <row r="127">
      <c r="F127" s="4">
        <f t="shared" si="2"/>
        <v>0</v>
      </c>
    </row>
    <row r="128">
      <c r="F128" s="4">
        <f t="shared" si="2"/>
        <v>0</v>
      </c>
    </row>
    <row r="129">
      <c r="F129" s="4">
        <f t="shared" si="2"/>
        <v>0</v>
      </c>
    </row>
    <row r="130">
      <c r="F130" s="4">
        <f t="shared" si="2"/>
        <v>0</v>
      </c>
    </row>
    <row r="131">
      <c r="F131" s="4">
        <f t="shared" si="2"/>
        <v>0</v>
      </c>
    </row>
    <row r="132">
      <c r="F132" s="4">
        <f t="shared" si="2"/>
        <v>0</v>
      </c>
    </row>
    <row r="133">
      <c r="F133" s="4">
        <f t="shared" si="2"/>
        <v>0</v>
      </c>
    </row>
    <row r="134">
      <c r="F134" s="4">
        <f t="shared" si="2"/>
        <v>0</v>
      </c>
    </row>
    <row r="135">
      <c r="F135" s="4">
        <f t="shared" si="2"/>
        <v>0</v>
      </c>
    </row>
    <row r="136">
      <c r="F136" s="4">
        <f t="shared" si="2"/>
        <v>0</v>
      </c>
    </row>
    <row r="137">
      <c r="F137" s="4">
        <f t="shared" si="2"/>
        <v>0</v>
      </c>
    </row>
    <row r="138">
      <c r="F138" s="4">
        <f t="shared" si="2"/>
        <v>0</v>
      </c>
    </row>
    <row r="139">
      <c r="F139" s="4">
        <f t="shared" si="2"/>
        <v>0</v>
      </c>
    </row>
    <row r="140">
      <c r="F140" s="4">
        <f t="shared" si="2"/>
        <v>0</v>
      </c>
    </row>
    <row r="141">
      <c r="F141" s="4">
        <f t="shared" si="2"/>
        <v>0</v>
      </c>
    </row>
    <row r="142">
      <c r="F142" s="4">
        <f t="shared" si="2"/>
        <v>0</v>
      </c>
    </row>
    <row r="143">
      <c r="F143" s="4">
        <f t="shared" si="2"/>
        <v>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8.5"/>
    <col customWidth="1" min="3" max="3" width="20.38"/>
    <col customWidth="1" min="4" max="4" width="33.25"/>
    <col customWidth="1" min="5" max="5" width="13.63"/>
    <col customWidth="1" min="6" max="6" width="28.13"/>
    <col customWidth="1" min="7" max="7" width="28.88"/>
    <col customWidth="1" min="8" max="8" width="29.25"/>
    <col customWidth="1" min="9" max="9" width="28.38"/>
    <col customWidth="1" min="10" max="14" width="18.88"/>
  </cols>
  <sheetData>
    <row r="1">
      <c r="A1" s="7" t="s">
        <v>117</v>
      </c>
      <c r="B1" s="7" t="s">
        <v>118</v>
      </c>
      <c r="C1" s="7" t="s">
        <v>119</v>
      </c>
      <c r="D1" s="7" t="s">
        <v>120</v>
      </c>
      <c r="E1" s="7" t="s">
        <v>121</v>
      </c>
      <c r="F1" s="7" t="s">
        <v>122</v>
      </c>
      <c r="G1" s="7" t="s">
        <v>123</v>
      </c>
      <c r="H1" s="7" t="s">
        <v>124</v>
      </c>
      <c r="I1" s="1" t="s">
        <v>125</v>
      </c>
      <c r="J1" s="1" t="s">
        <v>126</v>
      </c>
      <c r="K1" s="8"/>
      <c r="L1" s="8"/>
      <c r="M1" s="8"/>
      <c r="N1" s="8"/>
    </row>
    <row r="2">
      <c r="A2" s="9">
        <v>45239.69133368056</v>
      </c>
      <c r="B2" s="3" t="s">
        <v>127</v>
      </c>
      <c r="C2" s="3" t="s">
        <v>128</v>
      </c>
      <c r="D2" s="3" t="s">
        <v>129</v>
      </c>
      <c r="E2" s="3" t="s">
        <v>12</v>
      </c>
      <c r="F2" s="10">
        <v>45240.0</v>
      </c>
      <c r="G2" s="3" t="s">
        <v>130</v>
      </c>
      <c r="H2" s="3" t="s">
        <v>131</v>
      </c>
    </row>
    <row r="3">
      <c r="A3" s="9">
        <v>45239.70038070602</v>
      </c>
      <c r="B3" s="3" t="s">
        <v>127</v>
      </c>
      <c r="C3" s="3" t="s">
        <v>128</v>
      </c>
      <c r="D3" s="3" t="s">
        <v>132</v>
      </c>
      <c r="E3" s="3" t="s">
        <v>13</v>
      </c>
      <c r="F3" s="10">
        <v>45240.0</v>
      </c>
      <c r="G3" s="3" t="s">
        <v>133</v>
      </c>
      <c r="H3" s="3" t="s">
        <v>134</v>
      </c>
    </row>
    <row r="4">
      <c r="A4" s="9">
        <v>45336.36349694444</v>
      </c>
      <c r="B4" s="3" t="s">
        <v>135</v>
      </c>
      <c r="C4" s="3" t="s">
        <v>136</v>
      </c>
      <c r="D4" s="3" t="s">
        <v>137</v>
      </c>
      <c r="E4" s="3" t="s">
        <v>8</v>
      </c>
      <c r="F4" s="10">
        <v>45336.0</v>
      </c>
      <c r="G4" s="3" t="s">
        <v>136</v>
      </c>
      <c r="H4" s="3" t="s">
        <v>135</v>
      </c>
      <c r="I4" s="3" t="s">
        <v>138</v>
      </c>
    </row>
    <row r="5">
      <c r="A5" s="9">
        <v>45392.3699490162</v>
      </c>
      <c r="B5" s="3" t="s">
        <v>139</v>
      </c>
      <c r="C5" s="3" t="s">
        <v>140</v>
      </c>
      <c r="D5" s="3" t="s">
        <v>141</v>
      </c>
      <c r="E5" s="3" t="s">
        <v>7</v>
      </c>
      <c r="F5" s="10">
        <v>45392.0</v>
      </c>
      <c r="G5" s="3" t="s">
        <v>140</v>
      </c>
      <c r="H5" s="3" t="s">
        <v>139</v>
      </c>
      <c r="I5" s="3" t="s">
        <v>138</v>
      </c>
    </row>
    <row r="6">
      <c r="A6" s="9">
        <v>45441.67344021991</v>
      </c>
      <c r="B6" s="3" t="s">
        <v>142</v>
      </c>
      <c r="C6" s="3" t="s">
        <v>143</v>
      </c>
      <c r="D6" s="3" t="s">
        <v>144</v>
      </c>
      <c r="E6" s="3" t="s">
        <v>12</v>
      </c>
      <c r="F6" s="10">
        <v>45442.0</v>
      </c>
      <c r="G6" s="3" t="s">
        <v>145</v>
      </c>
      <c r="H6" s="3" t="s">
        <v>142</v>
      </c>
    </row>
    <row r="7">
      <c r="A7" s="9">
        <v>45509.61803037037</v>
      </c>
      <c r="B7" s="3" t="s">
        <v>142</v>
      </c>
      <c r="C7" s="3" t="s">
        <v>143</v>
      </c>
      <c r="D7" s="3" t="s">
        <v>146</v>
      </c>
      <c r="E7" s="3" t="s">
        <v>8</v>
      </c>
      <c r="F7" s="10">
        <v>45512.0</v>
      </c>
      <c r="G7" s="3" t="s">
        <v>145</v>
      </c>
      <c r="H7" s="3" t="s">
        <v>142</v>
      </c>
    </row>
    <row r="8">
      <c r="A8" s="9">
        <v>45548.434179918986</v>
      </c>
      <c r="B8" s="3" t="s">
        <v>142</v>
      </c>
      <c r="C8" s="3" t="s">
        <v>143</v>
      </c>
      <c r="D8" s="3" t="s">
        <v>147</v>
      </c>
      <c r="E8" s="3" t="s">
        <v>14</v>
      </c>
      <c r="F8" s="10">
        <v>45551.0</v>
      </c>
      <c r="G8" s="3" t="s">
        <v>148</v>
      </c>
      <c r="H8" s="3" t="s">
        <v>131</v>
      </c>
    </row>
    <row r="9">
      <c r="A9" s="9">
        <v>45590.53660738426</v>
      </c>
      <c r="B9" s="3" t="s">
        <v>135</v>
      </c>
      <c r="C9" s="3" t="s">
        <v>136</v>
      </c>
      <c r="D9" s="3" t="s">
        <v>149</v>
      </c>
      <c r="E9" s="3" t="s">
        <v>6</v>
      </c>
      <c r="F9" s="10">
        <v>45590.0</v>
      </c>
      <c r="G9" s="3" t="s">
        <v>136</v>
      </c>
      <c r="H9" s="3" t="s">
        <v>135</v>
      </c>
    </row>
    <row r="10">
      <c r="A10" s="9">
        <v>45635.581934525464</v>
      </c>
      <c r="B10" s="3" t="s">
        <v>135</v>
      </c>
      <c r="C10" s="3" t="s">
        <v>136</v>
      </c>
      <c r="D10" s="3" t="s">
        <v>150</v>
      </c>
      <c r="E10" s="3" t="s">
        <v>8</v>
      </c>
      <c r="F10" s="10">
        <v>45635.0</v>
      </c>
      <c r="G10" s="3" t="s">
        <v>136</v>
      </c>
      <c r="H10" s="3" t="s">
        <v>135</v>
      </c>
    </row>
    <row r="11">
      <c r="A11" s="9">
        <v>45696.31994649305</v>
      </c>
      <c r="B11" s="3" t="s">
        <v>151</v>
      </c>
      <c r="C11" s="3" t="s">
        <v>152</v>
      </c>
      <c r="D11" s="3" t="s">
        <v>153</v>
      </c>
      <c r="E11" s="3" t="s">
        <v>6</v>
      </c>
      <c r="F11" s="10">
        <v>45694.0</v>
      </c>
      <c r="G11" s="3" t="s">
        <v>154</v>
      </c>
      <c r="H11" s="3" t="s">
        <v>151</v>
      </c>
    </row>
    <row r="12">
      <c r="A12" s="9">
        <v>45706.71177920139</v>
      </c>
      <c r="B12" s="3" t="s">
        <v>151</v>
      </c>
      <c r="C12" s="3" t="s">
        <v>152</v>
      </c>
      <c r="D12" s="3" t="s">
        <v>155</v>
      </c>
      <c r="E12" s="3" t="s">
        <v>6</v>
      </c>
      <c r="F12" s="10">
        <v>45693.0</v>
      </c>
      <c r="G12" s="3" t="s">
        <v>152</v>
      </c>
      <c r="H12" s="3" t="s">
        <v>151</v>
      </c>
    </row>
    <row r="13">
      <c r="A13" s="9">
        <v>45820.343947974536</v>
      </c>
      <c r="B13" s="3" t="s">
        <v>156</v>
      </c>
      <c r="C13" s="3" t="s">
        <v>157</v>
      </c>
      <c r="D13" s="3" t="s">
        <v>158</v>
      </c>
      <c r="E13" s="3" t="s">
        <v>8</v>
      </c>
      <c r="F13" s="10">
        <v>45820.0</v>
      </c>
      <c r="G13" s="3" t="s">
        <v>159</v>
      </c>
      <c r="H13" s="3" t="s">
        <v>160</v>
      </c>
    </row>
    <row r="14">
      <c r="A14" s="9">
        <v>45826.38967787037</v>
      </c>
      <c r="B14" s="3" t="s">
        <v>161</v>
      </c>
      <c r="C14" s="3" t="s">
        <v>162</v>
      </c>
      <c r="D14" s="3" t="s">
        <v>163</v>
      </c>
      <c r="E14" s="3" t="s">
        <v>6</v>
      </c>
      <c r="F14" s="10">
        <v>45826.0</v>
      </c>
      <c r="G14" s="3" t="s">
        <v>162</v>
      </c>
      <c r="H14" s="3" t="s">
        <v>131</v>
      </c>
      <c r="I14" s="3" t="s">
        <v>164</v>
      </c>
    </row>
    <row r="15">
      <c r="A15" s="9">
        <v>45849.654131979165</v>
      </c>
      <c r="B15" s="3" t="s">
        <v>131</v>
      </c>
      <c r="C15" s="3" t="s">
        <v>130</v>
      </c>
      <c r="D15" s="3" t="s">
        <v>165</v>
      </c>
      <c r="E15" s="3" t="s">
        <v>6</v>
      </c>
      <c r="F15" s="10">
        <v>45845.0</v>
      </c>
      <c r="G15" s="3" t="s">
        <v>166</v>
      </c>
      <c r="H15" s="3" t="s">
        <v>131</v>
      </c>
      <c r="I15" s="3" t="s">
        <v>164</v>
      </c>
    </row>
    <row r="16">
      <c r="A16" s="9">
        <v>45881.67912826389</v>
      </c>
      <c r="B16" s="3" t="s">
        <v>167</v>
      </c>
      <c r="C16" s="3" t="s">
        <v>130</v>
      </c>
      <c r="D16" s="3" t="s">
        <v>168</v>
      </c>
      <c r="E16" s="3" t="s">
        <v>8</v>
      </c>
      <c r="F16" s="10">
        <v>45881.0</v>
      </c>
      <c r="G16" s="3" t="s">
        <v>130</v>
      </c>
      <c r="H16" s="3" t="s">
        <v>131</v>
      </c>
      <c r="I16" s="3" t="s">
        <v>164</v>
      </c>
    </row>
    <row r="17">
      <c r="A17" s="9">
        <v>45929.34772607639</v>
      </c>
      <c r="B17" s="3" t="s">
        <v>156</v>
      </c>
      <c r="C17" s="3" t="s">
        <v>157</v>
      </c>
      <c r="D17" s="3" t="s">
        <v>169</v>
      </c>
      <c r="E17" s="3" t="s">
        <v>13</v>
      </c>
      <c r="F17" s="10">
        <v>45929.0</v>
      </c>
      <c r="G17" s="3" t="s">
        <v>157</v>
      </c>
      <c r="H17" s="3" t="s">
        <v>156</v>
      </c>
      <c r="I17" s="3" t="s">
        <v>164</v>
      </c>
    </row>
    <row r="18">
      <c r="A18" s="9">
        <v>45929.34936501157</v>
      </c>
      <c r="B18" s="3" t="s">
        <v>156</v>
      </c>
      <c r="C18" s="3" t="s">
        <v>157</v>
      </c>
      <c r="D18" s="3" t="s">
        <v>170</v>
      </c>
      <c r="E18" s="3" t="s">
        <v>13</v>
      </c>
      <c r="F18" s="10">
        <v>45929.0</v>
      </c>
      <c r="G18" s="3" t="s">
        <v>157</v>
      </c>
      <c r="H18" s="3" t="s">
        <v>156</v>
      </c>
      <c r="I18" s="3" t="s">
        <v>164</v>
      </c>
    </row>
    <row r="19">
      <c r="A19" s="9">
        <v>45940.39670915509</v>
      </c>
      <c r="B19" s="3" t="s">
        <v>156</v>
      </c>
      <c r="C19" s="3" t="s">
        <v>157</v>
      </c>
      <c r="D19" s="3" t="s">
        <v>171</v>
      </c>
      <c r="E19" s="3" t="s">
        <v>6</v>
      </c>
      <c r="F19" s="10">
        <v>45940.0</v>
      </c>
      <c r="G19" s="3" t="s">
        <v>172</v>
      </c>
      <c r="H19" s="3" t="s">
        <v>173</v>
      </c>
      <c r="I19" s="3" t="s">
        <v>164</v>
      </c>
    </row>
    <row r="20">
      <c r="A20" s="9">
        <v>45943.51889619213</v>
      </c>
      <c r="B20" s="3" t="s">
        <v>131</v>
      </c>
      <c r="C20" s="3" t="s">
        <v>130</v>
      </c>
      <c r="D20" s="11" t="s">
        <v>174</v>
      </c>
      <c r="E20" s="3" t="s">
        <v>10</v>
      </c>
      <c r="F20" s="10">
        <v>45943.0</v>
      </c>
      <c r="G20" s="3" t="s">
        <v>130</v>
      </c>
      <c r="H20" s="3" t="s">
        <v>131</v>
      </c>
      <c r="I20" s="3" t="s">
        <v>164</v>
      </c>
    </row>
    <row r="21">
      <c r="A21" s="9">
        <v>45945.60635059028</v>
      </c>
      <c r="B21" s="3" t="s">
        <v>161</v>
      </c>
      <c r="C21" s="3" t="s">
        <v>175</v>
      </c>
      <c r="D21" s="3" t="s">
        <v>176</v>
      </c>
      <c r="E21" s="3" t="s">
        <v>10</v>
      </c>
      <c r="F21" s="10">
        <v>45945.0</v>
      </c>
      <c r="G21" s="3" t="s">
        <v>177</v>
      </c>
      <c r="H21" s="3" t="s">
        <v>178</v>
      </c>
      <c r="I21" s="3" t="s">
        <v>179</v>
      </c>
    </row>
    <row r="22">
      <c r="A22" s="9">
        <v>46076.64932952546</v>
      </c>
      <c r="B22" s="3" t="s">
        <v>178</v>
      </c>
      <c r="C22" s="3" t="s">
        <v>180</v>
      </c>
      <c r="D22" s="3" t="s">
        <v>181</v>
      </c>
      <c r="E22" s="3" t="s">
        <v>10</v>
      </c>
      <c r="F22" s="10">
        <v>46076.0</v>
      </c>
      <c r="G22" s="3" t="s">
        <v>130</v>
      </c>
      <c r="H22" s="3" t="s">
        <v>182</v>
      </c>
    </row>
  </sheetData>
  <printOptions gridLines="1" horizontalCentered="1"/>
  <pageMargins bottom="0.75" footer="0.0" header="0.0" left="0.7" right="0.7" top="0.75"/>
  <pageSetup fitToHeight="0" cellComments="atEnd" orientation="landscape" pageOrder="overThenDown"/>
  <drawing r:id="rId1"/>
</worksheet>
</file>