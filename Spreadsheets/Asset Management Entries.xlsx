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0" sheetId="1" r:id="rId5"/>
    <sheet state="visible" name="Inventory" sheetId="2" r:id="rId6"/>
    <sheet state="visible" name="Untaggable" sheetId="3" r:id="rId7"/>
    <sheet state="visible" name="Detailed Approval Records Forme" sheetId="4" r:id="rId8"/>
    <sheet state="visible" name="Detailed Approval Report" sheetId="5" r:id="rId9"/>
    <sheet state="visible" name="Tickets" sheetId="6" r:id="rId10"/>
    <sheet state="visible" name="Sheet11" sheetId="7" r:id="rId11"/>
    <sheet state="visible" name="Check out" sheetId="8" r:id="rId12"/>
    <sheet state="visible" name="Check in" sheetId="9" r:id="rId13"/>
    <sheet state="visible" name="Waste" sheetId="10" r:id="rId14"/>
    <sheet state="visible" name="Total" sheetId="11" r:id="rId15"/>
    <sheet state="visible" name="Dropdown" sheetId="12" r:id="rId16"/>
  </sheets>
  <definedNames>
    <definedName hidden="1" localSheetId="1" name="_xlnm._FilterDatabase">Inventory!$A$1:$N$1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Devices without a serial number will be given a serial number in case the tag number is removed or comes off by mistake.</t>
      </text>
    </comment>
    <comment authorId="0" ref="G128">
      <text>
        <t xml:space="preserve">Devices without a serial number will be given a serial number in case the tag number is removed or comes off by mistake.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tc={058ed04a-16af-4821-895c-914a3b5ffb74}</author>
    <author>tc={1cf628f4-44f4-400d-87cb-fd7555c57d92}</author>
    <author>tc={2808f7ad-862f-430b-84b5-982488ea0e62}</author>
    <author>tc={5636c5ae-5064-4045-a450-e0a26b20e23b}</author>
    <author>tc={c3d869c2-e67a-4f1a-b60b-75a5d73b3206}</author>
    <author>tc={e76994a5-57f9-4f61-9db8-56e4927e634b}</author>
  </authors>
  <commentList>
    <comment authorId="0" xr:uid="{058ed04a-16af-4821-895c-914a3b5ffb74}" ref="H61">
      <text>
        <t xml:space="preserve">[Threaded comment]
 Your version of Excel allows you to read this threaded comment; however, any edits to it will get removed if the file is opened in a newer version of Excel. Learn more: https://go.microsoft.com/fwlink/?linkid=870924
Comment:
	Doesn't ring
</t>
      </text>
    </comment>
    <comment authorId="1" xr:uid="{1cf628f4-44f4-400d-87cb-fd7555c57d92}" ref="H77">
      <text>
        <t xml:space="preserve">[Threaded comment]
 Your version of Excel allows you to read this threaded comment; however, any edits to it will get removed if the file is opened in a newer version of Excel. Learn more: https://go.microsoft.com/fwlink/?linkid=870924
Comment:
	R1
</t>
      </text>
    </comment>
    <comment authorId="2" xr:uid="{2808f7ad-862f-430b-84b5-982488ea0e62}" ref="B75">
      <text>
        <t xml:space="preserve">[Threaded comment]
 Your version of Excel allows you to read this threaded comment; however, any edits to it will get removed if the file is opened in a newer version of Excel. Learn more: https://go.microsoft.com/fwlink/?linkid=870924
Comment:
	Customer Support
</t>
      </text>
    </comment>
    <comment authorId="3" xr:uid="{5636c5ae-5064-4045-a450-e0a26b20e23b}" ref="I51">
      <text>
        <t xml:space="preserve">[Threaded comment]
 Your version of Excel allows you to read this threaded comment; however, any edits to it will get removed if the file is opened in a newer version of Excel. Learn more: https://go.microsoft.com/fwlink/?linkid=870924
Comment:
	SIM in modem with Leloko.
</t>
      </text>
    </comment>
    <comment authorId="4" xr:uid="{c3d869c2-e67a-4f1a-b60b-75a5d73b3206}" ref="B52">
      <text>
        <t xml:space="preserve">[Threaded comment]
 Your version of Excel allows you to read this threaded comment; however, any edits to it will get removed if the file is opened in a newer version of Excel. Learn more: https://go.microsoft.com/fwlink/?linkid=870924
Comment:
	Sms Gateway in O&amp;M
</t>
      </text>
    </comment>
    <comment authorId="5" xr:uid="{e76994a5-57f9-4f61-9db8-56e4927e634b}" ref="H60">
      <text>
        <t xml:space="preserve">[Threaded comment]
 Your version of Excel allows you to read this threaded comment; however, any edits to it will get removed if the file is opened in a newer version of Excel. Learn more: https://go.microsoft.com/fwlink/?linkid=870924
Comment:
	Not available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approval records of the Form Approvals add-on are saved here. Do not sort, amend or remove the content of this sheet. Doing so will disrupt the add-on.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2_ABaOnuenEqxKkticXsYVNsyI97x9BzYOrSYvYeGvHigNkBM1jEs3Ve4AempoSvwCdv9KpAU</t>
      </text>
    </comment>
    <comment authorId="0" ref="A4">
      <text>
        <t xml:space="preserve">2_ABaOnudGaZdzykdpd8ce2_llrpisr0ZlULBSLHXeedsC8RSDpvyRA_hCFNrA3xc-FWg2wQk</t>
      </text>
    </comment>
    <comment authorId="0" ref="A5">
      <text>
        <t xml:space="preserve">2_ABaOnufd8yU5YW5tpzBxwT9LKyQbGhFj480C9r0EoQJbSta03DjotmqrQFninPOtBSonncQ</t>
      </text>
    </comment>
    <comment authorId="0" ref="A6">
      <text>
        <t xml:space="preserve">2_ABaOnudQ1Lf5INxxexmBj8Y4UT0a0jK39M-2Br4e_kqZJ41HqjjMFasV6nWkWlSDP8puecA</t>
      </text>
    </comment>
    <comment authorId="0" ref="A7">
      <text>
        <t xml:space="preserve">2_ABaOnucJXqhMN23V8upp2jHNJDql8Qtq2Lhmk7UK2ha2XVjeTvTwmiHyC2JlhI3gPljPzc4</t>
      </text>
    </comment>
    <comment authorId="0" ref="A8">
      <text>
        <t xml:space="preserve">2_ABaOnucFuw3hOFPEKckEAnMOOPPWNJBc-ysm2L8SdgMwopO9D4pG7Uet27gzlWJm7JFZvx4</t>
      </text>
    </comment>
    <comment authorId="0" ref="A9">
      <text>
        <t xml:space="preserve">2_ABaOnucXPp2QohE6uybcO3i6Uhzjgc0CNbvCPQfi8rwhlgT2FuNtWqnn9ttvoW2kOrxyiGA</t>
      </text>
    </comment>
    <comment authorId="0" ref="A10">
      <text>
        <t xml:space="preserve">2_ABaOnucx-zsnn8cTEFX23ihJIHeLajsRMwbwTv3oMsiCDAhYteoc5FbuKtEf-yr915_nJWw</t>
      </text>
    </comment>
    <comment authorId="0" ref="A11">
      <text>
        <t xml:space="preserve">2_ABaOnudX0HiAuwAqsoHHx25vx3i_tKeb57qgGuGiIM2gb0CeXH18K3MOH99OhvM-BsNUvww</t>
      </text>
    </comment>
    <comment authorId="0" ref="A12">
      <text>
        <t xml:space="preserve">2_ABaOnufQQu_L0FkyK1s-71cjMS2FtJxOt_JpDT9j6qpIxlgldSbSbsAghzornkXr141MxfM</t>
      </text>
    </comment>
    <comment authorId="0" ref="A13">
      <text>
        <t xml:space="preserve">2_ABaOnueV4u9Oe1IVQb7Lh0n7wJAzWAtLfIJqUwVYOuz3orEKNLmmibcbyPLvIqvIwEf-F6I</t>
      </text>
    </comment>
    <comment authorId="0" ref="A14">
      <text>
        <t xml:space="preserve">2_ABaOnudd3ZvkJ-BoWxN7W9FXBlGBPcV3_xWggBPi3JaY6oscQiKtH73_Ym1UzwJFFbuua4k</t>
      </text>
    </comment>
    <comment authorId="0" ref="A15">
      <text>
        <t xml:space="preserve">2_ABaOnudLdGHMaLUuJGJSPq8g_CnouPg4ovV3jPYz_5v0ReyPNhRkmk0KqbiOWjx6I5gyD54</t>
      </text>
    </comment>
    <comment authorId="0" ref="A16">
      <text>
        <t xml:space="preserve">2_ABaOnuftzrk7k6QT0hydsrKeffxC0U-HhPg2x2Dq8Qspiisc3i5L2nFtfKTT8386aBIOtoE</t>
      </text>
    </comment>
    <comment authorId="0" ref="A17">
      <text>
        <t xml:space="preserve">2_ABaOnue5eNA0m1FGFQ-ppmFEJaWGSAfHyLPcCIeWKvP0FxJrnYJqmD8g-iul1gz-jT16-lM</t>
      </text>
    </comment>
    <comment authorId="0" ref="A18">
      <text>
        <t xml:space="preserve">2_ABaOnucGxBiYDguEVZppMRez_sl3JqpzrAAVOsYCNsF4Ln3FfJ-zrwhF6OV6kqpkpWCuk8U</t>
      </text>
    </comment>
    <comment authorId="0" ref="A19">
      <text>
        <t xml:space="preserve">2_ABaOnufYk8jvu3aUAWj9404b-EBJgGSUiJJze1psngk7LCFGJZRP3Nmy1ruENvw1fzWja-c</t>
      </text>
    </comment>
    <comment authorId="0" ref="A20">
      <text>
        <t xml:space="preserve">2_ABaOnueqnY2RXVqRwPi6VC__D8LHmyn63Je5t_GTXnfLoHXhIlrtL7E2zqjNkNk-DbtyLy8</t>
      </text>
    </comment>
    <comment authorId="0" ref="A21">
      <text>
        <t xml:space="preserve">2_ABaOnudSPw8a9ao9HtL4TedNJzD_JnZegvh_UfDfdgszEaMLyF9Uz58NvENmGXSKoWTWgbQ</t>
      </text>
    </comment>
    <comment authorId="0" ref="A22">
      <text>
        <t xml:space="preserve">2_ABaOnudmrUhq_UnFtjG7EcSJAqCJc6hyvPTbB55sGIBSTjU8B_2dgdYXTFMKHhwjJs_14G0</t>
      </text>
    </comment>
    <comment authorId="0" ref="A23">
      <text>
        <t xml:space="preserve">2_ABaOnuev-FtVBB4E6c_IA1fxiq38L6obMtbcGcfsjdBEqs2BF03Yid0mwy3qvJu2y0dIrlc</t>
      </text>
    </comment>
    <comment authorId="0" ref="A24">
      <text>
        <t xml:space="preserve">2_ABaOnufZ7g6Cp91m-A977xV7d_vGlEDaxprWvaZIUxMiyUDn_rC4-6TuYYPITMBA1XRuJ7c</t>
      </text>
    </comment>
    <comment authorId="0" ref="A25">
      <text>
        <t xml:space="preserve">2_ABaOnudNTBSL6UYQrmvHGCO1gaDwOnpBgWfXxcN_gMr3WjLdo4ZYYU21rMVK5t4B1nP3vCU</t>
      </text>
    </comment>
    <comment authorId="0" ref="A26">
      <text>
        <t xml:space="preserve">2_ABaOnueuDPA5QHWX6sD41v72d3W3nYMDNbScw5IWK3Q0jaCg44KjMlQDuWboz3La8sXNH-0</t>
      </text>
    </comment>
    <comment authorId="0" ref="A27">
      <text>
        <t xml:space="preserve">2_ABaOnucfc47Vjul--VF9-zrn8v045PicVf24lWW9ZLWcMjyHXy6X4WMQKJxlt7TAgTG3JOo</t>
      </text>
    </comment>
    <comment authorId="0" ref="A28">
      <text>
        <t xml:space="preserve">2_ABaOnufKeXpZAMJr19unewiXiHh8JhLh1Ao7HrcZ5Tz3O23-j502XLS7N_ch0SxMvk6yWgw</t>
      </text>
    </comment>
    <comment authorId="0" ref="A29">
      <text>
        <t xml:space="preserve">2_ABaOnucA0K6TnL_K4_MnqvKbCupGbcD1mB0pSoCpTeCy8BP4-HXulmU9p3uzuit6_E-GBus</t>
      </text>
    </comment>
    <comment authorId="0" ref="A30">
      <text>
        <t xml:space="preserve">2_ABaOnucYVpIQnJdk-MKs22byLjmaYrp1SfLGYtNrtSt6wE0cKKyc2NOFdRbP3Rvl3lbAUVo</t>
      </text>
    </comment>
    <comment authorId="0" ref="A31">
      <text>
        <t xml:space="preserve">2_ABaOnueNAdtUDAFnkL3Oi2Yse5AqHJcU1AFSz2HWpa_jwD9PARscXegJ1l4iHihNbWfamks</t>
      </text>
    </comment>
    <comment authorId="0" ref="A32">
      <text>
        <t xml:space="preserve">2_ABaOnuentFJbkRMp5LBan7R5urMREkjUVzDnkAGBIojJsIKj6v3YACe4HfD-ak17obXiQVo</t>
      </text>
    </comment>
    <comment authorId="0" ref="A33">
      <text>
        <t xml:space="preserve">2_ABaOnudnQbnS2_RY-2uAhJxxhbhPeCYCRzadGhzGwaeVgCTO7Dimf5gj7Gms39vq8AtX8pM</t>
      </text>
    </comment>
    <comment authorId="0" ref="A34">
      <text>
        <t xml:space="preserve">2_ABaOnucCn4MgZ697JsAk7NIJC-Wg02CM4OjZNutudgzma9CEudWsO6aXQ-KXI7MR9XUdOWw</t>
      </text>
    </comment>
    <comment authorId="0" ref="A35">
      <text>
        <t xml:space="preserve">2_ABaOnudxfxBV6EhmuqUSo7tu5tPnNfr4bQ-TveUkGuYZm_QYTXZTsTBKeS7RbjjftQPZC7Y</t>
      </text>
    </comment>
    <comment authorId="0" ref="A36">
      <text>
        <t xml:space="preserve">2_ABaOnuftoHgkrx-lUXbI24idTSUTpyfgm_0JsA8VLxUvcV0s9M_rfQCTPeaHMZdmysX1We8</t>
      </text>
    </comment>
    <comment authorId="0" ref="A37">
      <text>
        <t xml:space="preserve">2_ABaOnudGjGZXwbwP5RuoENeLhuJaSjUK8VmyoigrexIReAln98NrSiPwMFwlD2kQEIUHWIc</t>
      </text>
    </comment>
    <comment authorId="0" ref="A38">
      <text>
        <t xml:space="preserve">2_ABaOnucGKhVSGibjb5BG1OBQA7wM1LQy9_RsF-FTpA8ODr9P5Y6GH2annrbc2M_PS86-6tQ</t>
      </text>
    </comment>
    <comment authorId="0" ref="A39">
      <text>
        <t xml:space="preserve">2_ABaOnuderEfd8ulevCSlZIG2Wk_-QbAExXGuI-t_ymtv7JOT3H-G3Ztj7hcLwuOFMgmhTCM</t>
      </text>
    </comment>
    <comment authorId="0" ref="A40">
      <text>
        <t xml:space="preserve">2_ABaOnueY9QKr_24R8pX20L939kp0ilceLk3RmqqjAI9JIAHkazIwJ6j_IATMmtJm4XNKk8o</t>
      </text>
    </comment>
    <comment authorId="0" ref="A41">
      <text>
        <t xml:space="preserve">2_ABaOnud9Jl8pUS3awENIFh7rD0aI1b_OnsymoLYZZSNabmVdVuQTdxkAlOPuUhdrJ-51M0I</t>
      </text>
    </comment>
    <comment authorId="0" ref="A42">
      <text>
        <t xml:space="preserve">2_ABaOnufAFB6EABgIiO6MK7A7EQ0kTi3ZItH3d5vSOi6L86Z4VS-7GG9t4jb0HHSe16dhYDk</t>
      </text>
    </comment>
    <comment authorId="0" ref="A43">
      <text>
        <t xml:space="preserve">2_ABaOnuc6V7GSYhIb1ytloloV6YVFGhGbHFJbvFqh0OAXwkJ0APYoIWYn_B7k8e2_yNz0kc4</t>
      </text>
    </comment>
    <comment authorId="0" ref="A44">
      <text>
        <t xml:space="preserve">2_ABaOnufPVnm4acUwKONPxCUJNMBEG26p4_63FcQJ7jk6fN3lEyeA1ehBe-okaw7Og_4oVH4</t>
      </text>
    </comment>
    <comment authorId="0" ref="A45">
      <text>
        <t xml:space="preserve">2_ABaOnufofSp0WayUXOXlh-mckT0z9dnIJL4YPKrx25KzAUCR1Iv2comlyoFcA0YHtXPUDV8</t>
      </text>
    </comment>
    <comment authorId="0" ref="A46">
      <text>
        <t xml:space="preserve">2_ABaOnucCv3mbQIzy1g4M4nchi7n-TlD_1KmpNQ425rvQ70_QNoG7kv6dr4Lmntp0DuurINI</t>
      </text>
    </comment>
    <comment authorId="0" ref="A47">
      <text>
        <t xml:space="preserve">2_ABaOnuf71plI8D7UViCd8MqCkngMN2hTugse50JzznuRsMvwX2iLCEQG0b-ILK2k8_kXHqs</t>
      </text>
    </comment>
    <comment authorId="0" ref="A48">
      <text>
        <t xml:space="preserve">2_ABaOnudWG0-fKpRrsO_CjBSh8zv-sqSdGlHGM3jXuvgnWFxqZf8k4AE2CbSkDmAXMHCNeeg</t>
      </text>
    </comment>
    <comment authorId="0" ref="A49">
      <text>
        <t xml:space="preserve">2_ABaOnufc2tdfBjqf0p_xvRku9CV759DTDPdm2wWRySiBDtNc02cWiIjJ9wU_hdfdm-M1p7A</t>
      </text>
    </comment>
    <comment authorId="0" ref="A50">
      <text>
        <t xml:space="preserve">2_ABaOnucDD7tcTp0Ee7qXj9aN2j_bV1d7GogunlbjX46pIJti2ci0R04kdYWOmXME-HRC8Cc</t>
      </text>
    </comment>
    <comment authorId="0" ref="A51">
      <text>
        <t xml:space="preserve">2_ABaOnud7OHqF7DhtmXHD90S6WA5tFBVOebnIJRCOw5kcNtjEDGAPwWoYoZeLbYBy1WEWbLw</t>
      </text>
    </comment>
    <comment authorId="0" ref="A52">
      <text>
        <t xml:space="preserve">2_ABaOnueNY-7GYAUY7OP6xEuex1iFFZIntMjSnKJ0IX5qRHyoRfhD3ZWHPmrZwUptdSEIUEs</t>
      </text>
    </comment>
    <comment authorId="0" ref="A53">
      <text>
        <t xml:space="preserve">2_ABaOnuecB3pWDPhZ5IA68no_ORlp-HOOVECqtB-MYZ7wrMzSC4wts54NLn7Hy6da6bSyACc</t>
      </text>
    </comment>
    <comment authorId="0" ref="A54">
      <text>
        <t xml:space="preserve">2_ABaOnudTiFT2-Um9kzN1naUqIwX2YtWb83YHx2XZ2xrSz1BzN9Yzq6-CGuHj04faxVOHshs</t>
      </text>
    </comment>
    <comment authorId="0" ref="A55">
      <text>
        <t xml:space="preserve">2_ABaOnuel8JJNbii8GvuA6v9ymBti0b-Tr8s9Wtmy3nxV7hYzJIKrQGrxiiwjNh2nYeLo14s</t>
      </text>
    </comment>
    <comment authorId="0" ref="A56">
      <text>
        <t xml:space="preserve">2_ABaOnudzyA63q6AQNGdIqwxKECebfqhmpL7ttrHvI-GaTmqKVd-akmzRpirzf9LntDBuJzk</t>
      </text>
    </comment>
    <comment authorId="0" ref="A57">
      <text>
        <t xml:space="preserve">2_ABaOnuf8nK49w2K2avGqBDVdkC53MmzOde4DPGS2gcw-hmw8tyJCmb2r-IMUcMb1ql6IIIc</t>
      </text>
    </comment>
    <comment authorId="0" ref="A58">
      <text>
        <t xml:space="preserve">2_ABaOnudEU0ySUWp5eG5_ahzxzmq1sgb9ACv4ZlNaVwDQcx18GXdvudd9ujAyF3XS3nMK9KQ</t>
      </text>
    </comment>
    <comment authorId="0" ref="A59">
      <text>
        <t xml:space="preserve">2_ABaOnufxWLWbHwlJVsjMYYiRTxO9CSo03uu125cA6cNONnQX0CI7Wu6KJJiz2gR1mcbYPvY</t>
      </text>
    </comment>
    <comment authorId="0" ref="A60">
      <text>
        <t xml:space="preserve">2_ABaOnucMlmwjAixNJUA2Nnr6iwNweMh3-oPucsGVXGa6raF87UmFMBuzSYRgjK9iO5eFnDA</t>
      </text>
    </comment>
    <comment authorId="0" ref="A61">
      <text>
        <t xml:space="preserve">2_ABaOnuecu-dP9_sv0R1nmkV4UUPsRKjeYo8BT8bhDOuhIeU8fyCVQ1R2ZA-aHzGrFQWQFiQ</t>
      </text>
    </comment>
    <comment authorId="0" ref="A62">
      <text>
        <t xml:space="preserve">2_ABaOnucnw4WF52_ubFUiCdRqy7_1XiT3YyJ3i_1W9mIgeUcOKkTAjLXj4DYVP5Xf1OvOZXA</t>
      </text>
    </comment>
    <comment authorId="0" ref="A63">
      <text>
        <t xml:space="preserve">2_ABaOnufXKKYdlrrp7t9lhgbsZu45pxrV36q_d6I4ltp3DCvSywbNe5V1ST5dwMPPq7dEWws</t>
      </text>
    </comment>
    <comment authorId="0" ref="A64">
      <text>
        <t xml:space="preserve">2_ABaOnuejQcbiusEE3VnyYxPBxe0TqY2dZsVW1_xWBgdCLzOFSpQY4DCLqfCpkGRCUU6ypz8</t>
      </text>
    </comment>
    <comment authorId="0" ref="A65">
      <text>
        <t xml:space="preserve">2_ABaOnudEGValB5lgJZCn05GRS-bM-TCKG4csUNlEr_oD9aTYZjhlvH7awATQYQJLrhsncv4</t>
      </text>
    </comment>
    <comment authorId="0" ref="A66">
      <text>
        <t xml:space="preserve">2_ABaOnudjzdbp8ETRLq1OWSp3UKez1SmuEXPTc4IoglQ8Y73PxOFqlA63U1cHyNecrI0Gav4</t>
      </text>
    </comment>
    <comment authorId="0" ref="A67">
      <text>
        <t xml:space="preserve">2_ABaOnufiqTLFwLkceCnAx-j7rvgQOn41U4dpkcMYKLVjKMDvj1hX6H5wZRuPHnjuYa4ERE0</t>
      </text>
    </comment>
    <comment authorId="0" ref="A68">
      <text>
        <t xml:space="preserve">2_ABaOnueAgyda-rmacqfrk7ZTQEBl6omtC2B7RHwmdNinXhKPOO2bwA5oPDteLvhbI4aXtmE</t>
      </text>
    </comment>
    <comment authorId="0" ref="A69">
      <text>
        <t xml:space="preserve">2_ABaOnudPEyzFLUF9jtQrgw6lTmJCnmqJO-xPs_rRlpEC4ajoHLy4-62asTVfsY6mNxokfUA</t>
      </text>
    </comment>
    <comment authorId="0" ref="A70">
      <text>
        <t xml:space="preserve">2_ABaOnudYeyDozTKnHkCsV4PWD-y0clkChwU8bhfGMm0vZ7K9io_Tj5iWfpM6SgZttqsZH9g</t>
      </text>
    </comment>
    <comment authorId="0" ref="A71">
      <text>
        <t xml:space="preserve">2_ABaOnufAA60uUSW7kaNyoGxO1iugBUn2GfIXicgBIyFj6k68gDjD7uTZv0iUTLgB9rrttpI</t>
      </text>
    </comment>
    <comment authorId="0" ref="A72">
      <text>
        <t xml:space="preserve">2_ABaOnuc2gDlc8wyTkDBHPvKFpSkHF2Vlsr-GSRyoDQXeYnAEhKCcx9MN3PC-xjjB0kBLq08</t>
      </text>
    </comment>
    <comment authorId="0" ref="A73">
      <text>
        <t xml:space="preserve">2_ABaOnucDId71PqwidK-s8sGlyMVQEzfm4qhiPYh7Bdpl5zIMAYXVIjdnI3OigIwMJmS_mCI</t>
      </text>
    </comment>
    <comment authorId="0" ref="A74">
      <text>
        <t xml:space="preserve">2_ABaOnudi-rETAXZ2y6iefc0QdmIzKIgwQi2XRTV0c_yCn5hO12Rvy_ItIwBkkpECILhMRrc</t>
      </text>
    </comment>
    <comment authorId="0" ref="A75">
      <text>
        <t xml:space="preserve">2_ABaOnudJHj-e2KW4v2u3Zfl_WJWunEOSVCDhOfDqKAviToZMKgOYjHfE3kJY0HMNU3Im29M</t>
      </text>
    </comment>
    <comment authorId="0" ref="A76">
      <text>
        <t xml:space="preserve">2_ABaOnucLUGhaqbROnnYge9TClmJs6b-AY_hTLA92rxFQktsJi7_PUNJHJaM1XfT84JPn71s</t>
      </text>
    </comment>
    <comment authorId="0" ref="A77">
      <text>
        <t xml:space="preserve">2_ABaOnuc2eco4Plk7n9KK6jgzHMLZoVXnlLDT3SGIQ9JFWenHe9dbsE9uTMJCmSoBTfrPzBA</t>
      </text>
    </comment>
    <comment authorId="0" ref="A78">
      <text>
        <t xml:space="preserve">2_ABaOnuddXh3Lrv2APLBAezikhPQfXG6-_oHBn05_AtR4TBou6Y0FweYKLGMJO5qIAnwPLW0</t>
      </text>
    </comment>
    <comment authorId="0" ref="A79">
      <text>
        <t xml:space="preserve">2_ABaOnuf14u27zufyfUORv3hfYgAK06yYB10ItNtAgYW84VxZZ7t1_o_LSqQ9PbVHsts3CNI</t>
      </text>
    </comment>
    <comment authorId="0" ref="A80">
      <text>
        <t xml:space="preserve">2_ABaOnuflExgcteCGqDbevYgp6WE-XqG6bU89RLb6OMdBvH49Il7tBgnlLTbabGiF1nJp3tY</t>
      </text>
    </comment>
    <comment authorId="0" ref="A81">
      <text>
        <t xml:space="preserve">2_ABaOnucOxKAbsS2rA5HfbwrAEMETYvq-_BIcOdLExCQNohwnnq-EpFWqYmujz6OLFLAp4gk</t>
      </text>
    </comment>
    <comment authorId="0" ref="A82">
      <text>
        <t xml:space="preserve">2_ABaOnudmgtU5lu0rs8Dgg7sFcsGHDJrOEYReQDIVa5fj0Ioh4w26xXktRv1c39AE7WWUpHU</t>
      </text>
    </comment>
    <comment authorId="0" ref="A83">
      <text>
        <t xml:space="preserve">2_ABaOnueiArcGe7jObnsaZ3FmPUDQy610K5dWW3sTdxnTvH5o-a2t7_UtCYkODgaYwSCS7AM</t>
      </text>
    </comment>
    <comment authorId="0" ref="A84">
      <text>
        <t xml:space="preserve">2_ABaOnufQxGY5Yd4UBG4FqMtJmFkn7D3j7hA25vDI1wxOLE1A-b12gLdKGyVgmShHdlr0Wi4</t>
      </text>
    </comment>
    <comment authorId="0" ref="A85">
      <text>
        <t xml:space="preserve">2_ABaOnudgbjZAZaMUaafoVYjxjcPuuIldqXXmW2YHWEVZziQhBufhiseF3uofGqwf8YH8zk8</t>
      </text>
    </comment>
    <comment authorId="0" ref="A86">
      <text>
        <t xml:space="preserve">2_ABaOnueEg9ox4PHOqrWZDVaAoFfufU02BJIi_kUfpDG12WLrSUY9zeBjSL8081K1ZfbKK5o</t>
      </text>
    </comment>
    <comment authorId="0" ref="A87">
      <text>
        <t xml:space="preserve">2_ABaOnueOVsLNqWV6T8MOVdEasLDGJd0ks-3u7BaNLPplvhtnUlBV2_ixlyz6cIS-WpN0AY0</t>
      </text>
    </comment>
    <comment authorId="0" ref="A88">
      <text>
        <t xml:space="preserve">2_ABaOnufYhhpXyPw9LweTcQPMuCKIJjB9wsgaBtG-U3Khbk-_jaq6NHaCWB0XO9Cuq2ot1jE</t>
      </text>
    </comment>
    <comment authorId="0" ref="A89">
      <text>
        <t xml:space="preserve">2_ABaOnudIb0h9ypmATpoHsDMtH1bdzCvgooPg6RUuEcZMiMaE9py5w-IpK6Vo9qm3PPDS7JA</t>
      </text>
    </comment>
    <comment authorId="0" ref="A90">
      <text>
        <t xml:space="preserve">2_ABaOnufapSHo8mbnQydbEvm4x-udXT6zgSQHSGotQLw4TAAFDafsnQD444JrmR5g8E4BajQ</t>
      </text>
    </comment>
    <comment authorId="0" ref="A91">
      <text>
        <t xml:space="preserve">2_ABaOnuep02MJnE5aKVxucER1wf3ip4hng4J1Ax33UxUsPYneSYO7OzxzOinrnnBOk5pcaRg</t>
      </text>
    </comment>
    <comment authorId="0" ref="A92">
      <text>
        <t xml:space="preserve">2_ABaOnudA9VSX8WX-xWyb9TZ3johjmVQ8jekuZrd45xzMNThugWymqk8ZCJyPmbmiq5N9im0</t>
      </text>
    </comment>
    <comment authorId="0" ref="A93">
      <text>
        <t xml:space="preserve">2_ABaOnudbfMZed3kLOBZy9B_veoEbgRz7uOejZCuVbToMIkxo8c1UBJlG89U0i82N5RP73QE</t>
      </text>
    </comment>
    <comment authorId="0" ref="A94">
      <text>
        <t xml:space="preserve">2_ABaOnuevv-iCBZApdZSRmXkCEcnpkKbJtRnWOsdVKqjypK8tzYEhiI8Zb1mOMqMoS1uDNWE</t>
      </text>
    </comment>
    <comment authorId="0" ref="A95">
      <text>
        <t xml:space="preserve">2_ABaOnudTvUDMCVDncKX-UMkZzR_pJMRESV9MJKnSnztrDfzzMOe2QHrlvWMf_cDgIzV5lfk</t>
      </text>
    </comment>
    <comment authorId="0" ref="A96">
      <text>
        <t xml:space="preserve">2_ABaOnucbhsGegkcevA1VUki2R42PhCzuAj3Im_1K-vDqQMtg8jPegzmvYK152m-XBkPB6PQ</t>
      </text>
    </comment>
    <comment authorId="0" ref="A97">
      <text>
        <t xml:space="preserve">2_ABaOnudLQbLnbKrtINBssyLCbaPM3Fi8nSSiCcRvldEq30ahsu43w72xGC-d1CW4itE6QhI</t>
      </text>
    </comment>
    <comment authorId="0" ref="A98">
      <text>
        <t xml:space="preserve">2_ABaOnueD4lfjQmvxJvcmh06Rym2gbqG5s1kXaoKhyxc7oQaUDQjphcQQOnECVNtw2Oirxqk</t>
      </text>
    </comment>
    <comment authorId="0" ref="A99">
      <text>
        <t xml:space="preserve">2_ABaOnucNby3AdTuk9WqvcITSm8SRg3bbI2L_JhkW8HwaMznZdPj3Prgotv2MPKQH-l6IItc</t>
      </text>
    </comment>
    <comment authorId="0" ref="A100">
      <text>
        <t xml:space="preserve">2_ABaOnudACpURzwzfFmasXao6qutRjKjhudfkhF2lpvQyrlCMpH_l2F3i3ckqGJ4Fq_b6o3o</t>
      </text>
    </comment>
    <comment authorId="0" ref="A101">
      <text>
        <t xml:space="preserve">2_ABaOnuda0_8l5gCsqo8j7oNgTPAwvuYrETqbMb16utt2nEUtKHd-CHGiI2uBCbNYt4FmWdg</t>
      </text>
    </comment>
    <comment authorId="0" ref="A102">
      <text>
        <t xml:space="preserve">2_ABaOnuchYc7T7HMr8E2WTookYKDCCw39SF0R0PRRRkUBR1znf0s5bd9cP1HxvaugQ1WRpGc</t>
      </text>
    </comment>
    <comment authorId="0" ref="A103">
      <text>
        <t xml:space="preserve">2_ABaOnufBUFMzKMT14-XSf5_lgwRL5hqPNFpJWKtI78vZiOuSS4wxhRN_HFqgh9D_YVjZQeM</t>
      </text>
    </comment>
    <comment authorId="0" ref="A104">
      <text>
        <t xml:space="preserve">2_ABaOnudXGTwwV1A8N0HIogEyWSEgj1PW0uEf3fWj5dBxxNFN1x0TEpxSL48Qtzq9aHdkI0s</t>
      </text>
    </comment>
    <comment authorId="0" ref="A105">
      <text>
        <t xml:space="preserve">2_ABaOnucZ1TSZZWu3oOa7lrYd3aL7N1Wwqa9sJi-bE3Tr4Ky0rXevo_4_pGZEcZHg-7HJMjM</t>
      </text>
    </comment>
    <comment authorId="0" ref="A106">
      <text>
        <t xml:space="preserve">2_ABaOnueJX-wBmEL-RtW1qcKKsJqKE6mF-YJSDsQD3_NnmqCT5LLnRAJy8buI2Ka541AVy9U</t>
      </text>
    </comment>
    <comment authorId="0" ref="A107">
      <text>
        <t xml:space="preserve">2_ABaOnudaSAQQivuQ_oU3_i-gj0Hkho7lXIc5vYzhlm2VHMDWH6bk3Zeg_4vTyw4JK9zHpvg</t>
      </text>
    </comment>
    <comment authorId="0" ref="A108">
      <text>
        <t xml:space="preserve">2_ABaOnueFj9-2aGWxFJfqudZ1F5rxX-9TnnVYTGXbcZiqYNPJQTAtadXvfdflr9CO94vzgbQ</t>
      </text>
    </comment>
    <comment authorId="0" ref="A109">
      <text>
        <t xml:space="preserve">2_ABaOnue0B8eTB1bgs9AKq3MYcGupJE9Pa4T1q6CgAX6A86sSb7bJ0jZ7in2QS95dUR02eUQ</t>
      </text>
    </comment>
    <comment authorId="0" ref="A110">
      <text>
        <t xml:space="preserve">2_ABaOnufSe-K4cq-NJzeLK3wj4Y_S0qPeBMhaCKuXn8XQ4mt_AJoKnjihkExZr2gOF9emXVw</t>
      </text>
    </comment>
    <comment authorId="0" ref="A111">
      <text>
        <t xml:space="preserve">2_ABaOnuf8TVNHOdmev-PP2A8c67ZCG4ZJXdHF5YZOjbLY64ooc9DIvJBpDtyQs_3Gffwa9HY</t>
      </text>
    </comment>
    <comment authorId="0" ref="A112">
      <text>
        <t xml:space="preserve">2_ABaOnufa9Kql86ybJD95_ECBxDmZNGdn6t6Y-LC86kpDelj6Hv5E6YGyp-N4RZFrStD9hD8</t>
      </text>
    </comment>
    <comment authorId="0" ref="A113">
      <text>
        <t xml:space="preserve">2_ABaOnuewFosyeLhX31DrXynH0zPZwmL4A9K-ukSzsMJoK51-jIuB6NkLQ7-d48g6IMQ7VQk</t>
      </text>
    </comment>
    <comment authorId="0" ref="A114">
      <text>
        <t xml:space="preserve">2_ABaOnucCXX--N5EwqeVfy2aK2vyY7N_zXJpXNhgjYqduE08IzTYi7S4lkc1DMXU7Yf9pB1Y</t>
      </text>
    </comment>
    <comment authorId="0" ref="A115">
      <text>
        <t xml:space="preserve">2_ABaOnucXHVz5ycAoDrgcnYMKgPVzXOVMOlzXCrDL20oQsa1hv4drzZ7ZgW-xSKOwDzVmWqQ</t>
      </text>
    </comment>
    <comment authorId="0" ref="A116">
      <text>
        <t xml:space="preserve">2_ABaOnuftFk9ahxKpmmYhYVmJBpFeVUSKyGQOWrQQAAh411A3dKBOa4_usLWee2de9ABgh2c</t>
      </text>
    </comment>
    <comment authorId="0" ref="A117">
      <text>
        <t xml:space="preserve">2_ABaOnuffgp6vxBc5m0Fp9yIJNgCO2BzoS7lLUU_0MMmLQ2SAJT2tOQpaMX93M6MiBQ8HXRg</t>
      </text>
    </comment>
    <comment authorId="0" ref="A118">
      <text>
        <t xml:space="preserve">2_ABaOnudCzgpt_qNfPsqWUfveemP3HwpBd8-id2baarY4-jYIvLDv3FT7xIxf5eoYNFgn0HM</t>
      </text>
    </comment>
    <comment authorId="0" ref="A119">
      <text>
        <t xml:space="preserve">2_ABaOnudwNsNBw_ir_Qk8T3V7eCtoFcfiC6wnA1viO2A1p24sn96iCG9i4xfBNan8Yl1uAq0</t>
      </text>
    </comment>
    <comment authorId="0" ref="A120">
      <text>
        <t xml:space="preserve">2_ABaOnueO9t6J75kprszqUrM-pOUZ5MlQro6s-wKYVD6VpG4Q8nMaYz2FkfxIF5xgFHZz9H4</t>
      </text>
    </comment>
    <comment authorId="0" ref="A121">
      <text>
        <t xml:space="preserve">2_ABaOnudQSvO0aRJ_L5Fzgb23ZbY_rcFobGCgyJ0xhYgZrPWXz5_w3fTm87_HXgcees_LNm8</t>
      </text>
    </comment>
    <comment authorId="0" ref="A122">
      <text>
        <t xml:space="preserve">2_ABaOnuf_4UoxIMt-AxxVI3Ta2RDm9Ivtfi0_z68Py5Q2iLQuoYCd1iKD5NQoLhzHoKWsFoM</t>
      </text>
    </comment>
    <comment authorId="0" ref="A123">
      <text>
        <t xml:space="preserve">2_ABaOnufARyLl9QUv9N3BPlQpLRvm7orFZyzheTDwlCthoWjZ_UEOW5sg6HPmZI2_FcCwi2A</t>
      </text>
    </comment>
    <comment authorId="0" ref="A124">
      <text>
        <t xml:space="preserve">2_ABaOnudKAUzBJpCPbAzhQzAXUTOxT2n997ySWwNq9qD0OST61eoaGNUkwg-3YKU4vrmufzE</t>
      </text>
    </comment>
    <comment authorId="0" ref="A125">
      <text>
        <t xml:space="preserve">2_ABaOnueSx2rYUS-jvgXdwEDPACDCPCh33u2wDGbBIoVTi3wPhIBt9PeBruE11pKMKI6f9oI</t>
      </text>
    </comment>
    <comment authorId="0" ref="B125">
      <text>
        <t xml:space="preserve">2_ABaOnueSx2rYUS-jvgXdwEDPACDCPCh33u2wDGbBIoVTi3wPhIBt9PeBruE11pKMKI6f9oI</t>
      </text>
    </comment>
    <comment authorId="0" ref="A126">
      <text>
        <t xml:space="preserve">2_ABaOnucteOm6yS1dq1t_yJJBnN0a4iDJHRx_cUpW0J1z7XrpUxWY9o_J9FJ4HzfYrkmhbrU</t>
      </text>
    </comment>
    <comment authorId="0" ref="B126">
      <text>
        <t xml:space="preserve">2_ABaOnucteOm6yS1dq1t_yJJBnN0a4iDJHRx_cUpW0J1z7XrpUxWY9o_J9FJ4HzfYrkmhbrU</t>
      </text>
    </comment>
    <comment authorId="0" ref="A127">
      <text>
        <t xml:space="preserve">2_ABaOnucGjioEv5l48RZD-NIxQikcQDd7CKYFsp53GPXjwpfiyMyqKse8ZDd3S3oVouUwMlk</t>
      </text>
    </comment>
    <comment authorId="0" ref="B127">
      <text>
        <t xml:space="preserve">2_ABaOnucGjioEv5l48RZD-NIxQikcQDd7CKYFsp53GPXjwpfiyMyqKse8ZDd3S3oVouUwMlk</t>
      </text>
    </comment>
    <comment authorId="0" ref="A128">
      <text>
        <t xml:space="preserve">2_ABaOnueVMHCDfPUJ1h_jKLxVYzKSWjM5I4N27sCo6L_w4fhRbZ_A4aWQLU2obcfVM_j5xM8</t>
      </text>
    </comment>
    <comment authorId="0" ref="B128">
      <text>
        <t xml:space="preserve">2_ABaOnueVMHCDfPUJ1h_jKLxVYzKSWjM5I4N27sCo6L_w4fhRbZ_A4aWQLU2obcfVM_j5xM8</t>
      </text>
    </comment>
    <comment authorId="0" ref="A129">
      <text>
        <t xml:space="preserve">2_ABaOnud6QiHv4nTPkI4D-QiNPsyZWCfE2PbAsnI764TwybnOG1ja6Tl2DqD-XE-MVMmOPNc</t>
      </text>
    </comment>
    <comment authorId="0" ref="B129">
      <text>
        <t xml:space="preserve">2_ABaOnud6QiHv4nTPkI4D-QiNPsyZWCfE2PbAsnI764TwybnOG1ja6Tl2DqD-XE-MVMmOPNc</t>
      </text>
    </comment>
    <comment authorId="0" ref="A130">
      <text>
        <t xml:space="preserve">2_ABaOnudo-j7-JlsxG419URxtPxo77tdVf-f-DlDqZSbpj74-XLNyhsCbq0i3YLJ_6tSJdm4</t>
      </text>
    </comment>
    <comment authorId="0" ref="B130">
      <text>
        <t xml:space="preserve">2_ABaOnudo-j7-JlsxG419URxtPxo77tdVf-f-DlDqZSbpj74-XLNyhsCbq0i3YLJ_6tSJdm4</t>
      </text>
    </comment>
    <comment authorId="0" ref="A131">
      <text>
        <t xml:space="preserve">2_ABaOnufLHrxV0WDtTDR6Bjx7cHCVR5JStMGuhDRvAT2roY7fAZ-Rll-yDPWwPUrFYeZ5Rpw</t>
      </text>
    </comment>
    <comment authorId="0" ref="B131">
      <text>
        <t xml:space="preserve">2_ABaOnufLHrxV0WDtTDR6Bjx7cHCVR5JStMGuhDRvAT2roY7fAZ-Rll-yDPWwPUrFYeZ5Rpw</t>
      </text>
    </comment>
    <comment authorId="0" ref="A132">
      <text>
        <t xml:space="preserve">2_ABaOnudE7MLpC9I-fPDnMtEltcIMsep0KGS69fDjXCC_4jtAy46ZTZgtwh7DiNKGB2GC-wY</t>
      </text>
    </comment>
    <comment authorId="0" ref="B132">
      <text>
        <t xml:space="preserve">2_ABaOnudE7MLpC9I-fPDnMtEltcIMsep0KGS69fDjXCC_4jtAy46ZTZgtwh7DiNKGB2GC-wY</t>
      </text>
    </comment>
    <comment authorId="0" ref="A133">
      <text>
        <t xml:space="preserve">2_ABaOnufYJo0Cp87B08vRnLaTSfAfculD87neKToEDvMdC_FopK2pWXTnT4dpkamabskhSis</t>
      </text>
    </comment>
    <comment authorId="0" ref="B133">
      <text>
        <t xml:space="preserve">2_ABaOnufYJo0Cp87B08vRnLaTSfAfculD87neKToEDvMdC_FopK2pWXTnT4dpkamabskhSis</t>
      </text>
    </comment>
    <comment authorId="0" ref="A134">
      <text>
        <t xml:space="preserve">2_ABaOnufiXxtNY0kKUsU-q_j3214_TgGF_J0CU-4lG069f_ltuPYmREdprFcSoZGx5u4hZQM</t>
      </text>
    </comment>
    <comment authorId="0" ref="B134">
      <text>
        <t xml:space="preserve">2_ABaOnufiXxtNY0kKUsU-q_j3214_TgGF_J0CU-4lG069f_ltuPYmREdprFcSoZGx5u4hZQM</t>
      </text>
    </comment>
    <comment authorId="0" ref="A135">
      <text>
        <t xml:space="preserve">2_ABaOnucQXPjJOZSSDT7TOO6CXkiPRmbCXVkYJycHfCHn9fvB9AkRUNJYyyClkWCB4AmI0E4</t>
      </text>
    </comment>
    <comment authorId="0" ref="B135">
      <text>
        <t xml:space="preserve">2_ABaOnucQXPjJOZSSDT7TOO6CXkiPRmbCXVkYJycHfCHn9fvB9AkRUNJYyyClkWCB4AmI0E4</t>
      </text>
    </comment>
    <comment authorId="0" ref="A136">
      <text>
        <t xml:space="preserve">2_ABaOnue0rmXu1mQVP-cBIwD4wRWMtacZb4o2bvhH95XcouuhZzduTsxwRgnhyjd_AOXXn0Y</t>
      </text>
    </comment>
    <comment authorId="0" ref="B136">
      <text>
        <t xml:space="preserve">2_ABaOnue0rmXu1mQVP-cBIwD4wRWMtacZb4o2bvhH95XcouuhZzduTsxwRgnhyjd_AOXXn0Y</t>
      </text>
    </comment>
    <comment authorId="0" ref="A137">
      <text>
        <t xml:space="preserve">2_ABaOnudZnTTrinc2jbb60XKNSCc5MvkcyOLJhCFlHKuQEyP8kkN6saJHOV8Gy01w6F0FTGI</t>
      </text>
    </comment>
    <comment authorId="0" ref="B137">
      <text>
        <t xml:space="preserve">2_ABaOnudZnTTrinc2jbb60XKNSCc5MvkcyOLJhCFlHKuQEyP8kkN6saJHOV8Gy01w6F0FTGI</t>
      </text>
    </comment>
    <comment authorId="0" ref="A138">
      <text>
        <t xml:space="preserve">2_ABaOnudLzw7O3z5GV-DGDFgkF78GmAbjekD-BnjtG4S5AAknOmCMYoZWtHYe9e7MECCS53E</t>
      </text>
    </comment>
    <comment authorId="0" ref="B138">
      <text>
        <t xml:space="preserve">2_ABaOnudLzw7O3z5GV-DGDFgkF78GmAbjekD-BnjtG4S5AAknOmCMYoZWtHYe9e7MECCS53E</t>
      </text>
    </comment>
    <comment authorId="0" ref="A139">
      <text>
        <t xml:space="preserve">2_ABaOnufzZURBAZOwTNl0H7V3kQkEiycPCOWPgPyBeVBMPOutxtixLBY_UqareefHp5BL_rc</t>
      </text>
    </comment>
    <comment authorId="0" ref="B139">
      <text>
        <t xml:space="preserve">2_ABaOnufzZURBAZOwTNl0H7V3kQkEiycPCOWPgPyBeVBMPOutxtixLBY_UqareefHp5BL_rc</t>
      </text>
    </comment>
    <comment authorId="0" ref="A140">
      <text>
        <t xml:space="preserve">2_ABaOnucTvuN8Is7rE8RDkorUOSO0D_uaXgUvBIfnt8qnUGJQHps-6B_NulHJG_jNrXE2FnM</t>
      </text>
    </comment>
    <comment authorId="0" ref="B140">
      <text>
        <t xml:space="preserve">2_ABaOnucTvuN8Is7rE8RDkorUOSO0D_uaXgUvBIfnt8qnUGJQHps-6B_NulHJG_jNrXE2FnM</t>
      </text>
    </comment>
    <comment authorId="0" ref="A141">
      <text>
        <t xml:space="preserve">2_ABaOnudAYBGit7Hd56lhjPhW7idvtkqfZ1O8UM8Ffxs8JQlwB5g14RH-_PFYiT0SaVL3jZY</t>
      </text>
    </comment>
    <comment authorId="0" ref="B141">
      <text>
        <t xml:space="preserve">2_ABaOnudAYBGit7Hd56lhjPhW7idvtkqfZ1O8UM8Ffxs8JQlwB5g14RH-_PFYiT0SaVL3jZY</t>
      </text>
    </comment>
    <comment authorId="0" ref="A142">
      <text>
        <t xml:space="preserve">2_ABaOnudMswsgjMnxOhg4fze3VCzT4tGq0TligI3y7RLSxDCvVmPxF8l6wDkXqvx4Y22gPg8</t>
      </text>
    </comment>
    <comment authorId="0" ref="B142">
      <text>
        <t xml:space="preserve">2_ABaOnudMswsgjMnxOhg4fze3VCzT4tGq0TligI3y7RLSxDCvVmPxF8l6wDkXqvx4Y22gPg8</t>
      </text>
    </comment>
    <comment authorId="0" ref="A143">
      <text>
        <t xml:space="preserve">2_ABaOnue7h6yu1E9IzMgL29bi5z_28ugl9s68AVL3hd6yx3fu4jom9Z76oBlZXdU9bbVXj8E</t>
      </text>
    </comment>
    <comment authorId="0" ref="B143">
      <text>
        <t xml:space="preserve">2_ABaOnue7h6yu1E9IzMgL29bi5z_28ugl9s68AVL3hd6yx3fu4jom9Z76oBlZXdU9bbVXj8E</t>
      </text>
    </comment>
    <comment authorId="0" ref="A144">
      <text>
        <t xml:space="preserve">2_ABaOnucX_y8jEgD19v4pgmVNxcXJFxSeilwFwCQuvNuxWisns7N336w-ZS8CHn7sLyvR098</t>
      </text>
    </comment>
    <comment authorId="0" ref="B144">
      <text>
        <t xml:space="preserve">2_ABaOnucX_y8jEgD19v4pgmVNxcXJFxSeilwFwCQuvNuxWisns7N336w-ZS8CHn7sLyvR098</t>
      </text>
    </comment>
    <comment authorId="0" ref="A145">
      <text>
        <t xml:space="preserve">2_ABaOnud7FmQGcrD-B2EDPKiDEcvh3Td1i2DUMxvhuHMe8gs7zjwRFUkF13ylWacR3pUd4WY</t>
      </text>
    </comment>
    <comment authorId="0" ref="B145">
      <text>
        <t xml:space="preserve">2_ABaOnud7FmQGcrD-B2EDPKiDEcvh3Td1i2DUMxvhuHMe8gs7zjwRFUkF13ylWacR3pUd4WY</t>
      </text>
    </comment>
    <comment authorId="0" ref="A146">
      <text>
        <t xml:space="preserve">2_ABaOnudeKAmIV2ODkllnqao88OLW8dkOrH3ePP9AEDPx--_ufnWqyMeLOP_7FjavBSnozxQ</t>
      </text>
    </comment>
    <comment authorId="0" ref="B146">
      <text>
        <t xml:space="preserve">2_ABaOnudeKAmIV2ODkllnqao88OLW8dkOrH3ePP9AEDPx--_ufnWqyMeLOP_7FjavBSnozxQ</t>
      </text>
    </comment>
    <comment authorId="0" ref="A147">
      <text>
        <t xml:space="preserve">2_ABaOnudK2kGpOdmTRVcwSgPbGLem4ENBdHSjCVf9FQ40HtfdFuNfPR5xEXEUxHv8-89Oyvk</t>
      </text>
    </comment>
    <comment authorId="0" ref="B147">
      <text>
        <t xml:space="preserve">2_ABaOnudK2kGpOdmTRVcwSgPbGLem4ENBdHSjCVf9FQ40HtfdFuNfPR5xEXEUxHv8-89Oyvk</t>
      </text>
    </comment>
    <comment authorId="0" ref="A148">
      <text>
        <t xml:space="preserve">2_ABaOnufHzxMIjXGEZjEornYHV--lqHfJn3Tdf6AIp0TrAAFhkhbdDnbjKKDpK1TrBCtxkAo</t>
      </text>
    </comment>
    <comment authorId="0" ref="B148">
      <text>
        <t xml:space="preserve">2_ABaOnufHzxMIjXGEZjEornYHV--lqHfJn3Tdf6AIp0TrAAFhkhbdDnbjKKDpK1TrBCtxkAo</t>
      </text>
    </comment>
    <comment authorId="0" ref="A149">
      <text>
        <t xml:space="preserve">2_ABaOnufcyA0Ja_NMkB0bfqf6zZPuov_o637iFAqKXk2ILzcpv__kIBbhIWQV35XMTx8oQUs</t>
      </text>
    </comment>
    <comment authorId="0" ref="B149">
      <text>
        <t xml:space="preserve">2_ABaOnufcyA0Ja_NMkB0bfqf6zZPuov_o637iFAqKXk2ILzcpv__kIBbhIWQV35XMTx8oQUs</t>
      </text>
    </comment>
    <comment authorId="0" ref="A150">
      <text>
        <t xml:space="preserve">2_ABaOnue8hUHiFo6l9A0Q6XCMEUd47VJyyXpn4bdr7faOg33FW-Xma6Fpefby9kSDf9QtqTE</t>
      </text>
    </comment>
    <comment authorId="0" ref="B150">
      <text>
        <t xml:space="preserve">2_ABaOnue8hUHiFo6l9A0Q6XCMEUd47VJyyXpn4bdr7faOg33FW-Xma6Fpefby9kSDf9QtqTE</t>
      </text>
    </comment>
    <comment authorId="0" ref="A151">
      <text>
        <t xml:space="preserve">2_ABaOnucDFUxl547XovebM0JqEaK62GTUHy68dviAl0zFmgRDw7_eIFoiqvAW_MYhOCctuUk</t>
      </text>
    </comment>
    <comment authorId="0" ref="B151">
      <text>
        <t xml:space="preserve">2_ABaOnucDFUxl547XovebM0JqEaK62GTUHy68dviAl0zFmgRDw7_eIFoiqvAW_MYhOCctuUk</t>
      </text>
    </comment>
    <comment authorId="0" ref="A152">
      <text>
        <t xml:space="preserve">2_ABaOnudPKJ3XTLArY5YAy3IYNym69Z8PwMBTg5HyFe4Ca98Rk_yBabdyzRS27X3rtPRyROA</t>
      </text>
    </comment>
    <comment authorId="0" ref="B152">
      <text>
        <t xml:space="preserve">2_ABaOnudPKJ3XTLArY5YAy3IYNym69Z8PwMBTg5HyFe4Ca98Rk_yBabdyzRS27X3rtPRyROA</t>
      </text>
    </comment>
    <comment authorId="0" ref="A153">
      <text>
        <t xml:space="preserve">2_ABaOnudZm0gx5AcsGxkWD2u214GgNYojvO82HRplvmvjcTmrZ3LWZpPNzNr4bATKmuX_8tk</t>
      </text>
    </comment>
    <comment authorId="0" ref="B153">
      <text>
        <t xml:space="preserve">2_ABaOnudZm0gx5AcsGxkWD2u214GgNYojvO82HRplvmvjcTmrZ3LWZpPNzNr4bATKmuX_8tk</t>
      </text>
    </comment>
    <comment authorId="0" ref="A154">
      <text>
        <t xml:space="preserve">2_ABaOnufyuzkocUQhKnOiXOen1W5rQkBz8Ze8tMA5n5RcCZSkaeayOMgvi8EsXvWevwS10zU</t>
      </text>
    </comment>
    <comment authorId="0" ref="B154">
      <text>
        <t xml:space="preserve">2_ABaOnufyuzkocUQhKnOiXOen1W5rQkBz8Ze8tMA5n5RcCZSkaeayOMgvi8EsXvWevwS10zU</t>
      </text>
    </comment>
    <comment authorId="0" ref="A155">
      <text>
        <t xml:space="preserve">2_ABaOnuds7cP-2D2al2kr22cTfmlL-7DLtH_ANcMGJo7-CcUCtgyP6zRKT_F859PuNFx7JEw</t>
      </text>
    </comment>
    <comment authorId="0" ref="B155">
      <text>
        <t xml:space="preserve">2_ABaOnuds7cP-2D2al2kr22cTfmlL-7DLtH_ANcMGJo7-CcUCtgyP6zRKT_F859PuNFx7JEw</t>
      </text>
    </comment>
    <comment authorId="0" ref="A156">
      <text>
        <t xml:space="preserve">2_ABaOnufkkziZ7DfX6HVuh0-mrfmlMdp-5bWi-eoTHltRfOKugR5DiHAcIOco4hv0F6yk-zQ</t>
      </text>
    </comment>
    <comment authorId="0" ref="B156">
      <text>
        <t xml:space="preserve">2_ABaOnufkkziZ7DfX6HVuh0-mrfmlMdp-5bWi-eoTHltRfOKugR5DiHAcIOco4hv0F6yk-zQ</t>
      </text>
    </comment>
    <comment authorId="0" ref="A157">
      <text>
        <t xml:space="preserve">2_ABaOnucxipw4KvFDf7nlceoLMu0q_5VaptMXOQXFYCN4QmrCAepFZtgVmma4FHbhgR-98Do</t>
      </text>
    </comment>
    <comment authorId="0" ref="B157">
      <text>
        <t xml:space="preserve">2_ABaOnucxipw4KvFDf7nlceoLMu0q_5VaptMXOQXFYCN4QmrCAepFZtgVmma4FHbhgR-98Do</t>
      </text>
    </comment>
    <comment authorId="0" ref="A158">
      <text>
        <t xml:space="preserve">2_ABaOnucUltrz2T58NXAIvNAN3i-Gd3NU0-X6cy5Yi6Pwy9WtRv8tNEbIp7ff4Fg1K_pQdTA</t>
      </text>
    </comment>
    <comment authorId="0" ref="B158">
      <text>
        <t xml:space="preserve">2_ABaOnucUltrz2T58NXAIvNAN3i-Gd3NU0-X6cy5Yi6Pwy9WtRv8tNEbIp7ff4Fg1K_pQdTA</t>
      </text>
    </comment>
    <comment authorId="0" ref="A159">
      <text>
        <t xml:space="preserve">2_ABaOnufBf736R3YZ05r0ZNxtlEiS7qsCeF2JEY4IVUrJT8CKZ5adN68VG0WumVO1RYOi364</t>
      </text>
    </comment>
    <comment authorId="0" ref="B159">
      <text>
        <t xml:space="preserve">2_ABaOnufBf736R3YZ05r0ZNxtlEiS7qsCeF2JEY4IVUrJT8CKZ5adN68VG0WumVO1RYOi364</t>
      </text>
    </comment>
    <comment authorId="0" ref="A160">
      <text>
        <t xml:space="preserve">2_ABaOnuftymYfSdzH9VrtPS7JzQoP6BMkFI-_fcDGqHnElf7bHzp5uhV7Dy57_tuRpWJrR3M</t>
      </text>
    </comment>
    <comment authorId="0" ref="B160">
      <text>
        <t xml:space="preserve">2_ABaOnuftymYfSdzH9VrtPS7JzQoP6BMkFI-_fcDGqHnElf7bHzp5uhV7Dy57_tuRpWJrR3M</t>
      </text>
    </comment>
    <comment authorId="0" ref="A161">
      <text>
        <t xml:space="preserve">2_ABaOnuekuol_JUGd3yjJsxU33xe0MEzMV6FPt7pVrL-_-fr1qq0mBu6nI_iANkT1DeSQVws</t>
      </text>
    </comment>
    <comment authorId="0" ref="B161">
      <text>
        <t xml:space="preserve">2_ABaOnuekuol_JUGd3yjJsxU33xe0MEzMV6FPt7pVrL-_-fr1qq0mBu6nI_iANkT1DeSQVws</t>
      </text>
    </comment>
    <comment authorId="0" ref="A162">
      <text>
        <t xml:space="preserve">2_ABaOnuc8qNwiyjQHDu0PXsnJtGgkeMdo3BwwTzeXYjekitoSvU7ZHqgUaEOLQfpiR1il3Rc</t>
      </text>
    </comment>
    <comment authorId="0" ref="B162">
      <text>
        <t xml:space="preserve">2_ABaOnuc8qNwiyjQHDu0PXsnJtGgkeMdo3BwwTzeXYjekitoSvU7ZHqgUaEOLQfpiR1il3Rc</t>
      </text>
    </comment>
    <comment authorId="0" ref="A163">
      <text>
        <t xml:space="preserve">2_ABaOnud5KQryaLqbB2qsXNuq53fYnCApr6qnHhB6yziAwZydLxjPq83YH0Pbd307H0x7yTk</t>
      </text>
    </comment>
    <comment authorId="0" ref="B163">
      <text>
        <t xml:space="preserve">2_ABaOnud5KQryaLqbB2qsXNuq53fYnCApr6qnHhB6yziAwZydLxjPq83YH0Pbd307H0x7yTk</t>
      </text>
    </comment>
    <comment authorId="0" ref="A164">
      <text>
        <t xml:space="preserve">2_ABaOnuet7GC7uSt_2I4LHIlkLqOGHDDhfuTrOfQIYj4eGIUlANISuPpVKyUqI4FeFmRTve8</t>
      </text>
    </comment>
    <comment authorId="0" ref="B164">
      <text>
        <t xml:space="preserve">2_ABaOnuet7GC7uSt_2I4LHIlkLqOGHDDhfuTrOfQIYj4eGIUlANISuPpVKyUqI4FeFmRTve8</t>
      </text>
    </comment>
    <comment authorId="0" ref="A165">
      <text>
        <t xml:space="preserve">2_ABaOnufQ5e_tnceK8qMxBXlbXg33iqdkOYAFPbCYdtOKVNhkPZI7ERfD9FvHd0ylwe3Nvac</t>
      </text>
    </comment>
    <comment authorId="0" ref="B165">
      <text>
        <t xml:space="preserve">2_ABaOnufQ5e_tnceK8qMxBXlbXg33iqdkOYAFPbCYdtOKVNhkPZI7ERfD9FvHd0ylwe3Nvac</t>
      </text>
    </comment>
    <comment authorId="0" ref="A166">
      <text>
        <t xml:space="preserve">2_ABaOnue27uUhABaTqJwhyBw751EVob_3LMi13QTFUbsPPtXr8-yoB1UpRR_Aa3NzRMv9NHw</t>
      </text>
    </comment>
    <comment authorId="0" ref="B166">
      <text>
        <t xml:space="preserve">2_ABaOnue27uUhABaTqJwhyBw751EVob_3LMi13QTFUbsPPtXr8-yoB1UpRR_Aa3NzRMv9NHw</t>
      </text>
    </comment>
    <comment authorId="0" ref="A167">
      <text>
        <t xml:space="preserve">2_ABaOnue48xFYEEUMObO4u12tyzn_udKvhGuA7AgP91EhTYLLBCt4BBfpatW-n3PuFWyb-Ug</t>
      </text>
    </comment>
    <comment authorId="0" ref="B167">
      <text>
        <t xml:space="preserve">2_ABaOnue48xFYEEUMObO4u12tyzn_udKvhGuA7AgP91EhTYLLBCt4BBfpatW-n3PuFWyb-Ug</t>
      </text>
    </comment>
    <comment authorId="0" ref="A168">
      <text>
        <t xml:space="preserve">2_ABaOnudhFi9MpGkj0ZdxKhgVHIKEo6m36h18614lgx_pBwLji75G6pPL_G8-P4SccqCozK0</t>
      </text>
    </comment>
    <comment authorId="0" ref="B168">
      <text>
        <t xml:space="preserve">2_ABaOnudhFi9MpGkj0ZdxKhgVHIKEo6m36h18614lgx_pBwLji75G6pPL_G8-P4SccqCozK0</t>
      </text>
    </comment>
    <comment authorId="0" ref="A169">
      <text>
        <t xml:space="preserve">2_ABaOnuecBn9TbgkvmslNsF9IaI_DMQNLnc9UMdLsgs_17Wj2o3oI1IYQa7z4L4_J1BwaBhw</t>
      </text>
    </comment>
    <comment authorId="0" ref="B169">
      <text>
        <t xml:space="preserve">2_ABaOnuecBn9TbgkvmslNsF9IaI_DMQNLnc9UMdLsgs_17Wj2o3oI1IYQa7z4L4_J1BwaBhw</t>
      </text>
    </comment>
    <comment authorId="0" ref="A170">
      <text>
        <t xml:space="preserve">2_ABaOnudjAgZokP0iHsPoKX80nWsFY5q7vyhAEMIKU6jmdmpdzJaBVT-QmJB8bTPkjQjP5EQ</t>
      </text>
    </comment>
    <comment authorId="0" ref="B170">
      <text>
        <t xml:space="preserve">2_ABaOnudjAgZokP0iHsPoKX80nWsFY5q7vyhAEMIKU6jmdmpdzJaBVT-QmJB8bTPkjQjP5EQ</t>
      </text>
    </comment>
    <comment authorId="0" ref="A171">
      <text>
        <t xml:space="preserve">2_ABaOnue_XLAzsm3F8wpByZVkYjoa2Thc5ONtwTTKMWTNZR3UTn_uvLqXDPyGRUmKVaNkikE</t>
      </text>
    </comment>
    <comment authorId="0" ref="B171">
      <text>
        <t xml:space="preserve">2_ABaOnue_XLAzsm3F8wpByZVkYjoa2Thc5ONtwTTKMWTNZR3UTn_uvLqXDPyGRUmKVaNkikE</t>
      </text>
    </comment>
    <comment authorId="0" ref="A172">
      <text>
        <t xml:space="preserve">2_ABaOnuerN1WDdN9rsFs6WGyRuF3qWRX2XIfhJdna5gGSnmsUe5QkhV2II7uIWsnG7QjWcXU</t>
      </text>
    </comment>
    <comment authorId="0" ref="B172">
      <text>
        <t xml:space="preserve">2_ABaOnuerN1WDdN9rsFs6WGyRuF3qWRX2XIfhJdna5gGSnmsUe5QkhV2II7uIWsnG7QjWcXU</t>
      </text>
    </comment>
    <comment authorId="0" ref="A173">
      <text>
        <t xml:space="preserve">2_ABaOnuchdG0Vqn44JBi3rtwTmpxzdfUx5JrePXZivmiEHlSrUJ4xzc85eKPlsYl4ki4VHQo</t>
      </text>
    </comment>
    <comment authorId="0" ref="B173">
      <text>
        <t xml:space="preserve">2_ABaOnuchdG0Vqn44JBi3rtwTmpxzdfUx5JrePXZivmiEHlSrUJ4xzc85eKPlsYl4ki4VHQo</t>
      </text>
    </comment>
    <comment authorId="0" ref="A174">
      <text>
        <t xml:space="preserve">2_ABaOnucHyMuZE119xWQLKukLKHQC5FDJRPx6bQnFxd7CvYtemUetgnlm2-4L4LyNkBUSFA0</t>
      </text>
    </comment>
    <comment authorId="0" ref="B174">
      <text>
        <t xml:space="preserve">2_ABaOnucHyMuZE119xWQLKukLKHQC5FDJRPx6bQnFxd7CvYtemUetgnlm2-4L4LyNkBUSFA0</t>
      </text>
    </comment>
    <comment authorId="0" ref="A175">
      <text>
        <t xml:space="preserve">2_ABaOnudjDvJokmaIDT0o6eyRSCqD6xUW0AC7ehVrHP6fVoWhKUPMxWkIqKia9_Gpn3nddUQ</t>
      </text>
    </comment>
    <comment authorId="0" ref="B175">
      <text>
        <t xml:space="preserve">2_ABaOnudjDvJokmaIDT0o6eyRSCqD6xUW0AC7ehVrHP6fVoWhKUPMxWkIqKia9_Gpn3nddUQ</t>
      </text>
    </comment>
    <comment authorId="0" ref="A176">
      <text>
        <t xml:space="preserve">2_ABaOnufTBsoXVJ7tXXiNmXdTuYPIc2jTH07TNbYTw9VwZ66TcPyGpnIld8d0QhkYqc-hgRY</t>
      </text>
    </comment>
    <comment authorId="0" ref="B176">
      <text>
        <t xml:space="preserve">2_ABaOnufTBsoXVJ7tXXiNmXdTuYPIc2jTH07TNbYTw9VwZ66TcPyGpnIld8d0QhkYqc-hgRY</t>
      </text>
    </comment>
    <comment authorId="0" ref="A177">
      <text>
        <t xml:space="preserve">2_ABaOnueLg5lzQUB6IP4IpGUn7cqnRE2dI7r__JGNYSjFp3gy_Hkb5fM_lajHO2iTLtT6_w4</t>
      </text>
    </comment>
    <comment authorId="0" ref="B177">
      <text>
        <t xml:space="preserve">2_ABaOnueLg5lzQUB6IP4IpGUn7cqnRE2dI7r__JGNYSjFp3gy_Hkb5fM_lajHO2iTLtT6_w4</t>
      </text>
    </comment>
    <comment authorId="0" ref="A178">
      <text>
        <t xml:space="preserve">2_ABaOnufVdV9D3fi_MGNyseVUdvl_fRPeBU8g6gYDtXiLkMWpuT9XzvVr3yitoeEKqqWtM5I</t>
      </text>
    </comment>
    <comment authorId="0" ref="B178">
      <text>
        <t xml:space="preserve">2_ABaOnufVdV9D3fi_MGNyseVUdvl_fRPeBU8g6gYDtXiLkMWpuT9XzvVr3yitoeEKqqWtM5I</t>
      </text>
    </comment>
    <comment authorId="0" ref="A179">
      <text>
        <t xml:space="preserve">2_ABaOnucDkEFYi4YIv7bVRkSeNkahWEhwEoUscIFnnhYgTMgLIJQmJQb6gKTW_-sTP7C7zCk</t>
      </text>
    </comment>
    <comment authorId="0" ref="B179">
      <text>
        <t xml:space="preserve">2_ABaOnucDkEFYi4YIv7bVRkSeNkahWEhwEoUscIFnnhYgTMgLIJQmJQb6gKTW_-sTP7C7zCk</t>
      </text>
    </comment>
    <comment authorId="0" ref="A180">
      <text>
        <t xml:space="preserve">2_ABaOnucqr-oLkkdOykz-uCxfAIQkJ4QkAopIl_1khp8jzCXbXcXnRNwWICGDK0g54HUbusk</t>
      </text>
    </comment>
    <comment authorId="0" ref="B180">
      <text>
        <t xml:space="preserve">2_ABaOnucqr-oLkkdOykz-uCxfAIQkJ4QkAopIl_1khp8jzCXbXcXnRNwWICGDK0g54HUbusk</t>
      </text>
    </comment>
    <comment authorId="0" ref="A181">
      <text>
        <t xml:space="preserve">2_ABaOnudN54AG8I8TlB0EeaWOT8WDz567S3neBX4z6HGBMFPoEEdHakiYvZrn1zwNwr6TtqI</t>
      </text>
    </comment>
    <comment authorId="0" ref="B181">
      <text>
        <t xml:space="preserve">2_ABaOnudN54AG8I8TlB0EeaWOT8WDz567S3neBX4z6HGBMFPoEEdHakiYvZrn1zwNwr6TtqI</t>
      </text>
    </comment>
    <comment authorId="0" ref="A182">
      <text>
        <t xml:space="preserve">2_ABaOnue4GGgNfriR2GLaxT3ssDi5rWmsVl41cGOlai6rzJ_dVK2xvcjMhT8XIAvgY-nkLJ8</t>
      </text>
    </comment>
    <comment authorId="0" ref="B182">
      <text>
        <t xml:space="preserve">2_ABaOnue4GGgNfriR2GLaxT3ssDi5rWmsVl41cGOlai6rzJ_dVK2xvcjMhT8XIAvgY-nkLJ8</t>
      </text>
    </comment>
    <comment authorId="0" ref="A183">
      <text>
        <t xml:space="preserve">2_ABaOnucrdNCOvD9ikuFlQheGWp5A1jPkntfeAGCbr3vsPY48NuQU3GNnEzPB2bxeLZRkcJc</t>
      </text>
    </comment>
    <comment authorId="0" ref="B183">
      <text>
        <t xml:space="preserve">2_ABaOnucrdNCOvD9ikuFlQheGWp5A1jPkntfeAGCbr3vsPY48NuQU3GNnEzPB2bxeLZRkcJc</t>
      </text>
    </comment>
    <comment authorId="0" ref="A184">
      <text>
        <t xml:space="preserve">2_ABaOnufBwWTC9cf8SinsWegMry9UPh9w-dD5xxiHlaqEPO2GbdBw7WQkqX7D8Nz7cBwZM44</t>
      </text>
    </comment>
    <comment authorId="0" ref="B184">
      <text>
        <t xml:space="preserve">2_ABaOnufBwWTC9cf8SinsWegMry9UPh9w-dD5xxiHlaqEPO2GbdBw7WQkqX7D8Nz7cBwZM44</t>
      </text>
    </comment>
    <comment authorId="0" ref="A185">
      <text>
        <t xml:space="preserve">2_ABaOnueA-J6_iuZoqf01sOF6DqhVCK9NFcICCLmX_94id2SMskNrkn1IhCxKuY5FRfruF_E</t>
      </text>
    </comment>
    <comment authorId="0" ref="B185">
      <text>
        <t xml:space="preserve">2_ABaOnueA-J6_iuZoqf01sOF6DqhVCK9NFcICCLmX_94id2SMskNrkn1IhCxKuY5FRfruF_E</t>
      </text>
    </comment>
    <comment authorId="0" ref="A186">
      <text>
        <t xml:space="preserve">2_ABaOnudh2jEoZNQLHCCnqeO4LegLzIfS2UtIjPjLBXx84hGNfzgndYcm6DMScBRRuQzFzNM</t>
      </text>
    </comment>
    <comment authorId="0" ref="B186">
      <text>
        <t xml:space="preserve">2_ABaOnudh2jEoZNQLHCCnqeO4LegLzIfS2UtIjPjLBXx84hGNfzgndYcm6DMScBRRuQzFzNM</t>
      </text>
    </comment>
    <comment authorId="0" ref="A187">
      <text>
        <t xml:space="preserve">2_ABaOnucRlX3qepe15NJgggDwJL7FAh0eyvme9tNi0U4lNFCIB_Clr5A4-zQSmuqrRW4AViM</t>
      </text>
    </comment>
    <comment authorId="0" ref="B187">
      <text>
        <t xml:space="preserve">2_ABaOnucRlX3qepe15NJgggDwJL7FAh0eyvme9tNi0U4lNFCIB_Clr5A4-zQSmuqrRW4AViM</t>
      </text>
    </comment>
    <comment authorId="0" ref="A188">
      <text>
        <t xml:space="preserve">2_ABaOnuf_LmNrdIgzax4ZozmS8YTr9xnqTVWdJut6oWJ-scT_QF0WBARax5KScGjLNGWPC0E</t>
      </text>
    </comment>
    <comment authorId="0" ref="B188">
      <text>
        <t xml:space="preserve">2_ABaOnuf_LmNrdIgzax4ZozmS8YTr9xnqTVWdJut6oWJ-scT_QF0WBARax5KScGjLNGWPC0E</t>
      </text>
    </comment>
    <comment authorId="0" ref="A189">
      <text>
        <t xml:space="preserve">2_ABaOnufT-TJhaXE9a2-3Iv4t9jSh5ewToXATOrQUjGolAIGiXpYimbZwb_fTs3ZnnwbZTig</t>
      </text>
    </comment>
    <comment authorId="0" ref="B189">
      <text>
        <t xml:space="preserve">2_ABaOnufT-TJhaXE9a2-3Iv4t9jSh5ewToXATOrQUjGolAIGiXpYimbZwb_fTs3ZnnwbZTig</t>
      </text>
    </comment>
    <comment authorId="0" ref="A190">
      <text>
        <t xml:space="preserve">2_ABaOnufZVJ0LK_11xRY0xeB1lE9Fna3IiZiPmMiKpfL9eo3qgA8aolbvg5kjSsiQIw6P8YA</t>
      </text>
    </comment>
    <comment authorId="0" ref="B190">
      <text>
        <t xml:space="preserve">2_ABaOnufZVJ0LK_11xRY0xeB1lE9Fna3IiZiPmMiKpfL9eo3qgA8aolbvg5kjSsiQIw6P8YA</t>
      </text>
    </comment>
    <comment authorId="0" ref="A191">
      <text>
        <t xml:space="preserve">2_ABaOnufip563gvsYpT2cIWbER8ve-h4iB_l-TPCTM2km-3lzXLkFn1iqPKbBsKJgAE17SN0</t>
      </text>
    </comment>
    <comment authorId="0" ref="B191">
      <text>
        <t xml:space="preserve">2_ABaOnufip563gvsYpT2cIWbER8ve-h4iB_l-TPCTM2km-3lzXLkFn1iqPKbBsKJgAE17SN0</t>
      </text>
    </comment>
    <comment authorId="0" ref="A192">
      <text>
        <t xml:space="preserve">2_ABaOnudXM_UfFdBKAy0o1PesliWKSsAsn3DqdqGlr-3LYzb2FqnNLQhXDuKEymvoT1sm0As</t>
      </text>
    </comment>
    <comment authorId="0" ref="B192">
      <text>
        <t xml:space="preserve">2_ABaOnudXM_UfFdBKAy0o1PesliWKSsAsn3DqdqGlr-3LYzb2FqnNLQhXDuKEymvoT1sm0As</t>
      </text>
    </comment>
    <comment authorId="0" ref="A193">
      <text>
        <t xml:space="preserve">2_ABaOnucKwUHuhFsRCXq30AmRQhNkUXfiaPrx35H65-zkHqd3pepyEm7kcuxJkzmE39Gbt30</t>
      </text>
    </comment>
    <comment authorId="0" ref="B193">
      <text>
        <t xml:space="preserve">2_ABaOnucKwUHuhFsRCXq30AmRQhNkUXfiaPrx35H65-zkHqd3pepyEm7kcuxJkzmE39Gbt30</t>
      </text>
    </comment>
    <comment authorId="0" ref="A194">
      <text>
        <t xml:space="preserve">2_ABaOnue_-GJbiLYq4fuqlBfHaDxlzg4hoFluKhaf1nhGcSwgPZqwdA7WQrqIt6f29YvVYVw</t>
      </text>
    </comment>
    <comment authorId="0" ref="B194">
      <text>
        <t xml:space="preserve">2_ABaOnue_-GJbiLYq4fuqlBfHaDxlzg4hoFluKhaf1nhGcSwgPZqwdA7WQrqIt6f29YvVYVw</t>
      </text>
    </comment>
    <comment authorId="0" ref="A195">
      <text>
        <t xml:space="preserve">2_ABaOnufOWxmwoFl3bbs_zbt8mlOmjF8GdhPBI59S-OkqB5yEbtc3Kkwtpjw3BspHI7lr98g</t>
      </text>
    </comment>
    <comment authorId="0" ref="B195">
      <text>
        <t xml:space="preserve">2_ABaOnufOWxmwoFl3bbs_zbt8mlOmjF8GdhPBI59S-OkqB5yEbtc3Kkwtpjw3BspHI7lr98g</t>
      </text>
    </comment>
    <comment authorId="0" ref="A196">
      <text>
        <t xml:space="preserve">2_ABaOnucPEvNOdiE2w-P-WhC1z2UMMfkCZ116cADPw66b16LKbyfhfKzfClMpvvy7HiIMl5E</t>
      </text>
    </comment>
    <comment authorId="0" ref="B196">
      <text>
        <t xml:space="preserve">2_ABaOnucPEvNOdiE2w-P-WhC1z2UMMfkCZ116cADPw66b16LKbyfhfKzfClMpvvy7HiIMl5E</t>
      </text>
    </comment>
    <comment authorId="0" ref="A197">
      <text>
        <t xml:space="preserve">2_ABaOnuci6acxSHBS1LzwTBnjApRrfYR1Vgd5J1vz67GiSYyTOEHX3An54wtRZHzKVEalSLM</t>
      </text>
    </comment>
    <comment authorId="0" ref="B197">
      <text>
        <t xml:space="preserve">2_ABaOnuci6acxSHBS1LzwTBnjApRrfYR1Vgd5J1vz67GiSYyTOEHX3An54wtRZHzKVEalSLM</t>
      </text>
    </comment>
    <comment authorId="0" ref="A198">
      <text>
        <t xml:space="preserve">2_ABaOnuesRtbcf4qoajEXV87-wjNL6yTrOQ-YR5_4fvh54np0CEakmV8zp5nV8DHDFquzbOo</t>
      </text>
    </comment>
    <comment authorId="0" ref="B198">
      <text>
        <t xml:space="preserve">2_ABaOnuesRtbcf4qoajEXV87-wjNL6yTrOQ-YR5_4fvh54np0CEakmV8zp5nV8DHDFquzbOo</t>
      </text>
    </comment>
    <comment authorId="0" ref="A199">
      <text>
        <t xml:space="preserve">2_ABaOnufLaQ1NDGDQlzFB9RtzrnaTGTQLm5cda0jg9-8LKEbRmUkiZFplPPOrbGzpGmyV2J8</t>
      </text>
    </comment>
    <comment authorId="0" ref="B199">
      <text>
        <t xml:space="preserve">2_ABaOnufLaQ1NDGDQlzFB9RtzrnaTGTQLm5cda0jg9-8LKEbRmUkiZFplPPOrbGzpGmyV2J8</t>
      </text>
    </comment>
    <comment authorId="0" ref="A200">
      <text>
        <t xml:space="preserve">2_ABaOnudZ2aDTwd2UgLktG7asOfvKb5NdF92LeCfdD6wzBpUm6MpRjkdfvRpVFNS1sQDjgh4</t>
      </text>
    </comment>
    <comment authorId="0" ref="B200">
      <text>
        <t xml:space="preserve">2_ABaOnudZ2aDTwd2UgLktG7asOfvKb5NdF92LeCfdD6wzBpUm6MpRjkdfvRpVFNS1sQDjgh4</t>
      </text>
    </comment>
    <comment authorId="0" ref="A201">
      <text>
        <t xml:space="preserve">2_ABaOnufmFZ75EwxB5y2FqLPeMvra3pw19DGC625KKZFy08iNzpBvWOHe9jTM4aul-yHYlpE</t>
      </text>
    </comment>
    <comment authorId="0" ref="B201">
      <text>
        <t xml:space="preserve">2_ABaOnufmFZ75EwxB5y2FqLPeMvra3pw19DGC625KKZFy08iNzpBvWOHe9jTM4aul-yHYlpE</t>
      </text>
    </comment>
    <comment authorId="0" ref="A202">
      <text>
        <t xml:space="preserve">2_ABaOnudxO9PYrSrMFkfCzisohU0uQ3_gRnMhTggZOuBE_aWXOUJG1hTT-HimmJrt6_KdRTU</t>
      </text>
    </comment>
    <comment authorId="0" ref="B202">
      <text>
        <t xml:space="preserve">2_ABaOnudxO9PYrSrMFkfCzisohU0uQ3_gRnMhTggZOuBE_aWXOUJG1hTT-HimmJrt6_KdRTU</t>
      </text>
    </comment>
    <comment authorId="0" ref="A203">
      <text>
        <t xml:space="preserve">2_ABaOnuewKR4o2Dlka0dP1yLB0rn6Pc1Mxz2nGnMDGihmb---u2OCjZKkQwkXgWw4cg-ASpw</t>
      </text>
    </comment>
    <comment authorId="0" ref="B203">
      <text>
        <t xml:space="preserve">2_ABaOnuewKR4o2Dlka0dP1yLB0rn6Pc1Mxz2nGnMDGihmb---u2OCjZKkQwkXgWw4cg-ASpw</t>
      </text>
    </comment>
    <comment authorId="0" ref="A204">
      <text>
        <t xml:space="preserve">2_ABaOnueWTac63c6NThPC1NSQBCy4JcddQxthvjjtJvxwA1B1pQu1oselHy3oOFvKIDAnRNI</t>
      </text>
    </comment>
    <comment authorId="0" ref="B204">
      <text>
        <t xml:space="preserve">2_ABaOnueWTac63c6NThPC1NSQBCy4JcddQxthvjjtJvxwA1B1pQu1oselHy3oOFvKIDAnRNI</t>
      </text>
    </comment>
    <comment authorId="0" ref="A205">
      <text>
        <t xml:space="preserve">2_ABaOnudsYJ98RDJhjtJBNkqWjflNN8PLUD4ApFZYMyqBgePaV6sB78gnwhPRdfo8gFku1qs</t>
      </text>
    </comment>
    <comment authorId="0" ref="B205">
      <text>
        <t xml:space="preserve">2_ABaOnudsYJ98RDJhjtJBNkqWjflNN8PLUD4ApFZYMyqBgePaV6sB78gnwhPRdfo8gFku1qs</t>
      </text>
    </comment>
    <comment authorId="0" ref="A206">
      <text>
        <t xml:space="preserve">2_ABaOnue_3g756QAw7jLeP96t2t1JwN16HkbK6dxXXii1_hm9McrVHrsO-cqo4aZKFKXqnuI</t>
      </text>
    </comment>
    <comment authorId="0" ref="B206">
      <text>
        <t xml:space="preserve">2_ABaOnue_3g756QAw7jLeP96t2t1JwN16HkbK6dxXXii1_hm9McrVHrsO-cqo4aZKFKXqnuI</t>
      </text>
    </comment>
    <comment authorId="0" ref="A207">
      <text>
        <t xml:space="preserve">2_ABaOnudQp0dc2F6wg3wiWdVtzSmTR_0KC1a_zgURf0uum_qNObgOeZzRHLF9vjla4qIbRSM</t>
      </text>
    </comment>
    <comment authorId="0" ref="B207">
      <text>
        <t xml:space="preserve">2_ABaOnudQp0dc2F6wg3wiWdVtzSmTR_0KC1a_zgURf0uum_qNObgOeZzRHLF9vjla4qIbRSM</t>
      </text>
    </comment>
    <comment authorId="0" ref="A208">
      <text>
        <t xml:space="preserve">2_ABaOnueAus6ZxLDjB6a3LQrbOSjX3jHJwatH3LEeOSO50811CAokubv4TSWzTdNsKmdHDNI</t>
      </text>
    </comment>
    <comment authorId="0" ref="B208">
      <text>
        <t xml:space="preserve">2_ABaOnueAus6ZxLDjB6a3LQrbOSjX3jHJwatH3LEeOSO50811CAokubv4TSWzTdNsKmdHDNI</t>
      </text>
    </comment>
    <comment authorId="0" ref="A209">
      <text>
        <t xml:space="preserve">2_ABaOnufLtoZqUZQWKgEg16ZZozszznoTiC_VnMTXquyP5MaTUi5gF5veAr4F8_nSwbO6lp8</t>
      </text>
    </comment>
    <comment authorId="0" ref="B209">
      <text>
        <t xml:space="preserve">2_ABaOnufLtoZqUZQWKgEg16ZZozszznoTiC_VnMTXquyP5MaTUi5gF5veAr4F8_nSwbO6lp8</t>
      </text>
    </comment>
    <comment authorId="0" ref="A210">
      <text>
        <t xml:space="preserve">2_ABaOnufK9zxGTdjvfsuZuBO3UQCCnmGU8qLWPbIxxRJ3GZ_R9Bhzz88jNwAKiXn3PRnn8Oo</t>
      </text>
    </comment>
    <comment authorId="0" ref="B210">
      <text>
        <t xml:space="preserve">2_ABaOnufK9zxGTdjvfsuZuBO3UQCCnmGU8qLWPbIxxRJ3GZ_R9Bhzz88jNwAKiXn3PRnn8Oo</t>
      </text>
    </comment>
    <comment authorId="0" ref="A211">
      <text>
        <t xml:space="preserve">2_ABaOnucAWdY2DYTeTeMyYspadiUKfVr4adUWYemKpXZVaMcchn6DCHZqbAy-RkjvrxwilF8</t>
      </text>
    </comment>
    <comment authorId="0" ref="B211">
      <text>
        <t xml:space="preserve">2_ABaOnucAWdY2DYTeTeMyYspadiUKfVr4adUWYemKpXZVaMcchn6DCHZqbAy-RkjvrxwilF8</t>
      </text>
    </comment>
    <comment authorId="0" ref="A212">
      <text>
        <t xml:space="preserve">2_ABaOnucuWx_20crXsPQMsVEk_W1ElvPxsjVhmLApiw8b-lnA7qDTNuUGAFRm0iSUgCyoCNE</t>
      </text>
    </comment>
    <comment authorId="0" ref="B212">
      <text>
        <t xml:space="preserve">2_ABaOnucuWx_20crXsPQMsVEk_W1ElvPxsjVhmLApiw8b-lnA7qDTNuUGAFRm0iSUgCyoCNE</t>
      </text>
    </comment>
    <comment authorId="0" ref="A213">
      <text>
        <t xml:space="preserve">2_ABaOnufwRMSHJlXV3xI4AAUeEwyRj96e_8mhc8uKC-WjGgde-edGEGgbDdDYlu1FKcChySo</t>
      </text>
    </comment>
    <comment authorId="0" ref="B213">
      <text>
        <t xml:space="preserve">2_ABaOnufwRMSHJlXV3xI4AAUeEwyRj96e_8mhc8uKC-WjGgde-edGEGgbDdDYlu1FKcChySo</t>
      </text>
    </comment>
    <comment authorId="0" ref="A214">
      <text>
        <t xml:space="preserve">2_ABaOnueT_U5Zz5VAtrQkN6KONkp9U37SdhGHwIba9YahcoOngFDk1cpo3c7SUo4rpBMq-rI</t>
      </text>
    </comment>
    <comment authorId="0" ref="B214">
      <text>
        <t xml:space="preserve">2_ABaOnueT_U5Zz5VAtrQkN6KONkp9U37SdhGHwIba9YahcoOngFDk1cpo3c7SUo4rpBMq-rI</t>
      </text>
    </comment>
    <comment authorId="0" ref="A215">
      <text>
        <t xml:space="preserve">2_ABaOnueBc0N9Ve5B2vFgAj4D11DaNnOfTN-K11Xk7ofwpqRzWOQc4V61y0g0dzUL_Buvk6Q</t>
      </text>
    </comment>
    <comment authorId="0" ref="B215">
      <text>
        <t xml:space="preserve">2_ABaOnueBc0N9Ve5B2vFgAj4D11DaNnOfTN-K11Xk7ofwpqRzWOQc4V61y0g0dzUL_Buvk6Q</t>
      </text>
    </comment>
    <comment authorId="0" ref="A216">
      <text>
        <t xml:space="preserve">2_ABaOnuchbGmBZHKKJxbLLDIFKPEk0DYTIqQC6ouTk63dyHi6NJrBOSAxAf-G7ci8E3O0bkw</t>
      </text>
    </comment>
    <comment authorId="0" ref="B216">
      <text>
        <t xml:space="preserve">2_ABaOnuchbGmBZHKKJxbLLDIFKPEk0DYTIqQC6ouTk63dyHi6NJrBOSAxAf-G7ci8E3O0bkw</t>
      </text>
    </comment>
    <comment authorId="0" ref="A217">
      <text>
        <t xml:space="preserve">2_ABaOnucLX_7dN88ZSoR-cSE9e6NkrXqRznYV-K6l6NhX1u3STieI9RFE59bW56f5YaQiM_w</t>
      </text>
    </comment>
    <comment authorId="0" ref="B217">
      <text>
        <t xml:space="preserve">2_ABaOnucLX_7dN88ZSoR-cSE9e6NkrXqRznYV-K6l6NhX1u3STieI9RFE59bW56f5YaQiM_w</t>
      </text>
    </comment>
    <comment authorId="0" ref="A218">
      <text>
        <t xml:space="preserve">2_ABaOnueamvkuSt1KSm1FMrD8vmHnqiFvL4-kaWqMw1vk3ahgVlZS1idc3jpzhvmqi6qO2h8</t>
      </text>
    </comment>
    <comment authorId="0" ref="B218">
      <text>
        <t xml:space="preserve">2_ABaOnueamvkuSt1KSm1FMrD8vmHnqiFvL4-kaWqMw1vk3ahgVlZS1idc3jpzhvmqi6qO2h8</t>
      </text>
    </comment>
    <comment authorId="0" ref="A219">
      <text>
        <t xml:space="preserve">2_ABaOnudAY6QOmQZPJreFTLka3MkJ-u1sgLkdOwlWno3qWwOewKQbnjTRLlFqCEpd_xxXlio</t>
      </text>
    </comment>
    <comment authorId="0" ref="B219">
      <text>
        <t xml:space="preserve">2_ABaOnudAY6QOmQZPJreFTLka3MkJ-u1sgLkdOwlWno3qWwOewKQbnjTRLlFqCEpd_xxXlio</t>
      </text>
    </comment>
    <comment authorId="0" ref="A220">
      <text>
        <t xml:space="preserve">2_ABaOnucma85MNKr7ZyMtgpB-1iBuHcf-fuMxrCfcmi9Hs2ZGiBmKBK7v3PRyOqo5nuqJocQ</t>
      </text>
    </comment>
    <comment authorId="0" ref="B220">
      <text>
        <t xml:space="preserve">2_ABaOnucma85MNKr7ZyMtgpB-1iBuHcf-fuMxrCfcmi9Hs2ZGiBmKBK7v3PRyOqo5nuqJocQ</t>
      </text>
    </comment>
    <comment authorId="0" ref="A221">
      <text>
        <t xml:space="preserve">2_ABaOnuczTlGrjiHZXEQI6EVgRjiOMKQUX2C3H-jq97aUoaxQallJl0ik_6sFNe2ZzCrS7rk</t>
      </text>
    </comment>
    <comment authorId="0" ref="B221">
      <text>
        <t xml:space="preserve">2_ABaOnuczTlGrjiHZXEQI6EVgRjiOMKQUX2C3H-jq97aUoaxQallJl0ik_6sFNe2ZzCrS7rk</t>
      </text>
    </comment>
    <comment authorId="0" ref="A222">
      <text>
        <t xml:space="preserve">2_ABaOnuc7S7S4SB1cKs1uTH6sLwXWVDfIeG5zNj9cqTwWFbYDc0n6gwdZJ53tAwRXku1SKm8</t>
      </text>
    </comment>
    <comment authorId="0" ref="B222">
      <text>
        <t xml:space="preserve">2_ABaOnuc7S7S4SB1cKs1uTH6sLwXWVDfIeG5zNj9cqTwWFbYDc0n6gwdZJ53tAwRXku1SKm8</t>
      </text>
    </comment>
    <comment authorId="0" ref="A223">
      <text>
        <t xml:space="preserve">2_ABaOnue8mzGN5fWn86JKPdi-cVdJJTnYLSzVFNheT9EBqfRalf9KfgyhYiHZGrBevOvvP8E</t>
      </text>
    </comment>
    <comment authorId="0" ref="B223">
      <text>
        <t xml:space="preserve">2_ABaOnue8mzGN5fWn86JKPdi-cVdJJTnYLSzVFNheT9EBqfRalf9KfgyhYiHZGrBevOvvP8E</t>
      </text>
    </comment>
    <comment authorId="0" ref="A224">
      <text>
        <t xml:space="preserve">2_ABaOnuceyK4ud4v9fVW1tsLWT39FpHQuAOuzg2e0HHHnVeLl6QeuN1gBh3QWJdlMcuuLgRw</t>
      </text>
    </comment>
    <comment authorId="0" ref="B224">
      <text>
        <t xml:space="preserve">2_ABaOnuceyK4ud4v9fVW1tsLWT39FpHQuAOuzg2e0HHHnVeLl6QeuN1gBh3QWJdlMcuuLgRw</t>
      </text>
    </comment>
    <comment authorId="0" ref="A225">
      <text>
        <t xml:space="preserve">2_ABaOnudmClxlmsG-f8uCUNI8zJdDqmSBZ79fzuPV1HOLq0cdzx45EZLJXP7jdsZ91msw0aI</t>
      </text>
    </comment>
    <comment authorId="0" ref="B225">
      <text>
        <t xml:space="preserve">2_ABaOnudmClxlmsG-f8uCUNI8zJdDqmSBZ79fzuPV1HOLq0cdzx45EZLJXP7jdsZ91msw0aI</t>
      </text>
    </comment>
    <comment authorId="0" ref="A226">
      <text>
        <t xml:space="preserve">2_ABaOnufUsJwV2wOckthQVw1-2qlNltZUxpKnaJ5Ixz76NpVbrmC9qEPZfrlsnx39rKQlaZ4</t>
      </text>
    </comment>
    <comment authorId="0" ref="B226">
      <text>
        <t xml:space="preserve">2_ABaOnufUsJwV2wOckthQVw1-2qlNltZUxpKnaJ5Ixz76NpVbrmC9qEPZfrlsnx39rKQlaZ4</t>
      </text>
    </comment>
    <comment authorId="0" ref="A227">
      <text>
        <t xml:space="preserve">2_ABaOnucja_i_saOL-dU3p_5qbD_WcErnFD10IZLLKL0dXEDPKRXpdcTAyssxpPLYfIx3JXY</t>
      </text>
    </comment>
    <comment authorId="0" ref="B227">
      <text>
        <t xml:space="preserve">2_ABaOnucja_i_saOL-dU3p_5qbD_WcErnFD10IZLLKL0dXEDPKRXpdcTAyssxpPLYfIx3JXY</t>
      </text>
    </comment>
    <comment authorId="0" ref="A228">
      <text>
        <t xml:space="preserve">2_ABaOnufllb1SwOIWPGgF6TsJb09XX7_RkYsuRyexliWdIzo-GLnSrWPaOx4CI4fb5NPFC7w</t>
      </text>
    </comment>
    <comment authorId="0" ref="B228">
      <text>
        <t xml:space="preserve">2_ABaOnufllb1SwOIWPGgF6TsJb09XX7_RkYsuRyexliWdIzo-GLnSrWPaOx4CI4fb5NPFC7w</t>
      </text>
    </comment>
    <comment authorId="0" ref="A229">
      <text>
        <t xml:space="preserve">2_ABaOnueeWweS2pLkb-HdQx5_VtAX5M5qtRRYa6iuH7x2F7iBQke8s3XbVjnbXhM3N-evZas</t>
      </text>
    </comment>
    <comment authorId="0" ref="B229">
      <text>
        <t xml:space="preserve">2_ABaOnueeWweS2pLkb-HdQx5_VtAX5M5qtRRYa6iuH7x2F7iBQke8s3XbVjnbXhM3N-evZas</t>
      </text>
    </comment>
    <comment authorId="0" ref="A230">
      <text>
        <t xml:space="preserve">2_ABaOnucqfAgFAOnz_Tws6_fF673C1PbJf1fRKQV_39FVWor5PwFh-aiK1N0kKv1M3PWc_Io</t>
      </text>
    </comment>
    <comment authorId="0" ref="B230">
      <text>
        <t xml:space="preserve">2_ABaOnucqfAgFAOnz_Tws6_fF673C1PbJf1fRKQV_39FVWor5PwFh-aiK1N0kKv1M3PWc_Io</t>
      </text>
    </comment>
    <comment authorId="0" ref="A231">
      <text>
        <t xml:space="preserve">2_ABaOnucl_afaUoXMXRAR4VD9VU14eFvGdkWyiJFBmgb4YWbl3MZo46-UVkhK_RWhCKh0kZI</t>
      </text>
    </comment>
    <comment authorId="0" ref="B231">
      <text>
        <t xml:space="preserve">2_ABaOnucl_afaUoXMXRAR4VD9VU14eFvGdkWyiJFBmgb4YWbl3MZo46-UVkhK_RWhCKh0kZI</t>
      </text>
    </comment>
    <comment authorId="0" ref="A232">
      <text>
        <t xml:space="preserve">2_ABaOnueAMZ67w1MfryNNLn5Q_DEeaxe-YAl077zkrVrI4bIF_4IOc3zbrURm51QRv5sMzx8</t>
      </text>
    </comment>
    <comment authorId="0" ref="B232">
      <text>
        <t xml:space="preserve">2_ABaOnueAMZ67w1MfryNNLn5Q_DEeaxe-YAl077zkrVrI4bIF_4IOc3zbrURm51QRv5sMzx8</t>
      </text>
    </comment>
    <comment authorId="0" ref="A233">
      <text>
        <t xml:space="preserve">2_ABaOnufqKGt5uCSYau-pbei-aDpQLT4mXjreXGBPVnkGltyJJgoZrxq1qp4_TKzK9Mxo0x8</t>
      </text>
    </comment>
    <comment authorId="0" ref="B233">
      <text>
        <t xml:space="preserve">2_ABaOnufqKGt5uCSYau-pbei-aDpQLT4mXjreXGBPVnkGltyJJgoZrxq1qp4_TKzK9Mxo0x8</t>
      </text>
    </comment>
    <comment authorId="0" ref="A234">
      <text>
        <t xml:space="preserve">2_ABaOnudPI_vxTHJuIXFDA3i78aCHTdSLOdO0ZdnneEhV8bDu3DF7AhaWRaLIHfEnjaq95Bk</t>
      </text>
    </comment>
    <comment authorId="0" ref="B234">
      <text>
        <t xml:space="preserve">2_ABaOnudPI_vxTHJuIXFDA3i78aCHTdSLOdO0ZdnneEhV8bDu3DF7AhaWRaLIHfEnjaq95Bk</t>
      </text>
    </comment>
    <comment authorId="0" ref="A235">
      <text>
        <t xml:space="preserve">2_ABaOnudAsEu6k8vvlzTr6074Tp51WSJHkMip9xb1ALNZVFMP1cTXePC1rsBtSkK1I-d0NFM</t>
      </text>
    </comment>
    <comment authorId="0" ref="B235">
      <text>
        <t xml:space="preserve">2_ABaOnudAsEu6k8vvlzTr6074Tp51WSJHkMip9xb1ALNZVFMP1cTXePC1rsBtSkK1I-d0NFM</t>
      </text>
    </comment>
    <comment authorId="0" ref="A236">
      <text>
        <t xml:space="preserve">2_ABaOnuespeSwsxoWXUdg9ZNzVhGkg7RbF8gwpcpS3ko1rERFdsYR4TTAUNR5wbOm9KFeD5w</t>
      </text>
    </comment>
    <comment authorId="0" ref="B236">
      <text>
        <t xml:space="preserve">2_ABaOnuespeSwsxoWXUdg9ZNzVhGkg7RbF8gwpcpS3ko1rERFdsYR4TTAUNR5wbOm9KFeD5w</t>
      </text>
    </comment>
    <comment authorId="0" ref="A237">
      <text>
        <t xml:space="preserve">2_ABaOnudMN-8ds1exjS7LJr8DD9Cyx22TpbBHYpqaD3mfqZPFYch_IE7_V631k-mULEJhBh8</t>
      </text>
    </comment>
    <comment authorId="0" ref="B237">
      <text>
        <t xml:space="preserve">2_ABaOnudMN-8ds1exjS7LJr8DD9Cyx22TpbBHYpqaD3mfqZPFYch_IE7_V631k-mULEJhBh8</t>
      </text>
    </comment>
    <comment authorId="0" ref="A238">
      <text>
        <t xml:space="preserve">2_ABaOnue7q7Q7E1irA6SQ357CgaA8ImiVFSxuVENAV2uvE51LG1uEXYwTnESzeZEkmqVlqPw</t>
      </text>
    </comment>
    <comment authorId="0" ref="B238">
      <text>
        <t xml:space="preserve">2_ABaOnue7q7Q7E1irA6SQ357CgaA8ImiVFSxuVENAV2uvE51LG1uEXYwTnESzeZEkmqVlqPw</t>
      </text>
    </comment>
    <comment authorId="0" ref="A239">
      <text>
        <t xml:space="preserve">2_ABaOnufq54g7i_NlbCOvZbRORo00vQGL-rBok2E814UE4UNftcmqQOpjY4TxNQXRf1-pS7g</t>
      </text>
    </comment>
    <comment authorId="0" ref="B239">
      <text>
        <t xml:space="preserve">2_ABaOnufq54g7i_NlbCOvZbRORo00vQGL-rBok2E814UE4UNftcmqQOpjY4TxNQXRf1-pS7g</t>
      </text>
    </comment>
    <comment authorId="0" ref="A240">
      <text>
        <t xml:space="preserve">2_ABaOnufsZ8ihLqmjbYWQo-bV8-xa9PFx6Kw6xYLRwjKfQM6ECi-O4_jEOy7nPvMQhknzxeg</t>
      </text>
    </comment>
    <comment authorId="0" ref="B240">
      <text>
        <t xml:space="preserve">2_ABaOnufsZ8ihLqmjbYWQo-bV8-xa9PFx6Kw6xYLRwjKfQM6ECi-O4_jEOy7nPvMQhknzxeg</t>
      </text>
    </comment>
    <comment authorId="0" ref="A241">
      <text>
        <t xml:space="preserve">2_ABaOnudt7yPoY4b2wfZNtZUYkf9apcTqd3pSvUaxBIAmTDY_7EWEYxr5-c2kBxjmbODvmS8</t>
      </text>
    </comment>
    <comment authorId="0" ref="B241">
      <text>
        <t xml:space="preserve">2_ABaOnudt7yPoY4b2wfZNtZUYkf9apcTqd3pSvUaxBIAmTDY_7EWEYxr5-c2kBxjmbODvmS8</t>
      </text>
    </comment>
    <comment authorId="0" ref="A242">
      <text>
        <t xml:space="preserve">2_ABaOnuf2mY0x7DKl_1Htdo8KeS8rbUf3sYvInggW54pmIlosnnzPfCKg908xhGNXlPDnKeI</t>
      </text>
    </comment>
    <comment authorId="0" ref="B242">
      <text>
        <t xml:space="preserve">2_ABaOnuf2mY0x7DKl_1Htdo8KeS8rbUf3sYvInggW54pmIlosnnzPfCKg908xhGNXlPDnKeI</t>
      </text>
    </comment>
    <comment authorId="0" ref="A243">
      <text>
        <t xml:space="preserve">2_ABaOnueJYHUApqV-4xPn8o3IoWxnuFsbPves1OEVeW2npOARJXyNbzZ9sdpIP7tN2aWZhgA</t>
      </text>
    </comment>
    <comment authorId="0" ref="B243">
      <text>
        <t xml:space="preserve">2_ABaOnueJYHUApqV-4xPn8o3IoWxnuFsbPves1OEVeW2npOARJXyNbzZ9sdpIP7tN2aWZhgA</t>
      </text>
    </comment>
    <comment authorId="0" ref="A244">
      <text>
        <t xml:space="preserve">2_ABaOnucv2wM3ZviNcvow4SeaEKqL-QBefCobEzs3ylcbBxhDm-N7c1bjrlZWU6YVfnLs6jw</t>
      </text>
    </comment>
    <comment authorId="0" ref="B244">
      <text>
        <t xml:space="preserve">2_ABaOnucv2wM3ZviNcvow4SeaEKqL-QBefCobEzs3ylcbBxhDm-N7c1bjrlZWU6YVfnLs6jw</t>
      </text>
    </comment>
    <comment authorId="0" ref="A245">
      <text>
        <t xml:space="preserve">2_ABaOnufMdxCbH8Fy5Ecn8dmDz5vRDYmrM7DknqpQ_zwZc2D-CECrSVbNHOztdaVRX_CAdEU</t>
      </text>
    </comment>
    <comment authorId="0" ref="B245">
      <text>
        <t xml:space="preserve">2_ABaOnufMdxCbH8Fy5Ecn8dmDz5vRDYmrM7DknqpQ_zwZc2D-CECrSVbNHOztdaVRX_CAdEU</t>
      </text>
    </comment>
    <comment authorId="0" ref="A246">
      <text>
        <t xml:space="preserve">2_ABaOnufRpPRjS-4LhGGbNS_cOKKmdnuCYOT3iZxlrAFwzkcQlBqgJBKY3S1Vw1j6uivFEFw</t>
      </text>
    </comment>
    <comment authorId="0" ref="B246">
      <text>
        <t xml:space="preserve">2_ABaOnufRpPRjS-4LhGGbNS_cOKKmdnuCYOT3iZxlrAFwzkcQlBqgJBKY3S1Vw1j6uivFEFw</t>
      </text>
    </comment>
    <comment authorId="0" ref="A247">
      <text>
        <t xml:space="preserve">2_ABaOnud7nXxOnrrSj6jgWNplaQONIGjKhAhW92P24EXKu2WYQin0NY8o8T9D96FDNrc-r38</t>
      </text>
    </comment>
    <comment authorId="0" ref="B247">
      <text>
        <t xml:space="preserve">2_ABaOnud7nXxOnrrSj6jgWNplaQONIGjKhAhW92P24EXKu2WYQin0NY8o8T9D96FDNrc-r38</t>
      </text>
    </comment>
    <comment authorId="0" ref="A248">
      <text>
        <t xml:space="preserve">2_ABaOnucAp1obQaLkPU8_FCxDKzbT3BPoW4Wgs_fwxg3r7kzNt6lEOKZkkI84xgJ6V4_weVQ</t>
      </text>
    </comment>
    <comment authorId="0" ref="B248">
      <text>
        <t xml:space="preserve">2_ABaOnucAp1obQaLkPU8_FCxDKzbT3BPoW4Wgs_fwxg3r7kzNt6lEOKZkkI84xgJ6V4_weVQ</t>
      </text>
    </comment>
    <comment authorId="0" ref="A249">
      <text>
        <t xml:space="preserve">2_ABaOnucEqZhwb0zRKo0PwuXRCdVLa8ciPwc_J_x0X2QW_preHt2C6KfhZnSUsA307a9-z2M</t>
      </text>
    </comment>
    <comment authorId="0" ref="B249">
      <text>
        <t xml:space="preserve">2_ABaOnucEqZhwb0zRKo0PwuXRCdVLa8ciPwc_J_x0X2QW_preHt2C6KfhZnSUsA307a9-z2M</t>
      </text>
    </comment>
    <comment authorId="0" ref="A250">
      <text>
        <t xml:space="preserve">2_ABaOnudqG8giLF9wgkOQkCkV5JGkt4mHBbxd4QkdGLS5XetkPqMBDNi1xyzYUAdukF1SPaM</t>
      </text>
    </comment>
    <comment authorId="0" ref="B250">
      <text>
        <t xml:space="preserve">2_ABaOnudqG8giLF9wgkOQkCkV5JGkt4mHBbxd4QkdGLS5XetkPqMBDNi1xyzYUAdukF1SPaM</t>
      </text>
    </comment>
    <comment authorId="0" ref="A251">
      <text>
        <t xml:space="preserve">2_ABaOnuelUlRwkijhxvF6swVeg-KPj0WPAzHU1WiMSZzFKR88wfUQrgGSQmMVZuzA8xBeSjA</t>
      </text>
    </comment>
    <comment authorId="0" ref="B251">
      <text>
        <t xml:space="preserve">2_ABaOnuelUlRwkijhxvF6swVeg-KPj0WPAzHU1WiMSZzFKR88wfUQrgGSQmMVZuzA8xBeSjA</t>
      </text>
    </comment>
    <comment authorId="0" ref="A252">
      <text>
        <t xml:space="preserve">2_ABaOnudItxkew6QwoFB__dV3FmIcoa8x5dGdjImQQnVdDagIaZo-7cFWR1J1tEUfF9kUY6c</t>
      </text>
    </comment>
    <comment authorId="0" ref="B252">
      <text>
        <t xml:space="preserve">2_ABaOnudItxkew6QwoFB__dV3FmIcoa8x5dGdjImQQnVdDagIaZo-7cFWR1J1tEUfF9kUY6c</t>
      </text>
    </comment>
    <comment authorId="0" ref="A253">
      <text>
        <t xml:space="preserve">2_ABaOnudD8LoQnYRq7bsWp_kSajwUdB0ja3lA9d9lAC7RF6IfQmuzGGlPc5m2D2WZtdlSElc</t>
      </text>
    </comment>
    <comment authorId="0" ref="B253">
      <text>
        <t xml:space="preserve">2_ABaOnudD8LoQnYRq7bsWp_kSajwUdB0ja3lA9d9lAC7RF6IfQmuzGGlPc5m2D2WZtdlSElc</t>
      </text>
    </comment>
    <comment authorId="0" ref="A254">
      <text>
        <t xml:space="preserve">2_ABaOnueAn6nDMC5Q0N3keNsTXFd1KgV3vLJtMYzBIwPXh62gcO0467rMhLsi6kt5X8wt1rE</t>
      </text>
    </comment>
    <comment authorId="0" ref="B254">
      <text>
        <t xml:space="preserve">2_ABaOnueAn6nDMC5Q0N3keNsTXFd1KgV3vLJtMYzBIwPXh62gcO0467rMhLsi6kt5X8wt1rE</t>
      </text>
    </comment>
    <comment authorId="0" ref="A255">
      <text>
        <t xml:space="preserve">2_ABaOnuffradpbQJAW-0Y4qtu0MEcsXtzYTUlv4xaHKuKk5lQ0k1C4PBkyssSzNsnDcUABhk</t>
      </text>
    </comment>
    <comment authorId="0" ref="B255">
      <text>
        <t xml:space="preserve">2_ABaOnuffradpbQJAW-0Y4qtu0MEcsXtzYTUlv4xaHKuKk5lQ0k1C4PBkyssSzNsnDcUABhk</t>
      </text>
    </comment>
    <comment authorId="0" ref="A256">
      <text>
        <t xml:space="preserve">2_ABaOnue3sDPXi-KiTArctsuenbKHzHapjnpBtDrH4vtJ762GffkbkFV5zTCf-a5AdtAoUf4</t>
      </text>
    </comment>
    <comment authorId="0" ref="B256">
      <text>
        <t xml:space="preserve">2_ABaOnue3sDPXi-KiTArctsuenbKHzHapjnpBtDrH4vtJ762GffkbkFV5zTCf-a5AdtAoUf4</t>
      </text>
    </comment>
    <comment authorId="0" ref="A257">
      <text>
        <t xml:space="preserve">2_ABaOnucZ3uk5feObfJMTvG-Y2T8kZuw7HzIq03xhY0k7cvDJRYTLBFWPQlztNuteS5kbU7w</t>
      </text>
    </comment>
    <comment authorId="0" ref="B257">
      <text>
        <t xml:space="preserve">2_ABaOnucZ3uk5feObfJMTvG-Y2T8kZuw7HzIq03xhY0k7cvDJRYTLBFWPQlztNuteS5kbU7w</t>
      </text>
    </comment>
    <comment authorId="0" ref="A258">
      <text>
        <t xml:space="preserve">2_ABaOnuchJuhMSsKT3aheZ-jkapmgyMqRLSSnjLupklozOm4V01NI-PeRVJR1yTU9DpmcgQc</t>
      </text>
    </comment>
    <comment authorId="0" ref="B258">
      <text>
        <t xml:space="preserve">2_ABaOnuchJuhMSsKT3aheZ-jkapmgyMqRLSSnjLupklozOm4V01NI-PeRVJR1yTU9DpmcgQc</t>
      </text>
    </comment>
    <comment authorId="0" ref="A259">
      <text>
        <t xml:space="preserve">2_ABaOnueQj8saezHWz-_ENn-U8iqqr15nKnv1oeZBWfQA1vSUQ4fPkPyWwM5-JNY4rIsmfJo</t>
      </text>
    </comment>
    <comment authorId="0" ref="B259">
      <text>
        <t xml:space="preserve">2_ABaOnueQj8saezHWz-_ENn-U8iqqr15nKnv1oeZBWfQA1vSUQ4fPkPyWwM5-JNY4rIsmfJo</t>
      </text>
    </comment>
    <comment authorId="0" ref="A260">
      <text>
        <t xml:space="preserve">2_ABaOnuf8T5fhGV2bkMIaiXxFFIL8PM_UBX4j7l_K_nJhS9t-OXfDKPr3ZtEvx97CPYVrVe8</t>
      </text>
    </comment>
    <comment authorId="0" ref="B260">
      <text>
        <t xml:space="preserve">2_ABaOnuf8T5fhGV2bkMIaiXxFFIL8PM_UBX4j7l_K_nJhS9t-OXfDKPr3ZtEvx97CPYVrVe8</t>
      </text>
    </comment>
    <comment authorId="0" ref="A261">
      <text>
        <t xml:space="preserve">2_ABaOnud8a6hD623JvCmr3Y36XpHkdMkdh5BaAAGQTCPR6yN3ICW93nx-I-T5yoYAmIi4g2E</t>
      </text>
    </comment>
    <comment authorId="0" ref="B261">
      <text>
        <t xml:space="preserve">2_ABaOnud8a6hD623JvCmr3Y36XpHkdMkdh5BaAAGQTCPR6yN3ICW93nx-I-T5yoYAmIi4g2E</t>
      </text>
    </comment>
    <comment authorId="0" ref="A262">
      <text>
        <t xml:space="preserve">2_ABaOnuecs-KrAjFQOI_Ix9MJGztR1ZnIL4ZzOYC8TNKz5xZ3WV7Dk6GEtgTd9qaEFu-7ybo</t>
      </text>
    </comment>
    <comment authorId="0" ref="B262">
      <text>
        <t xml:space="preserve">2_ABaOnuecs-KrAjFQOI_Ix9MJGztR1ZnIL4ZzOYC8TNKz5xZ3WV7Dk6GEtgTd9qaEFu-7ybo</t>
      </text>
    </comment>
    <comment authorId="0" ref="A263">
      <text>
        <t xml:space="preserve">2_ABaOnueKvzfEZWWFnnxm0AxbyGexXHQqM6jTHPsk8ZoucdgAzA0mm7i0uuap1TUbwiv-4_A</t>
      </text>
    </comment>
    <comment authorId="0" ref="B263">
      <text>
        <t xml:space="preserve">2_ABaOnueKvzfEZWWFnnxm0AxbyGexXHQqM6jTHPsk8ZoucdgAzA0mm7i0uuap1TUbwiv-4_A</t>
      </text>
    </comment>
    <comment authorId="0" ref="A264">
      <text>
        <t xml:space="preserve">2_ABaOnuc8phkXjhT-ZL2OZjQNysVIPcf2R8j3ElJNx18d0RGT9xw6N61KleKTHAgeIOnRaVc</t>
      </text>
    </comment>
    <comment authorId="0" ref="B264">
      <text>
        <t xml:space="preserve">2_ABaOnuc8phkXjhT-ZL2OZjQNysVIPcf2R8j3ElJNx18d0RGT9xw6N61KleKTHAgeIOnRaVc</t>
      </text>
    </comment>
    <comment authorId="0" ref="A265">
      <text>
        <t xml:space="preserve">2_ABaOnudPRZA2hYoBnhXIcmjhZXdDubyAR6LQLWAqE9fLEc-I_20Tpr84vCIQ8vGQE9Ityzo</t>
      </text>
    </comment>
    <comment authorId="0" ref="B265">
      <text>
        <t xml:space="preserve">2_ABaOnudPRZA2hYoBnhXIcmjhZXdDubyAR6LQLWAqE9fLEc-I_20Tpr84vCIQ8vGQE9Ityzo</t>
      </text>
    </comment>
    <comment authorId="0" ref="A266">
      <text>
        <t xml:space="preserve">2_ABaOnufjQ_aRVAXEtN2nZFhFxNpAC0WZ6UBt0REhEB1xcDEWY1Kq6-yqMSKwewGFo4exgdE</t>
      </text>
    </comment>
    <comment authorId="0" ref="B266">
      <text>
        <t xml:space="preserve">2_ABaOnufjQ_aRVAXEtN2nZFhFxNpAC0WZ6UBt0REhEB1xcDEWY1Kq6-yqMSKwewGFo4exgdE</t>
      </text>
    </comment>
    <comment authorId="0" ref="A267">
      <text>
        <t xml:space="preserve">2_ABaOnuchtNCGI3j8PH4TK0qCP8hYbvKQ19qKpqqWfyD_uHhaWAR_34aeyx1trAA5291fi_Y</t>
      </text>
    </comment>
    <comment authorId="0" ref="B267">
      <text>
        <t xml:space="preserve">2_ABaOnuchtNCGI3j8PH4TK0qCP8hYbvKQ19qKpqqWfyD_uHhaWAR_34aeyx1trAA5291fi_Y</t>
      </text>
    </comment>
    <comment authorId="0" ref="A268">
      <text>
        <t xml:space="preserve">2_ABaOnucNQnUhVOC06ajg4hf4x4n-2XLi4hndIEPMb3Ih_H_yQ90LgdqLBPm7K3swvMlem9o</t>
      </text>
    </comment>
    <comment authorId="0" ref="B268">
      <text>
        <t xml:space="preserve">2_ABaOnucNQnUhVOC06ajg4hf4x4n-2XLi4hndIEPMb3Ih_H_yQ90LgdqLBPm7K3swvMlem9o</t>
      </text>
    </comment>
    <comment authorId="0" ref="A269">
      <text>
        <t xml:space="preserve">2_ABaOnudv1Qccduy870a3dTr_5EbYsFunl-hb6S5C8-hqksIGPNIaEVu6-YxCFiHNDq_q_vI</t>
      </text>
    </comment>
    <comment authorId="0" ref="B269">
      <text>
        <t xml:space="preserve">2_ABaOnudv1Qccduy870a3dTr_5EbYsFunl-hb6S5C8-hqksIGPNIaEVu6-YxCFiHNDq_q_vI</t>
      </text>
    </comment>
    <comment authorId="0" ref="A270">
      <text>
        <t xml:space="preserve">2_ABaOnufotDccKBijyI1y5kkBzTKiFoCgp-SQhKFafKgb8iDMHVzS4qzA-aUOLxiZrBNr_8w</t>
      </text>
    </comment>
    <comment authorId="0" ref="B270">
      <text>
        <t xml:space="preserve">2_ABaOnufotDccKBijyI1y5kkBzTKiFoCgp-SQhKFafKgb8iDMHVzS4qzA-aUOLxiZrBNr_8w</t>
      </text>
    </comment>
    <comment authorId="0" ref="A271">
      <text>
        <t xml:space="preserve">2_ABaOnucV3vExelZr8pTLWzg99pz-nGC5TT2sRvNKdjPchGkNVzpmvu7uCvk9aeK9XxWm82U</t>
      </text>
    </comment>
    <comment authorId="0" ref="B271">
      <text>
        <t xml:space="preserve">2_ABaOnucV3vExelZr8pTLWzg99pz-nGC5TT2sRvNKdjPchGkNVzpmvu7uCvk9aeK9XxWm82U</t>
      </text>
    </comment>
    <comment authorId="0" ref="A272">
      <text>
        <t xml:space="preserve">2_ABaOnue7XBmDyCU4qGj61PRe0O_rEuDdiyG-Qg69XaOc8AJeWSAY2-DxgdcaoAcaufZRInU</t>
      </text>
    </comment>
    <comment authorId="0" ref="B272">
      <text>
        <t xml:space="preserve">2_ABaOnue7XBmDyCU4qGj61PRe0O_rEuDdiyG-Qg69XaOc8AJeWSAY2-DxgdcaoAcaufZRInU</t>
      </text>
    </comment>
    <comment authorId="0" ref="A273">
      <text>
        <t xml:space="preserve">2_ABaOnucHJuRxQE53gsi9YONm9d7SqIdxG67Th8giq0VoBN9eCnE5wLVq59629lk244Bo3sk</t>
      </text>
    </comment>
    <comment authorId="0" ref="B273">
      <text>
        <t xml:space="preserve">2_ABaOnucHJuRxQE53gsi9YONm9d7SqIdxG67Th8giq0VoBN9eCnE5wLVq59629lk244Bo3sk</t>
      </text>
    </comment>
    <comment authorId="0" ref="A274">
      <text>
        <t xml:space="preserve">2_ABaOnue6u1bor8S_1htx0X7WauBI7kAjS61AGxt0Fxl2-yNrOR4hhYWDU-UMD70AytNMVLM</t>
      </text>
    </comment>
    <comment authorId="0" ref="B274">
      <text>
        <t xml:space="preserve">2_ABaOnue6u1bor8S_1htx0X7WauBI7kAjS61AGxt0Fxl2-yNrOR4hhYWDU-UMD70AytNMVLM</t>
      </text>
    </comment>
    <comment authorId="0" ref="A275">
      <text>
        <t xml:space="preserve">2_ABaOnudu0e-K-4V_MHQfPdGi7H2lbIlXfEhkfb37NJuAATj_j9tXFsxYpWlnVoLEnmPphEg</t>
      </text>
    </comment>
    <comment authorId="0" ref="B275">
      <text>
        <t xml:space="preserve">2_ABaOnudu0e-K-4V_MHQfPdGi7H2lbIlXfEhkfb37NJuAATj_j9tXFsxYpWlnVoLEnmPphEg</t>
      </text>
    </comment>
    <comment authorId="0" ref="A276">
      <text>
        <t xml:space="preserve">2_ABaOnudAFCB280yhLGl5H-Q8AuwY4Xcvuxk_5bxZdjAUhRXq-Q5AU2xnknfPK-Su6eyafQc</t>
      </text>
    </comment>
    <comment authorId="0" ref="B276">
      <text>
        <t xml:space="preserve">2_ABaOnudAFCB280yhLGl5H-Q8AuwY4Xcvuxk_5bxZdjAUhRXq-Q5AU2xnknfPK-Su6eyafQc</t>
      </text>
    </comment>
    <comment authorId="0" ref="A277">
      <text>
        <t xml:space="preserve">2_ABaOnucQx07XPUoJTql_blIlXRBEcAXewF3VLeXmOo9eMgO9Kje-ovDBRHTRAeP6IILqDWo</t>
      </text>
    </comment>
    <comment authorId="0" ref="B277">
      <text>
        <t xml:space="preserve">2_ABaOnucQx07XPUoJTql_blIlXRBEcAXewF3VLeXmOo9eMgO9Kje-ovDBRHTRAeP6IILqDWo</t>
      </text>
    </comment>
    <comment authorId="0" ref="A278">
      <text>
        <t xml:space="preserve">2_ABaOnucbPgJFQt_sQ4XggvvmY_3tdfAQ3paaNgukVLIPrvkGRh9Rbdwbn95AayqkTqlgS0E</t>
      </text>
    </comment>
    <comment authorId="0" ref="B278">
      <text>
        <t xml:space="preserve">2_ABaOnucbPgJFQt_sQ4XggvvmY_3tdfAQ3paaNgukVLIPrvkGRh9Rbdwbn95AayqkTqlgS0E</t>
      </text>
    </comment>
    <comment authorId="0" ref="A279">
      <text>
        <t xml:space="preserve">2_ABaOnufd4P_cEPTtTBNLd0DdVN2OPqfXpD5-KSXn_-Wsecw03cXu7TJsDadU5C9GmJywxUk</t>
      </text>
    </comment>
    <comment authorId="0" ref="B279">
      <text>
        <t xml:space="preserve">2_ABaOnufd4P_cEPTtTBNLd0DdVN2OPqfXpD5-KSXn_-Wsecw03cXu7TJsDadU5C9GmJywxUk</t>
      </text>
    </comment>
    <comment authorId="0" ref="A280">
      <text>
        <t xml:space="preserve">2_ABaOnucE1gIE1uCSe5Rnoc8kQ3nBuKT9XVX2cBb1eLOsIyY4CrvDx1JcvxsW-Sj4BiMFdAg</t>
      </text>
    </comment>
    <comment authorId="0" ref="B280">
      <text>
        <t xml:space="preserve">2_ABaOnucE1gIE1uCSe5Rnoc8kQ3nBuKT9XVX2cBb1eLOsIyY4CrvDx1JcvxsW-Sj4BiMFdAg</t>
      </text>
    </comment>
    <comment authorId="0" ref="A281">
      <text>
        <t xml:space="preserve">2_ABaOnudkTLsZQH_S-9y7ECRlKqiwFy77t9ZEbTDgVlWKEXMSkFpYXFJixjGtaIRcEBOAeMw</t>
      </text>
    </comment>
    <comment authorId="0" ref="B281">
      <text>
        <t xml:space="preserve">2_ABaOnudkTLsZQH_S-9y7ECRlKqiwFy77t9ZEbTDgVlWKEXMSkFpYXFJixjGtaIRcEBOAeMw</t>
      </text>
    </comment>
    <comment authorId="0" ref="A282">
      <text>
        <t xml:space="preserve">2_ABaOnufyexYQVWp-ns8UR-SYHZRlqPg76_eOAIy-nd4wrpV1FyLDOiU7GfmCQ6nzqzBJEQ4</t>
      </text>
    </comment>
    <comment authorId="0" ref="B282">
      <text>
        <t xml:space="preserve">2_ABaOnufyexYQVWp-ns8UR-SYHZRlqPg76_eOAIy-nd4wrpV1FyLDOiU7GfmCQ6nzqzBJEQ4</t>
      </text>
    </comment>
    <comment authorId="0" ref="A283">
      <text>
        <t xml:space="preserve">2_ABaOnuerWuJeaIzT6AC5_RisT70sQ550YdCB_3D0xylgqDn6tdIcGyamU4oFNn7RzejigZE</t>
      </text>
    </comment>
    <comment authorId="0" ref="B283">
      <text>
        <t xml:space="preserve">2_ABaOnuerWuJeaIzT6AC5_RisT70sQ550YdCB_3D0xylgqDn6tdIcGyamU4oFNn7RzejigZE</t>
      </text>
    </comment>
    <comment authorId="0" ref="A284">
      <text>
        <t xml:space="preserve">2_ABaOnufg6CRhJyQQmD8h63I1vZGI_B3tWg7i01TYywZXVgU5-i83XBZHLrdlgt9nM_0UdcU</t>
      </text>
    </comment>
    <comment authorId="0" ref="B284">
      <text>
        <t xml:space="preserve">2_ABaOnufg6CRhJyQQmD8h63I1vZGI_B3tWg7i01TYywZXVgU5-i83XBZHLrdlgt9nM_0UdcU</t>
      </text>
    </comment>
    <comment authorId="0" ref="A285">
      <text>
        <t xml:space="preserve">2_ABaOnuevx7hUXhCJOc_WNH95XDSMzyUYjVX3hj2W5RNgQvuA4Zh-YfPEILwwmtWEkQdMaIc</t>
      </text>
    </comment>
    <comment authorId="0" ref="B285">
      <text>
        <t xml:space="preserve">2_ABaOnuevx7hUXhCJOc_WNH95XDSMzyUYjVX3hj2W5RNgQvuA4Zh-YfPEILwwmtWEkQdMaIc</t>
      </text>
    </comment>
    <comment authorId="0" ref="A286">
      <text>
        <t xml:space="preserve">2_ABaOnuf5mgHFNWMdLHLxKW6CZMiOpPINGxyC0E4eF3uYpT4htwe3CQJdfsSPmm2SZeyCF6E</t>
      </text>
    </comment>
    <comment authorId="0" ref="B286">
      <text>
        <t xml:space="preserve">2_ABaOnuf5mgHFNWMdLHLxKW6CZMiOpPINGxyC0E4eF3uYpT4htwe3CQJdfsSPmm2SZeyCF6E</t>
      </text>
    </comment>
    <comment authorId="0" ref="A287">
      <text>
        <t xml:space="preserve">2_ABaOnuesC0AkAZMclb1_n6AyS28S-jv9I0heZ8NpJoPE-NsXBkJZUcBSP83fNmYsRsH_Wlw</t>
      </text>
    </comment>
    <comment authorId="0" ref="B287">
      <text>
        <t xml:space="preserve">2_ABaOnuesC0AkAZMclb1_n6AyS28S-jv9I0heZ8NpJoPE-NsXBkJZUcBSP83fNmYsRsH_Wlw</t>
      </text>
    </comment>
    <comment authorId="0" ref="A288">
      <text>
        <t xml:space="preserve">2_ABaOnufA3mLclg1dxT_dYo5k-h1JptJliV6qx_Bd91EddPlEd4y1i7LK1r00RiSKphR9KJA</t>
      </text>
    </comment>
    <comment authorId="0" ref="B288">
      <text>
        <t xml:space="preserve">2_ABaOnufA3mLclg1dxT_dYo5k-h1JptJliV6qx_Bd91EddPlEd4y1i7LK1r00RiSKphR9KJA</t>
      </text>
    </comment>
    <comment authorId="0" ref="A289">
      <text>
        <t xml:space="preserve">2_ABaOnucfE8eLFmD8ZyKAlUU12l83WNUgdNLo8Ch_IASaF-fkb95OB0mBkLl1TYyvL1IXimk</t>
      </text>
    </comment>
    <comment authorId="0" ref="B289">
      <text>
        <t xml:space="preserve">2_ABaOnucfE8eLFmD8ZyKAlUU12l83WNUgdNLo8Ch_IASaF-fkb95OB0mBkLl1TYyvL1IXimk</t>
      </text>
    </comment>
    <comment authorId="0" ref="A290">
      <text>
        <t xml:space="preserve">2_ABaOnuf1FQInLVC-N2pYn90s1-6KtllGYTZlIJd1GJlKbXJwQY_zDDnN4y6sMEfjI38kp18</t>
      </text>
    </comment>
    <comment authorId="0" ref="B290">
      <text>
        <t xml:space="preserve">2_ABaOnuf1FQInLVC-N2pYn90s1-6KtllGYTZlIJd1GJlKbXJwQY_zDDnN4y6sMEfjI38kp18</t>
      </text>
    </comment>
    <comment authorId="0" ref="A291">
      <text>
        <t xml:space="preserve">2_ABaOnufIdDvMD-NFcNcfHisx8aAbcg4u3lxIlNjUG8KORwkI_k57nR0xfQr7ppSelcl_2gI</t>
      </text>
    </comment>
    <comment authorId="0" ref="B291">
      <text>
        <t xml:space="preserve">2_ABaOnufIdDvMD-NFcNcfHisx8aAbcg4u3lxIlNjUG8KORwkI_k57nR0xfQr7ppSelcl_2gI</t>
      </text>
    </comment>
    <comment authorId="0" ref="A292">
      <text>
        <t xml:space="preserve">2_ABaOnucF-uxFCE8SGCG-_B39tbPrPBsdZ8jpfiQTiuxTfQ1bJBfKE1Pc_wsPHt28a1W_KVA</t>
      </text>
    </comment>
    <comment authorId="0" ref="B292">
      <text>
        <t xml:space="preserve">2_ABaOnucF-uxFCE8SGCG-_B39tbPrPBsdZ8jpfiQTiuxTfQ1bJBfKE1Pc_wsPHt28a1W_KVA</t>
      </text>
    </comment>
    <comment authorId="0" ref="A293">
      <text>
        <t xml:space="preserve">2_ABaOnufHLwjxLNsSLS_VCMskVPZs8O7D7xNirl-0C6-RbuAn7X6m6r7C73_0EEBz57x3hzU</t>
      </text>
    </comment>
    <comment authorId="0" ref="B293">
      <text>
        <t xml:space="preserve">2_ABaOnufHLwjxLNsSLS_VCMskVPZs8O7D7xNirl-0C6-RbuAn7X6m6r7C73_0EEBz57x3hzU</t>
      </text>
    </comment>
    <comment authorId="0" ref="A294">
      <text>
        <t xml:space="preserve">2_ABaOnudYaMd4rKb9oO9RrJdSE_HohwRv5LBuz8fyF5aAfGp0Y7M3mf29OfyKx1HUWqBevVQ</t>
      </text>
    </comment>
    <comment authorId="0" ref="B294">
      <text>
        <t xml:space="preserve">2_ABaOnudYaMd4rKb9oO9RrJdSE_HohwRv5LBuz8fyF5aAfGp0Y7M3mf29OfyKx1HUWqBevVQ</t>
      </text>
    </comment>
    <comment authorId="0" ref="A295">
      <text>
        <t xml:space="preserve">2_ABaOnudCOSvElyCr2CBHPvSGTzzY3UcgtgtqlCRfrB--AAw39CafvM5t5sUg32-UqorqpjU</t>
      </text>
    </comment>
    <comment authorId="0" ref="B295">
      <text>
        <t xml:space="preserve">2_ABaOnudCOSvElyCr2CBHPvSGTzzY3UcgtgtqlCRfrB--AAw39CafvM5t5sUg32-UqorqpjU</t>
      </text>
    </comment>
    <comment authorId="0" ref="A296">
      <text>
        <t xml:space="preserve">2_ABaOnueJ2UeH8ALEHLDv7Uw3mArgGX4N8hTZivT-Dbs_f69RfSiwoUjO0OIDst-1e9cdpAY</t>
      </text>
    </comment>
    <comment authorId="0" ref="B296">
      <text>
        <t xml:space="preserve">2_ABaOnueJ2UeH8ALEHLDv7Uw3mArgGX4N8hTZivT-Dbs_f69RfSiwoUjO0OIDst-1e9cdpAY</t>
      </text>
    </comment>
    <comment authorId="0" ref="A297">
      <text>
        <t xml:space="preserve">2_ABaOnuf_o65GT8heGM2as0dFm-AbDEA8yrSDMvfIcgMtetARv7C5gUGsf4iU78BdpbfQ1DU</t>
      </text>
    </comment>
    <comment authorId="0" ref="B297">
      <text>
        <t xml:space="preserve">2_ABaOnuf_o65GT8heGM2as0dFm-AbDEA8yrSDMvfIcgMtetARv7C5gUGsf4iU78BdpbfQ1DU</t>
      </text>
    </comment>
    <comment authorId="0" ref="A298">
      <text>
        <t xml:space="preserve">2_ABaOnucoR6WoxfAm30UE6O9BDplv7VRld-qs_kESYQw9oAg7zDsLJTKmWHvupBp87Eksric</t>
      </text>
    </comment>
    <comment authorId="0" ref="B298">
      <text>
        <t xml:space="preserve">2_ABaOnucoR6WoxfAm30UE6O9BDplv7VRld-qs_kESYQw9oAg7zDsLJTKmWHvupBp87Eksric</t>
      </text>
    </comment>
    <comment authorId="0" ref="A299">
      <text>
        <t xml:space="preserve">2_ABaOnucxwqBZShzISEl5TdoG5U-mFL4fNQFlV6zI5np_Vo1_ugxX72b5KkjON0Z-300Lxnw</t>
      </text>
    </comment>
    <comment authorId="0" ref="B299">
      <text>
        <t xml:space="preserve">2_ABaOnucxwqBZShzISEl5TdoG5U-mFL4fNQFlV6zI5np_Vo1_ugxX72b5KkjON0Z-300Lxnw</t>
      </text>
    </comment>
    <comment authorId="0" ref="A300">
      <text>
        <t xml:space="preserve">2_ABaOnucJzr6j0uvAAKmNVfzxAunFj9N5P-qN7oL75_GukbOeNibc7I8WUdx-uPGv92VZvGQ</t>
      </text>
    </comment>
    <comment authorId="0" ref="B300">
      <text>
        <t xml:space="preserve">2_ABaOnucJzr6j0uvAAKmNVfzxAunFj9N5P-qN7oL75_GukbOeNibc7I8WUdx-uPGv92VZvGQ</t>
      </text>
    </comment>
    <comment authorId="0" ref="A301">
      <text>
        <t xml:space="preserve">2_ABaOnufKW5QiI084SP-6p3wGKjBamUMVOa3bK9uH4--iu4saw1_dD6ZlbFF-WgRab_m-sjE</t>
      </text>
    </comment>
    <comment authorId="0" ref="B301">
      <text>
        <t xml:space="preserve">2_ABaOnufKW5QiI084SP-6p3wGKjBamUMVOa3bK9uH4--iu4saw1_dD6ZlbFF-WgRab_m-sjE</t>
      </text>
    </comment>
    <comment authorId="0" ref="A302">
      <text>
        <t xml:space="preserve">2_ABaOnud7wBcSWGoAYO7c6gzzFP5IgaW69reWtvsCFhnYNBgidhAlWvw8UOP270B3jEp3-qg</t>
      </text>
    </comment>
    <comment authorId="0" ref="B302">
      <text>
        <t xml:space="preserve">2_ABaOnud7wBcSWGoAYO7c6gzzFP5IgaW69reWtvsCFhnYNBgidhAlWvw8UOP270B3jEp3-qg</t>
      </text>
    </comment>
    <comment authorId="0" ref="A303">
      <text>
        <t xml:space="preserve">2_ABaOnufAyA-08TAAQfYkVhLejKCtqeDXXa2SXfZJPXtNoPSQ68ztXRSeRQiqiAKkqKtNi1k</t>
      </text>
    </comment>
    <comment authorId="0" ref="B303">
      <text>
        <t xml:space="preserve">2_ABaOnufAyA-08TAAQfYkVhLejKCtqeDXXa2SXfZJPXtNoPSQ68ztXRSeRQiqiAKkqKtNi1k</t>
      </text>
    </comment>
    <comment authorId="0" ref="A304">
      <text>
        <t xml:space="preserve">2_ABaOnudEBH7Ody5otwhIbd1HbGChrxDAUcDXHDlA4rvpjbFIgJA07ebFSnKAE6tEGy9oMa8</t>
      </text>
    </comment>
    <comment authorId="0" ref="B304">
      <text>
        <t xml:space="preserve">2_ABaOnudEBH7Ody5otwhIbd1HbGChrxDAUcDXHDlA4rvpjbFIgJA07ebFSnKAE6tEGy9oMa8</t>
      </text>
    </comment>
    <comment authorId="0" ref="A305">
      <text>
        <t xml:space="preserve">2_ABaOnueb7qb9GfpgU8QAM0pWkR94ycvKxV1zQK6wNWC5LMbgPTvpnQbT_AJGEcWFrkJf77U</t>
      </text>
    </comment>
    <comment authorId="0" ref="B305">
      <text>
        <t xml:space="preserve">2_ABaOnueb7qb9GfpgU8QAM0pWkR94ycvKxV1zQK6wNWC5LMbgPTvpnQbT_AJGEcWFrkJf77U</t>
      </text>
    </comment>
    <comment authorId="0" ref="A306">
      <text>
        <t xml:space="preserve">2_ABaOnud49r3B-4Aybx7jiwbWIqBKdaKfEmvDv4He152cJ9qHICPvID1wz1AvdgntyLH9Ciw</t>
      </text>
    </comment>
    <comment authorId="0" ref="B306">
      <text>
        <t xml:space="preserve">2_ABaOnud49r3B-4Aybx7jiwbWIqBKdaKfEmvDv4He152cJ9qHICPvID1wz1AvdgntyLH9Ciw</t>
      </text>
    </comment>
    <comment authorId="0" ref="A307">
      <text>
        <t xml:space="preserve">2_ABaOnucx0I6x2wz8n9Z126F243RST7ULUWtRZShfM-DEGfe9Sxyujcfh0iZquLvom4GGVLc</t>
      </text>
    </comment>
    <comment authorId="0" ref="B307">
      <text>
        <t xml:space="preserve">2_ABaOnucx0I6x2wz8n9Z126F243RST7ULUWtRZShfM-DEGfe9Sxyujcfh0iZquLvom4GGVLc</t>
      </text>
    </comment>
    <comment authorId="0" ref="A308">
      <text>
        <t xml:space="preserve">2_ABaOnudeumT9omIOgNCpZJi5s6zAeHuprBbDCuMyXEqQ0doGNy30AFFRlOX3OAnt3rYsGxc</t>
      </text>
    </comment>
    <comment authorId="0" ref="B308">
      <text>
        <t xml:space="preserve">2_ABaOnudeumT9omIOgNCpZJi5s6zAeHuprBbDCuMyXEqQ0doGNy30AFFRlOX3OAnt3rYsGxc</t>
      </text>
    </comment>
    <comment authorId="0" ref="A309">
      <text>
        <t xml:space="preserve">2_ABaOnudB1v1vyjHr_DozFQn4bOWPO7bciHqz4ZqW6FUKDGew7wd54aCNtal1Apf4zUMdp1U</t>
      </text>
    </comment>
    <comment authorId="0" ref="B309">
      <text>
        <t xml:space="preserve">2_ABaOnudB1v1vyjHr_DozFQn4bOWPO7bciHqz4ZqW6FUKDGew7wd54aCNtal1Apf4zUMdp1U</t>
      </text>
    </comment>
    <comment authorId="0" ref="A310">
      <text>
        <t xml:space="preserve">2_ABaOnuePibw8a-3nuNO9xbF2HGZNhQmBNmg9VEMp6pOkJG4jnWNb5XP5wQhiWb4ti7TiYSw</t>
      </text>
    </comment>
    <comment authorId="0" ref="B310">
      <text>
        <t xml:space="preserve">2_ABaOnuePibw8a-3nuNO9xbF2HGZNhQmBNmg9VEMp6pOkJG4jnWNb5XP5wQhiWb4ti7TiYSw</t>
      </text>
    </comment>
    <comment authorId="0" ref="A311">
      <text>
        <t xml:space="preserve">2_ABaOnueNDW87flHVUfjEFMQvqjfJvid1TkiFv5PLczUqKhRby7UJvxhN9srFb_Pvq63kOP8</t>
      </text>
    </comment>
    <comment authorId="0" ref="B311">
      <text>
        <t xml:space="preserve">2_ABaOnueNDW87flHVUfjEFMQvqjfJvid1TkiFv5PLczUqKhRby7UJvxhN9srFb_Pvq63kOP8</t>
      </text>
    </comment>
    <comment authorId="0" ref="A312">
      <text>
        <t xml:space="preserve">2_ABaOnucMZ0wHQVYk1bds38tnhNKOAKFwyCel0j-AWNBpxTi3H1fi_bvZRkEJT1mCOrOW0PI</t>
      </text>
    </comment>
    <comment authorId="0" ref="B312">
      <text>
        <t xml:space="preserve">2_ABaOnucMZ0wHQVYk1bds38tnhNKOAKFwyCel0j-AWNBpxTi3H1fi_bvZRkEJT1mCOrOW0PI</t>
      </text>
    </comment>
    <comment authorId="0" ref="A313">
      <text>
        <t xml:space="preserve">2_ABaOnuexFpKoZkaeeLYcrvQRq94kfrjGUQKXrMZjjBSFj2LWvNkqWT03Msb3fRagoSKPz-w</t>
      </text>
    </comment>
    <comment authorId="0" ref="B313">
      <text>
        <t xml:space="preserve">2_ABaOnuexFpKoZkaeeLYcrvQRq94kfrjGUQKXrMZjjBSFj2LWvNkqWT03Msb3fRagoSKPz-w</t>
      </text>
    </comment>
    <comment authorId="0" ref="A314">
      <text>
        <t xml:space="preserve">2_ABaOnueDbzROFgU5knTaBxFDUyAxyysa8SJ39YitWJDM2hfWj-toqQvFXmap3_WRn1EUSn0</t>
      </text>
    </comment>
    <comment authorId="0" ref="B314">
      <text>
        <t xml:space="preserve">2_ABaOnueDbzROFgU5knTaBxFDUyAxyysa8SJ39YitWJDM2hfWj-toqQvFXmap3_WRn1EUSn0</t>
      </text>
    </comment>
    <comment authorId="0" ref="A315">
      <text>
        <t xml:space="preserve">2_ABaOnuc8n8hgSnuC7-YbbWEqiQrGdXG-kaARk0h8qv9oUEMNDvFxCeBY_cQNf-C0ieJZnOk</t>
      </text>
    </comment>
    <comment authorId="0" ref="B315">
      <text>
        <t xml:space="preserve">2_ABaOnuc8n8hgSnuC7-YbbWEqiQrGdXG-kaARk0h8qv9oUEMNDvFxCeBY_cQNf-C0ieJZnOk</t>
      </text>
    </comment>
    <comment authorId="0" ref="A316">
      <text>
        <t xml:space="preserve">2_ABaOnucKKYfO4RtJgrJ94MqUVDYmKz0tqke6ad0r_EKlYW2LYUX5P2w1a26HLJ7r2uE33TE</t>
      </text>
    </comment>
    <comment authorId="0" ref="B316">
      <text>
        <t xml:space="preserve">2_ABaOnucKKYfO4RtJgrJ94MqUVDYmKz0tqke6ad0r_EKlYW2LYUX5P2w1a26HLJ7r2uE33TE</t>
      </text>
    </comment>
    <comment authorId="0" ref="A317">
      <text>
        <t xml:space="preserve">2_ABaOnucVhF4iYfn7hoDfF3-QDaPvR2pT4dcZ2Qk20NKr95AlP-4d-Vph2EoXcIM_Zx0sjPw</t>
      </text>
    </comment>
    <comment authorId="0" ref="B317">
      <text>
        <t xml:space="preserve">2_ABaOnucVhF4iYfn7hoDfF3-QDaPvR2pT4dcZ2Qk20NKr95AlP-4d-Vph2EoXcIM_Zx0sjPw</t>
      </text>
    </comment>
    <comment authorId="0" ref="A318">
      <text>
        <t xml:space="preserve">2_ABaOnudCdlbVlrm1oPXd59TsZJ5tgRxdczVugiIjc7bPP_0mkBTcxM_SFLbBYozn-y8_pqA</t>
      </text>
    </comment>
    <comment authorId="0" ref="B318">
      <text>
        <t xml:space="preserve">2_ABaOnudCdlbVlrm1oPXd59TsZJ5tgRxdczVugiIjc7bPP_0mkBTcxM_SFLbBYozn-y8_pqA</t>
      </text>
    </comment>
    <comment authorId="0" ref="A319">
      <text>
        <t xml:space="preserve">2_ABaOnudDcxEB-h_QpUvXs2OZeBsa9JG6M3QtRdAkyHArAU0AyE3V67J8XDNBbADD7FNmWtg</t>
      </text>
    </comment>
    <comment authorId="0" ref="B319">
      <text>
        <t xml:space="preserve">2_ABaOnudDcxEB-h_QpUvXs2OZeBsa9JG6M3QtRdAkyHArAU0AyE3V67J8XDNBbADD7FNmWtg</t>
      </text>
    </comment>
    <comment authorId="0" ref="A320">
      <text>
        <t xml:space="preserve">2_ABaOnudZgVeDIoicqF7uU505vpWUuE4uxM599D0RbNQaIgwLekxlCoKg3sDQDDfXkZ-bGiU</t>
      </text>
    </comment>
    <comment authorId="0" ref="B320">
      <text>
        <t xml:space="preserve">2_ABaOnudZgVeDIoicqF7uU505vpWUuE4uxM599D0RbNQaIgwLekxlCoKg3sDQDDfXkZ-bGiU</t>
      </text>
    </comment>
    <comment authorId="0" ref="A321">
      <text>
        <t xml:space="preserve">2_ABaOnue9iH7cK_ID8-cjvsRGU0MQINR21TAFy_MVqp-9V9-n4wED4iWwU2rcOcsWZOBdvJY</t>
      </text>
    </comment>
    <comment authorId="0" ref="B321">
      <text>
        <t xml:space="preserve">2_ABaOnue9iH7cK_ID8-cjvsRGU0MQINR21TAFy_MVqp-9V9-n4wED4iWwU2rcOcsWZOBdvJY</t>
      </text>
    </comment>
    <comment authorId="0" ref="A322">
      <text>
        <t xml:space="preserve">2_ABaOnufTXQfRaDE1FthJeQ9YFKIZ3nGkiBU7i67jQO6zShdg0j6L-_51PlcU3S5X6WnpNk0</t>
      </text>
    </comment>
    <comment authorId="0" ref="B322">
      <text>
        <t xml:space="preserve">2_ABaOnufTXQfRaDE1FthJeQ9YFKIZ3nGkiBU7i67jQO6zShdg0j6L-_51PlcU3S5X6WnpNk0</t>
      </text>
    </comment>
    <comment authorId="0" ref="A323">
      <text>
        <t xml:space="preserve">2_ABaOnucgoQHLS4xagrpuYn9FRZnOjiggwvSLQqbo1KJLQk0gy8yC1u-QGQNbjoNAkz76vfI</t>
      </text>
    </comment>
    <comment authorId="0" ref="B323">
      <text>
        <t xml:space="preserve">2_ABaOnucgoQHLS4xagrpuYn9FRZnOjiggwvSLQqbo1KJLQk0gy8yC1u-QGQNbjoNAkz76vfI</t>
      </text>
    </comment>
    <comment authorId="0" ref="A324">
      <text>
        <t xml:space="preserve">2_ABaOnufw7Wqu1BDEel6eu8HZI4bAA2SZCsCmN9z-Kx7DIF5UhQw2h6pJfK5pQMUYfLaZw5Q</t>
      </text>
    </comment>
    <comment authorId="0" ref="B324">
      <text>
        <t xml:space="preserve">2_ABaOnufw7Wqu1BDEel6eu8HZI4bAA2SZCsCmN9z-Kx7DIF5UhQw2h6pJfK5pQMUYfLaZw5Q</t>
      </text>
    </comment>
    <comment authorId="0" ref="A325">
      <text>
        <t xml:space="preserve">2_ABaOnufu2wwn6CdhXwpihPOF7z5LgRaFQUmCByXAU0OE1U_2pXVxshTYB7hTNHdSn9EZXvw</t>
      </text>
    </comment>
    <comment authorId="0" ref="B325">
      <text>
        <t xml:space="preserve">2_ABaOnufu2wwn6CdhXwpihPOF7z5LgRaFQUmCByXAU0OE1U_2pXVxshTYB7hTNHdSn9EZXvw</t>
      </text>
    </comment>
    <comment authorId="0" ref="A326">
      <text>
        <t xml:space="preserve">2_ABaOnueNoftjAI70F7UT02summqz6z7FRsgPybkBn4WtpQCktZHyeuPXWhRkXf-Cbb_ED5Q</t>
      </text>
    </comment>
    <comment authorId="0" ref="B326">
      <text>
        <t xml:space="preserve">2_ABaOnueNoftjAI70F7UT02summqz6z7FRsgPybkBn4WtpQCktZHyeuPXWhRkXf-Cbb_ED5Q</t>
      </text>
    </comment>
    <comment authorId="0" ref="A327">
      <text>
        <t xml:space="preserve">2_ABaOnufO_hu-gTkZCHoWntr0dPN48t0qhoysUFfE4EG_n8NvOdLYLrBM9nQHtJYVuS68wns</t>
      </text>
    </comment>
    <comment authorId="0" ref="B327">
      <text>
        <t xml:space="preserve">2_ABaOnufO_hu-gTkZCHoWntr0dPN48t0qhoysUFfE4EG_n8NvOdLYLrBM9nQHtJYVuS68wns</t>
      </text>
    </comment>
    <comment authorId="0" ref="A328">
      <text>
        <t xml:space="preserve">2_ABaOnuefpuvC65rTKRPEQRHjr-VKVVfkwC7xBVpdK2fdzvqaJ2BhO5kNfeGRPI8MpFaszCU</t>
      </text>
    </comment>
    <comment authorId="0" ref="B328">
      <text>
        <t xml:space="preserve">2_ABaOnuefpuvC65rTKRPEQRHjr-VKVVfkwC7xBVpdK2fdzvqaJ2BhO5kNfeGRPI8MpFaszCU</t>
      </text>
    </comment>
    <comment authorId="0" ref="A329">
      <text>
        <t xml:space="preserve">2_ABaOnucJQqtl4JjDhkwkqKFuorJ3e_6e1zcIFBzOt-LJDpJ_mQNrAfSjc6N6lwGqpVzgigk</t>
      </text>
    </comment>
    <comment authorId="0" ref="B329">
      <text>
        <t xml:space="preserve">2_ABaOnucJQqtl4JjDhkwkqKFuorJ3e_6e1zcIFBzOt-LJDpJ_mQNrAfSjc6N6lwGqpVzgigk</t>
      </text>
    </comment>
    <comment authorId="0" ref="A330">
      <text>
        <t xml:space="preserve">2_ABaOnud_KrgLm1fNTXiG3GF_P5uCYH5PTMJJUzclsqxoRx4MGQGMC97XQujFsgj6FuqJJ1A</t>
      </text>
    </comment>
    <comment authorId="0" ref="B330">
      <text>
        <t xml:space="preserve">2_ABaOnud_KrgLm1fNTXiG3GF_P5uCYH5PTMJJUzclsqxoRx4MGQGMC97XQujFsgj6FuqJJ1A</t>
      </text>
    </comment>
    <comment authorId="0" ref="A331">
      <text>
        <t xml:space="preserve">2_ABaOnudcPUybamSBheXjAXKZXmZTK3e37QnIEZYODjyuYMfaFQliSAnSCeilgVCIdsVXVEI</t>
      </text>
    </comment>
    <comment authorId="0" ref="B331">
      <text>
        <t xml:space="preserve">2_ABaOnudcPUybamSBheXjAXKZXmZTK3e37QnIEZYODjyuYMfaFQliSAnSCeilgVCIdsVXVEI</t>
      </text>
    </comment>
    <comment authorId="0" ref="A332">
      <text>
        <t xml:space="preserve">2_ABaOnufoEMtt6D5jBiogtNoalluwU5p-h22GN8eUTACFTaHSxgwx0uNhe-Z7o-RfTv_3J9Q</t>
      </text>
    </comment>
    <comment authorId="0" ref="B332">
      <text>
        <t xml:space="preserve">2_ABaOnufoEMtt6D5jBiogtNoalluwU5p-h22GN8eUTACFTaHSxgwx0uNhe-Z7o-RfTv_3J9Q</t>
      </text>
    </comment>
    <comment authorId="0" ref="A333">
      <text>
        <t xml:space="preserve">2_ABaOnucgtcb5-AcHrt9MMdGz_H3GIPus11No2RUn-862s2zVLYsS-NwYr4lA4NtQcH-RXzI</t>
      </text>
    </comment>
    <comment authorId="0" ref="B333">
      <text>
        <t xml:space="preserve">2_ABaOnucgtcb5-AcHrt9MMdGz_H3GIPus11No2RUn-862s2zVLYsS-NwYr4lA4NtQcH-RXzI</t>
      </text>
    </comment>
    <comment authorId="0" ref="A334">
      <text>
        <t xml:space="preserve">2_ABaOnueEZ7A2T4uy7g1EjMcfxEOIc9DhptEfoslkW2vSTSnJSTRDkZyRjqQAn2fAQG939AM</t>
      </text>
    </comment>
    <comment authorId="0" ref="B334">
      <text>
        <t xml:space="preserve">2_ABaOnueEZ7A2T4uy7g1EjMcfxEOIc9DhptEfoslkW2vSTSnJSTRDkZyRjqQAn2fAQG939AM</t>
      </text>
    </comment>
    <comment authorId="0" ref="A335">
      <text>
        <t xml:space="preserve">2_ABaOnuepdqUWItGlWeU4DdVUMoJL5XRv3NkfulsmhD9DFpdeYg7cIO9EG69TXZCvtpPftFg</t>
      </text>
    </comment>
    <comment authorId="0" ref="B335">
      <text>
        <t xml:space="preserve">2_ABaOnuepdqUWItGlWeU4DdVUMoJL5XRv3NkfulsmhD9DFpdeYg7cIO9EG69TXZCvtpPftFg</t>
      </text>
    </comment>
    <comment authorId="0" ref="A336">
      <text>
        <t xml:space="preserve">2_ABaOnucoQ-oGbh41Giq3M1ajZVpKlMoDvTuuDoOmQTjVUtORlUHFLJPlb1lai50K_nbpOYM</t>
      </text>
    </comment>
    <comment authorId="0" ref="B336">
      <text>
        <t xml:space="preserve">2_ABaOnucoQ-oGbh41Giq3M1ajZVpKlMoDvTuuDoOmQTjVUtORlUHFLJPlb1lai50K_nbpOYM</t>
      </text>
    </comment>
    <comment authorId="0" ref="A337">
      <text>
        <t xml:space="preserve">2_ABaOnuftQvdOOG69L3ZH8Nr8-OJ--CvsDzIsGyCpf-CzEgxMgKccc_A5TpIHVGWebjP9Qf4</t>
      </text>
    </comment>
    <comment authorId="0" ref="B337">
      <text>
        <t xml:space="preserve">2_ABaOnuftQvdOOG69L3ZH8Nr8-OJ--CvsDzIsGyCpf-CzEgxMgKccc_A5TpIHVGWebjP9Qf4</t>
      </text>
    </comment>
    <comment authorId="0" ref="A338">
      <text>
        <t xml:space="preserve">2_ABaOnuczamQmNHEHfi-5AGk7ogwbNWYe8uHJmZEC1XAd7Q4_hDpuvo5Ph3d4E5BFm2yZHYQ</t>
      </text>
    </comment>
    <comment authorId="0" ref="B338">
      <text>
        <t xml:space="preserve">2_ABaOnuczamQmNHEHfi-5AGk7ogwbNWYe8uHJmZEC1XAd7Q4_hDpuvo5Ph3d4E5BFm2yZHYQ</t>
      </text>
    </comment>
    <comment authorId="0" ref="A339">
      <text>
        <t xml:space="preserve">2_ABaOnuc6KkkNQKRVVR1nkQakjrk_RhwZ3eGceGE-2wd1aJwkCeKQXE4eQ8dTFr28vShi3lk</t>
      </text>
    </comment>
    <comment authorId="0" ref="B339">
      <text>
        <t xml:space="preserve">2_ABaOnuc6KkkNQKRVVR1nkQakjrk_RhwZ3eGceGE-2wd1aJwkCeKQXE4eQ8dTFr28vShi3lk</t>
      </text>
    </comment>
    <comment authorId="0" ref="A340">
      <text>
        <t xml:space="preserve">2_ABaOnuehkSx695dwe-vhzeULe4XQbWc4kiKAd-CYDTYMYvBvp2yuR_AlhDzx6Am6nthh-W4</t>
      </text>
    </comment>
    <comment authorId="0" ref="B340">
      <text>
        <t xml:space="preserve">2_ABaOnuehkSx695dwe-vhzeULe4XQbWc4kiKAd-CYDTYMYvBvp2yuR_AlhDzx6Am6nthh-W4</t>
      </text>
    </comment>
    <comment authorId="0" ref="A341">
      <text>
        <t xml:space="preserve">2_ABaOnudUnHj6js2-9_wVOZcAGaYxHXuBKwLESir-9kEgifgMUVfDp3x7G3j9s5E5VWcOexI</t>
      </text>
    </comment>
    <comment authorId="0" ref="B341">
      <text>
        <t xml:space="preserve">2_ABaOnudUnHj6js2-9_wVOZcAGaYxHXuBKwLESir-9kEgifgMUVfDp3x7G3j9s5E5VWcOexI</t>
      </text>
    </comment>
    <comment authorId="0" ref="A342">
      <text>
        <t xml:space="preserve">2_ABaOnudbEaEdrckwEOaFhZSGLs7Os49i5nOtx1VyorsHjvitM03UMWn2QJoJ6-5LtX0kvxo</t>
      </text>
    </comment>
    <comment authorId="0" ref="B342">
      <text>
        <t xml:space="preserve">2_ABaOnudbEaEdrckwEOaFhZSGLs7Os49i5nOtx1VyorsHjvitM03UMWn2QJoJ6-5LtX0kvxo</t>
      </text>
    </comment>
    <comment authorId="0" ref="A343">
      <text>
        <t xml:space="preserve">2_ABaOnufLal0DxJQr8g6fmyoTyx6ZDgm_Xz3j6pmjxk9xgcCD9DwCWfg76iBSNaRBEBcpdDA</t>
      </text>
    </comment>
    <comment authorId="0" ref="B343">
      <text>
        <t xml:space="preserve">2_ABaOnufLal0DxJQr8g6fmyoTyx6ZDgm_Xz3j6pmjxk9xgcCD9DwCWfg76iBSNaRBEBcpdDA</t>
      </text>
    </comment>
    <comment authorId="0" ref="A344">
      <text>
        <t xml:space="preserve">2_ABaOnue8icX3VocicHx3lwhGLnPwjLeuVWecabnwl5cEloVUCoa0E5kx4cKDT-yQauEXcoY</t>
      </text>
    </comment>
    <comment authorId="0" ref="B344">
      <text>
        <t xml:space="preserve">2_ABaOnue8icX3VocicHx3lwhGLnPwjLeuVWecabnwl5cEloVUCoa0E5kx4cKDT-yQauEXcoY</t>
      </text>
    </comment>
    <comment authorId="0" ref="A345">
      <text>
        <t xml:space="preserve">2_ABaOnucX2sRzK-jcKANgBfRxTYymydkuld9QSWuA2UD4ZbLc5JFrtAT2jDLuxYkl41ZiDFI</t>
      </text>
    </comment>
    <comment authorId="0" ref="B345">
      <text>
        <t xml:space="preserve">2_ABaOnucX2sRzK-jcKANgBfRxTYymydkuld9QSWuA2UD4ZbLc5JFrtAT2jDLuxYkl41ZiDFI</t>
      </text>
    </comment>
    <comment authorId="0" ref="A346">
      <text>
        <t xml:space="preserve">2_ABaOnudPa4C3TZ9vJn5uTGzGUUH3UnNHRmAb_Z7C6Px5avYwHKfygAip1HTv4lyGkUnN-Gg</t>
      </text>
    </comment>
    <comment authorId="0" ref="B346">
      <text>
        <t xml:space="preserve">2_ABaOnudPa4C3TZ9vJn5uTGzGUUH3UnNHRmAb_Z7C6Px5avYwHKfygAip1HTv4lyGkUnN-Gg</t>
      </text>
    </comment>
    <comment authorId="0" ref="A347">
      <text>
        <t xml:space="preserve">2_ABaOnufIRQGnDxIjVGzPSg-fhTadPvou42Bo14Noj2okMlNKKZ2V7-W3h_HAfiGEQgPBm_8</t>
      </text>
    </comment>
    <comment authorId="0" ref="B347">
      <text>
        <t xml:space="preserve">2_ABaOnufIRQGnDxIjVGzPSg-fhTadPvou42Bo14Noj2okMlNKKZ2V7-W3h_HAfiGEQgPBm_8</t>
      </text>
    </comment>
    <comment authorId="0" ref="A348">
      <text>
        <t xml:space="preserve">2_ABaOnufiPSZ9rxZdN5J8XQICpZZmOffeYINDqMmDj4CJ1AKbn63jdYZ7EYUQtKxyAObZpMA</t>
      </text>
    </comment>
    <comment authorId="0" ref="B348">
      <text>
        <t xml:space="preserve">2_ABaOnufiPSZ9rxZdN5J8XQICpZZmOffeYINDqMmDj4CJ1AKbn63jdYZ7EYUQtKxyAObZpMA</t>
      </text>
    </comment>
    <comment authorId="0" ref="A349">
      <text>
        <t xml:space="preserve">2_ABaOnufbEhDu_KjhMTsfnRDfzolpSBO9wIHD8_CZXzXVLmqUlSsHkM1Wa0fvV0SYkNUcMo0</t>
      </text>
    </comment>
    <comment authorId="0" ref="B349">
      <text>
        <t xml:space="preserve">2_ABaOnufbEhDu_KjhMTsfnRDfzolpSBO9wIHD8_CZXzXVLmqUlSsHkM1Wa0fvV0SYkNUcMo0</t>
      </text>
    </comment>
    <comment authorId="0" ref="A350">
      <text>
        <t xml:space="preserve">2_ABaOnuftUPG12do5WpUSPuwK62G0CdVjufyWC8n3KWe9KIi96bnf8MkZbjXvIR5R2Ma7eNk</t>
      </text>
    </comment>
    <comment authorId="0" ref="B350">
      <text>
        <t xml:space="preserve">2_ABaOnuftUPG12do5WpUSPuwK62G0CdVjufyWC8n3KWe9KIi96bnf8MkZbjXvIR5R2Ma7eNk</t>
      </text>
    </comment>
    <comment authorId="0" ref="A351">
      <text>
        <t xml:space="preserve">2_ABaOnudLPDTa1uD1inpdBOpH1jfuTZF7Cxl6zmcstZpMpEPoEJK9SNypLqvvKNq_l1umFcw</t>
      </text>
    </comment>
    <comment authorId="0" ref="B351">
      <text>
        <t xml:space="preserve">2_ABaOnudLPDTa1uD1inpdBOpH1jfuTZF7Cxl6zmcstZpMpEPoEJK9SNypLqvvKNq_l1umFcw</t>
      </text>
    </comment>
    <comment authorId="0" ref="A352">
      <text>
        <t xml:space="preserve">2_ABaOnufzwcmyN2fi6D6-Dji8S2EUhKftAZYTe4dNTzd4SxwzK21YCkcDaVH6klg77Z1AV84</t>
      </text>
    </comment>
    <comment authorId="0" ref="B352">
      <text>
        <t xml:space="preserve">2_ABaOnufzwcmyN2fi6D6-Dji8S2EUhKftAZYTe4dNTzd4SxwzK21YCkcDaVH6klg77Z1AV84</t>
      </text>
    </comment>
    <comment authorId="0" ref="A353">
      <text>
        <t xml:space="preserve">2_ABaOnufj-Qz7LP84zFdPC717Ahg-JuBvd64TSJvSl8NkD_QY89ywfrl0veRdhGZbvUguyGo</t>
      </text>
    </comment>
    <comment authorId="0" ref="B353">
      <text>
        <t xml:space="preserve">2_ABaOnufj-Qz7LP84zFdPC717Ahg-JuBvd64TSJvSl8NkD_QY89ywfrl0veRdhGZbvUguyGo</t>
      </text>
    </comment>
    <comment authorId="0" ref="A354">
      <text>
        <t xml:space="preserve">2_ABaOnud7QpgxQwpbtYrS_YEvKQopXDgjBbhSwQkgKCV-o03zmbV1pd0cp9PxGuqQlYm6QIM</t>
      </text>
    </comment>
    <comment authorId="0" ref="B354">
      <text>
        <t xml:space="preserve">2_ABaOnud7QpgxQwpbtYrS_YEvKQopXDgjBbhSwQkgKCV-o03zmbV1pd0cp9PxGuqQlYm6QIM</t>
      </text>
    </comment>
    <comment authorId="0" ref="A355">
      <text>
        <t xml:space="preserve">2_ABaOnuc7biVy-lRqKG-p9_nrZyUO-J6Mt8MHbHcmHqfJZP7LD6IHe9iz-aybrLCw56WoXy4</t>
      </text>
    </comment>
    <comment authorId="0" ref="B355">
      <text>
        <t xml:space="preserve">2_ABaOnuc7biVy-lRqKG-p9_nrZyUO-J6Mt8MHbHcmHqfJZP7LD6IHe9iz-aybrLCw56WoXy4</t>
      </text>
    </comment>
    <comment authorId="0" ref="A356">
      <text>
        <t xml:space="preserve">2_ABaOnue3Qz-vYCE1PYRR8es2MCXKiZ5eoJF17A2PpMCMo_pvZyq-ZQqVF1UIxB389TVjLDc</t>
      </text>
    </comment>
    <comment authorId="0" ref="B356">
      <text>
        <t xml:space="preserve">2_ABaOnue3Qz-vYCE1PYRR8es2MCXKiZ5eoJF17A2PpMCMo_pvZyq-ZQqVF1UIxB389TVjLDc</t>
      </text>
    </comment>
    <comment authorId="0" ref="A357">
      <text>
        <t xml:space="preserve">2_ABaOnudhwBQh_Be6RgYXEqMeRc7F1oYqcGNcI0tzQcfbb_54rKOzFsnWraUE4mbslhmDI3M</t>
      </text>
    </comment>
    <comment authorId="0" ref="B357">
      <text>
        <t xml:space="preserve">2_ABaOnudhwBQh_Be6RgYXEqMeRc7F1oYqcGNcI0tzQcfbb_54rKOzFsnWraUE4mbslhmDI3M</t>
      </text>
    </comment>
    <comment authorId="0" ref="A358">
      <text>
        <t xml:space="preserve">2_ABaOnufjM0hOHjqR44tSyLLUKtnlMOZ0StIYsa6qpheDuhjcGqR9dmIa0q8VsNRuV_mx4co</t>
      </text>
    </comment>
    <comment authorId="0" ref="B358">
      <text>
        <t xml:space="preserve">2_ABaOnufjM0hOHjqR44tSyLLUKtnlMOZ0StIYsa6qpheDuhjcGqR9dmIa0q8VsNRuV_mx4co</t>
      </text>
    </comment>
    <comment authorId="0" ref="A359">
      <text>
        <t xml:space="preserve">2_ABaOnudgjMkEYR9jN6Z64VZ_7246o2av-45cB_-uqUA4eU6T3yDUOTKe902M8510PAPR-pw</t>
      </text>
    </comment>
    <comment authorId="0" ref="B359">
      <text>
        <t xml:space="preserve">2_ABaOnudgjMkEYR9jN6Z64VZ_7246o2av-45cB_-uqUA4eU6T3yDUOTKe902M8510PAPR-pw</t>
      </text>
    </comment>
    <comment authorId="0" ref="A360">
      <text>
        <t xml:space="preserve">2_ABaOnueGgnjJiU8AABWLbXwM-D0zFh0104qW2Dir5r9171n69DY0lv3DflGEAwFClw6-7sw</t>
      </text>
    </comment>
    <comment authorId="0" ref="B360">
      <text>
        <t xml:space="preserve">2_ABaOnueGgnjJiU8AABWLbXwM-D0zFh0104qW2Dir5r9171n69DY0lv3DflGEAwFClw6-7sw</t>
      </text>
    </comment>
    <comment authorId="0" ref="A361">
      <text>
        <t xml:space="preserve">2_ABaOnuc_NRhfF1SCOYpzO6utZsZqv_v6HTMUv8oPS2cbErIRFguUjT72zGnQB0OFOBk6Zrs</t>
      </text>
    </comment>
    <comment authorId="0" ref="B361">
      <text>
        <t xml:space="preserve">2_ABaOnuc_NRhfF1SCOYpzO6utZsZqv_v6HTMUv8oPS2cbErIRFguUjT72zGnQB0OFOBk6Zrs</t>
      </text>
    </comment>
    <comment authorId="0" ref="A362">
      <text>
        <t xml:space="preserve">2_ABaOnudG3oZ2Iv1eNSXLdKIx33hqi8SXVbSAem5PUwZiSasSbQpa3xOZyphyjAZf1PCloLo</t>
      </text>
    </comment>
    <comment authorId="0" ref="B362">
      <text>
        <t xml:space="preserve">2_ABaOnudG3oZ2Iv1eNSXLdKIx33hqi8SXVbSAem5PUwZiSasSbQpa3xOZyphyjAZf1PCloLo</t>
      </text>
    </comment>
    <comment authorId="0" ref="A363">
      <text>
        <t xml:space="preserve">2_ABaOnudcYe6njXSDAS0D1CE86YAd_uO93WcPP3X2SmYIevXn7skdctUJ9S-0YJw62jB5DIk</t>
      </text>
    </comment>
    <comment authorId="0" ref="B363">
      <text>
        <t xml:space="preserve">2_ABaOnudcYe6njXSDAS0D1CE86YAd_uO93WcPP3X2SmYIevXn7skdctUJ9S-0YJw62jB5DIk</t>
      </text>
    </comment>
    <comment authorId="0" ref="A364">
      <text>
        <t xml:space="preserve">2_ABaOnueXLpo671bQFRzJeXYB83ikAZ9vVEJjlAJzHh-52wW24uAlYyx83aCROVx1kJb2Nqc</t>
      </text>
    </comment>
    <comment authorId="0" ref="B364">
      <text>
        <t xml:space="preserve">2_ABaOnueXLpo671bQFRzJeXYB83ikAZ9vVEJjlAJzHh-52wW24uAlYyx83aCROVx1kJb2Nqc</t>
      </text>
    </comment>
    <comment authorId="0" ref="A365">
      <text>
        <t xml:space="preserve">2_ABaOnuenvzqQpK4jv7S9Rm2V3WKVmaYU5dLtXKXOryir2gC0js4qVVM4XvkMJdFHU73K8x8</t>
      </text>
    </comment>
    <comment authorId="0" ref="B365">
      <text>
        <t xml:space="preserve">2_ABaOnuenvzqQpK4jv7S9Rm2V3WKVmaYU5dLtXKXOryir2gC0js4qVVM4XvkMJdFHU73K8x8</t>
      </text>
    </comment>
    <comment authorId="0" ref="A366">
      <text>
        <t xml:space="preserve">2_ABaOnufgf1wvhde3Kn5iYZx9yPYPjvBJAF-UkNtQrQJ9lacESWypRQi8YN3uAlFkZbqsedQ</t>
      </text>
    </comment>
    <comment authorId="0" ref="B366">
      <text>
        <t xml:space="preserve">2_ABaOnufgf1wvhde3Kn5iYZx9yPYPjvBJAF-UkNtQrQJ9lacESWypRQi8YN3uAlFkZbqsedQ</t>
      </text>
    </comment>
    <comment authorId="0" ref="A367">
      <text>
        <t xml:space="preserve">2_ABaOnudk_sZFHgoiV--RvV94S4ygu7FpwOHhW_jDiDyPcG7W8iDnTn-H_wUawMpxqy-Og4s</t>
      </text>
    </comment>
    <comment authorId="0" ref="B367">
      <text>
        <t xml:space="preserve">2_ABaOnudk_sZFHgoiV--RvV94S4ygu7FpwOHhW_jDiDyPcG7W8iDnTn-H_wUawMpxqy-Og4s</t>
      </text>
    </comment>
    <comment authorId="0" ref="A368">
      <text>
        <t xml:space="preserve">2_ABaOnudNU9bonS1fxnxGUcfVTNQVCDeo_KUomdRe61iKreApJJnK-uQMVbjuodE7-InObug</t>
      </text>
    </comment>
    <comment authorId="0" ref="B368">
      <text>
        <t xml:space="preserve">2_ABaOnudNU9bonS1fxnxGUcfVTNQVCDeo_KUomdRe61iKreApJJnK-uQMVbjuodE7-InObug</t>
      </text>
    </comment>
    <comment authorId="0" ref="A369">
      <text>
        <t xml:space="preserve">2_ABaOnudUFnc8KLLerbDP8LGOdDPZzsHuvb5H36wzgvJASvFfWUm4cDoCEZFtAZ-avr5NnFs</t>
      </text>
    </comment>
    <comment authorId="0" ref="B369">
      <text>
        <t xml:space="preserve">2_ABaOnudUFnc8KLLerbDP8LGOdDPZzsHuvb5H36wzgvJASvFfWUm4cDoCEZFtAZ-avr5NnFs</t>
      </text>
    </comment>
    <comment authorId="0" ref="A370">
      <text>
        <t xml:space="preserve">2_ABaOnudqrVIvAjADYBTdrX3RkXf7PFc8ELua9rDpLIExDMyXHcIb4A9VrQNac6FldJzFjGo</t>
      </text>
    </comment>
    <comment authorId="0" ref="B370">
      <text>
        <t xml:space="preserve">2_ABaOnudqrVIvAjADYBTdrX3RkXf7PFc8ELua9rDpLIExDMyXHcIb4A9VrQNac6FldJzFjGo</t>
      </text>
    </comment>
    <comment authorId="0" ref="A371">
      <text>
        <t xml:space="preserve">2_ABaOnud0dPS13-FfIWARs6Z9Dgu9LhWYK-FljshcXnbxIuTBAVc3qKrZJCuSvV1fAvV-42I</t>
      </text>
    </comment>
    <comment authorId="0" ref="B371">
      <text>
        <t xml:space="preserve">2_ABaOnud0dPS13-FfIWARs6Z9Dgu9LhWYK-FljshcXnbxIuTBAVc3qKrZJCuSvV1fAvV-42I</t>
      </text>
    </comment>
    <comment authorId="0" ref="A372">
      <text>
        <t xml:space="preserve">2_ABaOnuc6cYpjrLhmDDN081hkWTyGO4vhQP7ehCt-Y7hYZLadpsuNrWBI7A2FOYBCJMS8Pec</t>
      </text>
    </comment>
    <comment authorId="0" ref="B372">
      <text>
        <t xml:space="preserve">2_ABaOnuc6cYpjrLhmDDN081hkWTyGO4vhQP7ehCt-Y7hYZLadpsuNrWBI7A2FOYBCJMS8Pec</t>
      </text>
    </comment>
    <comment authorId="0" ref="A373">
      <text>
        <t xml:space="preserve">2_ABaOnudZgRJ0wuZdnr_Zkt2qMsGLyrefNBKuDvvRELekUly8PfPaHZ0rYgrUyL2Yo1-SKLs</t>
      </text>
    </comment>
    <comment authorId="0" ref="B373">
      <text>
        <t xml:space="preserve">2_ABaOnudZgRJ0wuZdnr_Zkt2qMsGLyrefNBKuDvvRELekUly8PfPaHZ0rYgrUyL2Yo1-SKLs</t>
      </text>
    </comment>
    <comment authorId="0" ref="A374">
      <text>
        <t xml:space="preserve">2_ABaOnucbeu9YG3yS-GZw5RfjX430tgOWQHef-xYhUD_hnXSQ5AtiiJiZ3m7SnPYXVvdIJQU</t>
      </text>
    </comment>
    <comment authorId="0" ref="B374">
      <text>
        <t xml:space="preserve">2_ABaOnucbeu9YG3yS-GZw5RfjX430tgOWQHef-xYhUD_hnXSQ5AtiiJiZ3m7SnPYXVvdIJQU</t>
      </text>
    </comment>
    <comment authorId="0" ref="A375">
      <text>
        <t xml:space="preserve">2_ABaOnueJXsYLdvN0m43rKcTEW1L2H0yQRw7SWxDe-Ms7_s8aUSY5yAjhKUbM5SHJgIxE61Q</t>
      </text>
    </comment>
    <comment authorId="0" ref="B375">
      <text>
        <t xml:space="preserve">2_ABaOnueJXsYLdvN0m43rKcTEW1L2H0yQRw7SWxDe-Ms7_s8aUSY5yAjhKUbM5SHJgIxE61Q</t>
      </text>
    </comment>
    <comment authorId="0" ref="A376">
      <text>
        <t xml:space="preserve">2_ABaOnueoggdnoVbIzgoLb3lMaBuGPbPAkW4pRQv7wOfod5bLMbkApAvjbJDV2vgecXy9VlM</t>
      </text>
    </comment>
    <comment authorId="0" ref="B376">
      <text>
        <t xml:space="preserve">2_ABaOnueoggdnoVbIzgoLb3lMaBuGPbPAkW4pRQv7wOfod5bLMbkApAvjbJDV2vgecXy9VlM</t>
      </text>
    </comment>
    <comment authorId="0" ref="A377">
      <text>
        <t xml:space="preserve">2_ABaOnufXUKQb0qDEausPvdvgOVUGnz-UAtHXbVGXVIAxl_FEsfwoTxdjYihLIzyccbF8QAw</t>
      </text>
    </comment>
    <comment authorId="0" ref="B377">
      <text>
        <t xml:space="preserve">2_ABaOnufXUKQb0qDEausPvdvgOVUGnz-UAtHXbVGXVIAxl_FEsfwoTxdjYihLIzyccbF8QAw</t>
      </text>
    </comment>
    <comment authorId="0" ref="A378">
      <text>
        <t xml:space="preserve">2_ABaOnud_lgWn6jRW1QKFVQiRSynzasqDnvZuCqPxKsPJMzxW3a_w-NI70OmwK2fk9ijPaa4</t>
      </text>
    </comment>
    <comment authorId="0" ref="B378">
      <text>
        <t xml:space="preserve">2_ABaOnud_lgWn6jRW1QKFVQiRSynzasqDnvZuCqPxKsPJMzxW3a_w-NI70OmwK2fk9ijPaa4</t>
      </text>
    </comment>
    <comment authorId="0" ref="A379">
      <text>
        <t xml:space="preserve">2_ABaOnucGgDj1rditSrX2k0NXJPdy4dCn496pZgswcfgrAESwcy_UtOTGXTFS67nPk1JS0QE</t>
      </text>
    </comment>
    <comment authorId="0" ref="B379">
      <text>
        <t xml:space="preserve">2_ABaOnucGgDj1rditSrX2k0NXJPdy4dCn496pZgswcfgrAESwcy_UtOTGXTFS67nPk1JS0QE</t>
      </text>
    </comment>
    <comment authorId="0" ref="A380">
      <text>
        <t xml:space="preserve">2_ABaOnuenMXFn2113FBBjA-WT5gcALsFV94MtqieGOgh6ufnR6Lg9uM8jTL2fu_FTQcGZl14</t>
      </text>
    </comment>
    <comment authorId="0" ref="B380">
      <text>
        <t xml:space="preserve">2_ABaOnuenMXFn2113FBBjA-WT5gcALsFV94MtqieGOgh6ufnR6Lg9uM8jTL2fu_FTQcGZl14</t>
      </text>
    </comment>
    <comment authorId="0" ref="A381">
      <text>
        <t xml:space="preserve">2_ABaOnue8gHnqpAMDR3UkikDaQRrrOEsjlXW3gmA7WMdz_X-idWovfex3URXrlYcXblzU0h8</t>
      </text>
    </comment>
    <comment authorId="0" ref="B381">
      <text>
        <t xml:space="preserve">2_ABaOnue8gHnqpAMDR3UkikDaQRrrOEsjlXW3gmA7WMdz_X-idWovfex3URXrlYcXblzU0h8</t>
      </text>
    </comment>
    <comment authorId="0" ref="A382">
      <text>
        <t xml:space="preserve">2_ABaOnuekvnsW3HE8JlonF-8OMqLygOM0Td1KmzEPiHIRrqKZp76S9xIanYsBTwveKGG3mT4</t>
      </text>
    </comment>
    <comment authorId="0" ref="B382">
      <text>
        <t xml:space="preserve">2_ABaOnuekvnsW3HE8JlonF-8OMqLygOM0Td1KmzEPiHIRrqKZp76S9xIanYsBTwveKGG3mT4</t>
      </text>
    </comment>
    <comment authorId="0" ref="A383">
      <text>
        <t xml:space="preserve">2_ABaOnuf605fktAgdfWYXLbNRzXkAZeizlL-2KVi0phqYiwjqEt4v1POgva0-0vvxVxLt5I8</t>
      </text>
    </comment>
    <comment authorId="0" ref="B383">
      <text>
        <t xml:space="preserve">2_ABaOnuf605fktAgdfWYXLbNRzXkAZeizlL-2KVi0phqYiwjqEt4v1POgva0-0vvxVxLt5I8</t>
      </text>
    </comment>
    <comment authorId="0" ref="A384">
      <text>
        <t xml:space="preserve">2_ABaOnuebiT11148HcqWg0nE_rG_r5oRu4m8F47e0xw5f2_ViUgQXDYPAcyPbY_8px0rtMbY</t>
      </text>
    </comment>
    <comment authorId="0" ref="B384">
      <text>
        <t xml:space="preserve">2_ABaOnuebiT11148HcqWg0nE_rG_r5oRu4m8F47e0xw5f2_ViUgQXDYPAcyPbY_8px0rtMbY</t>
      </text>
    </comment>
    <comment authorId="0" ref="A385">
      <text>
        <t xml:space="preserve">2_ABaOnuc78zbpKxp_r29GHMtrcZGk0Az0Cpfq87lJJY8IfEoBkWSk1Ih-g_CM1GmwV3ELiik</t>
      </text>
    </comment>
    <comment authorId="0" ref="B385">
      <text>
        <t xml:space="preserve">2_ABaOnuc78zbpKxp_r29GHMtrcZGk0Az0Cpfq87lJJY8IfEoBkWSk1Ih-g_CM1GmwV3ELiik</t>
      </text>
    </comment>
    <comment authorId="0" ref="A386">
      <text>
        <t xml:space="preserve">2_ABaOnueNrRt5cwWf71lrzhH2I7NtKIUSpQ6IpktG3hKhZNn_2QZ02uNVN_5hLJZTLU5rBnQ</t>
      </text>
    </comment>
    <comment authorId="0" ref="B386">
      <text>
        <t xml:space="preserve">2_ABaOnueNrRt5cwWf71lrzhH2I7NtKIUSpQ6IpktG3hKhZNn_2QZ02uNVN_5hLJZTLU5rBnQ</t>
      </text>
    </comment>
    <comment authorId="0" ref="A387">
      <text>
        <t xml:space="preserve">2_ABaOnufgPDFmu13D3uScWYllsORKChw-zeXnyVFpEqL5AWr1al-by_7DI8BMm52ES-ZbrXQ</t>
      </text>
    </comment>
    <comment authorId="0" ref="B387">
      <text>
        <t xml:space="preserve">2_ABaOnufgPDFmu13D3uScWYllsORKChw-zeXnyVFpEqL5AWr1al-by_7DI8BMm52ES-ZbrXQ</t>
      </text>
    </comment>
    <comment authorId="0" ref="A388">
      <text>
        <t xml:space="preserve">2_ABaOnucn7HlGoXZHHI9Fkw_RDHL4NhzO9QU1sIZ1WNMiJGtKtYFnM-sK1WYuFmlUd28Awv8</t>
      </text>
    </comment>
    <comment authorId="0" ref="B388">
      <text>
        <t xml:space="preserve">2_ABaOnucn7HlGoXZHHI9Fkw_RDHL4NhzO9QU1sIZ1WNMiJGtKtYFnM-sK1WYuFmlUd28Awv8</t>
      </text>
    </comment>
    <comment authorId="0" ref="A389">
      <text>
        <t xml:space="preserve">2_ABaOnudhT-q7kwT3iO6YKU6K5dYGyE5hVKGKj_lw-5VhBrkGTDJQK4tO44fiq3ZEW6AsbJQ</t>
      </text>
    </comment>
    <comment authorId="0" ref="B389">
      <text>
        <t xml:space="preserve">2_ABaOnudhT-q7kwT3iO6YKU6K5dYGyE5hVKGKj_lw-5VhBrkGTDJQK4tO44fiq3ZEW6AsbJQ</t>
      </text>
    </comment>
    <comment authorId="0" ref="A390">
      <text>
        <t xml:space="preserve">2_ABaOnudPKAh-1o9H-B8tYbwI4I2SkljFqshh42eYj7Yhn2zNkOuinTQuz1nx0n-7z8uFwlw</t>
      </text>
    </comment>
    <comment authorId="0" ref="B390">
      <text>
        <t xml:space="preserve">2_ABaOnudPKAh-1o9H-B8tYbwI4I2SkljFqshh42eYj7Yhn2zNkOuinTQuz1nx0n-7z8uFwlw</t>
      </text>
    </comment>
    <comment authorId="0" ref="A391">
      <text>
        <t xml:space="preserve">2_ABaOnucaTprdF1sboaC_4fC39wl960VvvJD20fjWsCU1ROoW_CStQZoYZ1INwbQ7tMJRs3c</t>
      </text>
    </comment>
    <comment authorId="0" ref="B391">
      <text>
        <t xml:space="preserve">2_ABaOnucaTprdF1sboaC_4fC39wl960VvvJD20fjWsCU1ROoW_CStQZoYZ1INwbQ7tMJRs3c</t>
      </text>
    </comment>
    <comment authorId="0" ref="A392">
      <text>
        <t xml:space="preserve">2_ABaOnud9B4I360rpakPiwiVvWOaF9u68CjXvgYGlpmxsm6YDddqa3_DaeYLV4TgLBK84oPI</t>
      </text>
    </comment>
    <comment authorId="0" ref="B392">
      <text>
        <t xml:space="preserve">2_ABaOnud9B4I360rpakPiwiVvWOaF9u68CjXvgYGlpmxsm6YDddqa3_DaeYLV4TgLBK84oPI</t>
      </text>
    </comment>
    <comment authorId="0" ref="A393">
      <text>
        <t xml:space="preserve">2_ABaOnuc7gbJ4cAmD2p38w5w3OlwPWPhyBT2bxn_kMZqtl6swqyRpcAY9xgwbgPidbhEjjvM</t>
      </text>
    </comment>
    <comment authorId="0" ref="B393">
      <text>
        <t xml:space="preserve">2_ABaOnuc7gbJ4cAmD2p38w5w3OlwPWPhyBT2bxn_kMZqtl6swqyRpcAY9xgwbgPidbhEjjvM</t>
      </text>
    </comment>
    <comment authorId="0" ref="A394">
      <text>
        <t xml:space="preserve">2_ABaOnue0CFa1AY-4nGpN_5f-k2icWXmoEGwq6OuAMXLSOaEcDqXV4vidj90jDfA4XzvkO2s</t>
      </text>
    </comment>
    <comment authorId="0" ref="B394">
      <text>
        <t xml:space="preserve">2_ABaOnue0CFa1AY-4nGpN_5f-k2icWXmoEGwq6OuAMXLSOaEcDqXV4vidj90jDfA4XzvkO2s</t>
      </text>
    </comment>
    <comment authorId="0" ref="A395">
      <text>
        <t xml:space="preserve">2_ABaOnufR2iWlwrbkAns0OR7LxnDXMVRSGiptcXNYGlc7Tf2tOrzAj8s5ixEuviivzQNtLG8</t>
      </text>
    </comment>
    <comment authorId="0" ref="B395">
      <text>
        <t xml:space="preserve">2_ABaOnufR2iWlwrbkAns0OR7LxnDXMVRSGiptcXNYGlc7Tf2tOrzAj8s5ixEuviivzQNtLG8</t>
      </text>
    </comment>
    <comment authorId="0" ref="A396">
      <text>
        <t xml:space="preserve">2_ABaOnudrJJXURBukEsrOujmpQNldcSWvWMRYUQVkrPqAfcPYAqroTT1wxsGU5mleCK3t4V0</t>
      </text>
    </comment>
    <comment authorId="0" ref="B396">
      <text>
        <t xml:space="preserve">2_ABaOnudrJJXURBukEsrOujmpQNldcSWvWMRYUQVkrPqAfcPYAqroTT1wxsGU5mleCK3t4V0</t>
      </text>
    </comment>
    <comment authorId="0" ref="A397">
      <text>
        <t xml:space="preserve">2_ABaOnudaq7ABEiO55wdmvOWrmck0uWfhYQKzbXrBknRyg2Ii5WtysOz_M2L0f76qCzfDC1U</t>
      </text>
    </comment>
    <comment authorId="0" ref="B397">
      <text>
        <t xml:space="preserve">2_ABaOnudaq7ABEiO55wdmvOWrmck0uWfhYQKzbXrBknRyg2Ii5WtysOz_M2L0f76qCzfDC1U</t>
      </text>
    </comment>
    <comment authorId="0" ref="A398">
      <text>
        <t xml:space="preserve">2_ABaOnucvjO2q-PKaPkpBa9LLSqODetYFMfAUiJ1CGdbhSS3Q93Pj3AHo5Osndq7iCshlPKU</t>
      </text>
    </comment>
    <comment authorId="0" ref="B398">
      <text>
        <t xml:space="preserve">2_ABaOnucvjO2q-PKaPkpBa9LLSqODetYFMfAUiJ1CGdbhSS3Q93Pj3AHo5Osndq7iCshlPKU</t>
      </text>
    </comment>
    <comment authorId="0" ref="A399">
      <text>
        <t xml:space="preserve">2_ABaOnufD79IAMN6vAGgMxEWrIkuNGY6TfKqBPd1XYvdQ9FAapF0wLIOd6jn_RdiCo0kQlW8</t>
      </text>
    </comment>
    <comment authorId="0" ref="B399">
      <text>
        <t xml:space="preserve">2_ABaOnufD79IAMN6vAGgMxEWrIkuNGY6TfKqBPd1XYvdQ9FAapF0wLIOd6jn_RdiCo0kQlW8</t>
      </text>
    </comment>
    <comment authorId="0" ref="A400">
      <text>
        <t xml:space="preserve">2_ABaOnuf1cfPVuikqkvXPMZxvUF_mzvUAwC4alA5DcAHk-tRp4gWYDg9OmEqRe8PbIQ4XVEU</t>
      </text>
    </comment>
    <comment authorId="0" ref="B400">
      <text>
        <t xml:space="preserve">2_ABaOnuf1cfPVuikqkvXPMZxvUF_mzvUAwC4alA5DcAHk-tRp4gWYDg9OmEqRe8PbIQ4XVEU</t>
      </text>
    </comment>
    <comment authorId="0" ref="A401">
      <text>
        <t xml:space="preserve">2_ABaOnuf2ZXX5GEMSHglCnUKw04LVG_hhEXTAmyzz8V8rW9JU-CI0tL7RTPVvbJBdgtTJ5H0</t>
      </text>
    </comment>
    <comment authorId="0" ref="B401">
      <text>
        <t xml:space="preserve">2_ABaOnuf2ZXX5GEMSHglCnUKw04LVG_hhEXTAmyzz8V8rW9JU-CI0tL7RTPVvbJBdgtTJ5H0</t>
      </text>
    </comment>
    <comment authorId="0" ref="A402">
      <text>
        <t xml:space="preserve">2_ABaOnufvlIohhTQvwkveKOlzw7ByLStYBBrqW1IhuN8U2j_Sy4piLYsttcKuxfnGdajAh3w</t>
      </text>
    </comment>
    <comment authorId="0" ref="B402">
      <text>
        <t xml:space="preserve">2_ABaOnufvlIohhTQvwkveKOlzw7ByLStYBBrqW1IhuN8U2j_Sy4piLYsttcKuxfnGdajAh3w</t>
      </text>
    </comment>
    <comment authorId="0" ref="A403">
      <text>
        <t xml:space="preserve">2_ABaOnue3X-1bo_xrZtohbW_q20ryqI38WoUXEV-yjmbzUmeWgRSAtRdFqylW2rPpNR2_E2E</t>
      </text>
    </comment>
    <comment authorId="0" ref="B403">
      <text>
        <t xml:space="preserve">2_ABaOnue3X-1bo_xrZtohbW_q20ryqI38WoUXEV-yjmbzUmeWgRSAtRdFqylW2rPpNR2_E2E</t>
      </text>
    </comment>
    <comment authorId="0" ref="A404">
      <text>
        <t xml:space="preserve">2_ABaOnudtvSx0BwfNdFMl5ja7AKLNf232RWMxIb4AUyDcDwGQ4VzR5B9xOnq4qlsmn2kdxqU</t>
      </text>
    </comment>
    <comment authorId="0" ref="B404">
      <text>
        <t xml:space="preserve">2_ABaOnudtvSx0BwfNdFMl5ja7AKLNf232RWMxIb4AUyDcDwGQ4VzR5B9xOnq4qlsmn2kdxqU</t>
      </text>
    </comment>
    <comment authorId="0" ref="A405">
      <text>
        <t xml:space="preserve">2_ABaOnucsHu3qY-s-AcnX5-tvIm6ANfa3B2KDoGAIeHsh2_szDOL4NHVIl4M4ijM0HOS1iZM</t>
      </text>
    </comment>
    <comment authorId="0" ref="B405">
      <text>
        <t xml:space="preserve">2_ABaOnucsHu3qY-s-AcnX5-tvIm6ANfa3B2KDoGAIeHsh2_szDOL4NHVIl4M4ijM0HOS1iZM</t>
      </text>
    </comment>
    <comment authorId="0" ref="A406">
      <text>
        <t xml:space="preserve">2_ABaOnucE1uX22XUxfO9FUUFbscXCf1uSJLAdXPX979MM10A8TRIrFLXkBOiup7NrRUUkcQ0</t>
      </text>
    </comment>
    <comment authorId="0" ref="B406">
      <text>
        <t xml:space="preserve">2_ABaOnucE1uX22XUxfO9FUUFbscXCf1uSJLAdXPX979MM10A8TRIrFLXkBOiup7NrRUUkcQ0</t>
      </text>
    </comment>
    <comment authorId="0" ref="A407">
      <text>
        <t xml:space="preserve">2_ABaOnufE4CA0HUT8buD0XTqDJmXhe8iSgvyo3MJUzXg0kOkiEBEPbKmjm0EdrQjQRds7dSM</t>
      </text>
    </comment>
    <comment authorId="0" ref="B407">
      <text>
        <t xml:space="preserve">2_ABaOnufE4CA0HUT8buD0XTqDJmXhe8iSgvyo3MJUzXg0kOkiEBEPbKmjm0EdrQjQRds7dSM</t>
      </text>
    </comment>
    <comment authorId="0" ref="A408">
      <text>
        <t xml:space="preserve">2_ABaOnudhmR--1KYFOawSXNubiAB5i5VZqgiuIzxM6a6i3xJ7DGb2N-w_6tW4UfMyrxMDRhw</t>
      </text>
    </comment>
    <comment authorId="0" ref="B408">
      <text>
        <t xml:space="preserve">2_ABaOnudhmR--1KYFOawSXNubiAB5i5VZqgiuIzxM6a6i3xJ7DGb2N-w_6tW4UfMyrxMDRhw</t>
      </text>
    </comment>
    <comment authorId="0" ref="A409">
      <text>
        <t xml:space="preserve">2_ABaOnufZU6iumAE1gmoCz1jKQF9mIz4JSSG8FE41gNI6du4GjoDu9lzQGO3bqY7QPYcVE0g</t>
      </text>
    </comment>
    <comment authorId="0" ref="B409">
      <text>
        <t xml:space="preserve">2_ABaOnufZU6iumAE1gmoCz1jKQF9mIz4JSSG8FE41gNI6du4GjoDu9lzQGO3bqY7QPYcVE0g</t>
      </text>
    </comment>
    <comment authorId="0" ref="A410">
      <text>
        <t xml:space="preserve">2_ABaOnufzJhc6md928yVQoQf4ZZEQoh7wcI5cskIq3nKhLnpDOqMFcM_K2ZGpJ-asCuOLuGg</t>
      </text>
    </comment>
    <comment authorId="0" ref="B410">
      <text>
        <t xml:space="preserve">2_ABaOnufzJhc6md928yVQoQf4ZZEQoh7wcI5cskIq3nKhLnpDOqMFcM_K2ZGpJ-asCuOLuGg</t>
      </text>
    </comment>
    <comment authorId="0" ref="A411">
      <text>
        <t xml:space="preserve">2_ABaOnucnbiE1jHn5414C7smA2ockGVlyphKMXzQN-G55lCC1XL7SXhiTAQ68-2838LXTPlY</t>
      </text>
    </comment>
    <comment authorId="0" ref="B411">
      <text>
        <t xml:space="preserve">2_ABaOnucnbiE1jHn5414C7smA2ockGVlyphKMXzQN-G55lCC1XL7SXhiTAQ68-2838LXTPlY</t>
      </text>
    </comment>
    <comment authorId="0" ref="A412">
      <text>
        <t xml:space="preserve">2_ABaOnufz7JIZdU-s8y26S82jds4oIIxluvZO9aJwKVwmQq9JYsjqyz_lau0kspxmWzW4SLo</t>
      </text>
    </comment>
    <comment authorId="0" ref="B412">
      <text>
        <t xml:space="preserve">2_ABaOnufz7JIZdU-s8y26S82jds4oIIxluvZO9aJwKVwmQq9JYsjqyz_lau0kspxmWzW4SLo</t>
      </text>
    </comment>
    <comment authorId="0" ref="A413">
      <text>
        <t xml:space="preserve">2_ABaOnufvoW4rUXvt59Ju2LOo9TcNcRctQ3KArxYBuKhtORtb2VEsgaGK8J4vCRNDN4SqGso</t>
      </text>
    </comment>
    <comment authorId="0" ref="B413">
      <text>
        <t xml:space="preserve">2_ABaOnufvoW4rUXvt59Ju2LOo9TcNcRctQ3KArxYBuKhtORtb2VEsgaGK8J4vCRNDN4SqGso</t>
      </text>
    </comment>
    <comment authorId="0" ref="A414">
      <text>
        <t xml:space="preserve">2_ABaOnufpHNQpKNLVIaqSYtGjZGR7ZeJzFYfzZeaQxTSoIwsT6Ct5YsZ8YXlHHn3-LvbO8Cw</t>
      </text>
    </comment>
    <comment authorId="0" ref="B414">
      <text>
        <t xml:space="preserve">2_ABaOnufpHNQpKNLVIaqSYtGjZGR7ZeJzFYfzZeaQxTSoIwsT6Ct5YsZ8YXlHHn3-LvbO8Cw</t>
      </text>
    </comment>
    <comment authorId="0" ref="A415">
      <text>
        <t xml:space="preserve">2_ABaOnufLcDCy8j0gMAhCFYkeKrUHZsMURsGUkT3yTNx27CVes_eEVdHChyEm3htlcW25ODc</t>
      </text>
    </comment>
    <comment authorId="0" ref="B415">
      <text>
        <t xml:space="preserve">2_ABaOnufLcDCy8j0gMAhCFYkeKrUHZsMURsGUkT3yTNx27CVes_eEVdHChyEm3htlcW25ODc</t>
      </text>
    </comment>
    <comment authorId="0" ref="A416">
      <text>
        <t xml:space="preserve">2_ABaOnuettsCOUTbpA5bOhUiZiQTp_IjC9llkBk4RFdUzi9sgWQxActEq_q-6BUuxzFTRTQo</t>
      </text>
    </comment>
    <comment authorId="0" ref="B416">
      <text>
        <t xml:space="preserve">2_ABaOnuettsCOUTbpA5bOhUiZiQTp_IjC9llkBk4RFdUzi9sgWQxActEq_q-6BUuxzFTRTQo</t>
      </text>
    </comment>
    <comment authorId="0" ref="A417">
      <text>
        <t xml:space="preserve">2_ABaOnudMyUyjqtKBgHMPVTQPlqphlzCM3c8HhT-MDF21ljdPX841wCm2vh2J_v22wPTi3pM</t>
      </text>
    </comment>
    <comment authorId="0" ref="B417">
      <text>
        <t xml:space="preserve">2_ABaOnudMyUyjqtKBgHMPVTQPlqphlzCM3c8HhT-MDF21ljdPX841wCm2vh2J_v22wPTi3pM</t>
      </text>
    </comment>
    <comment authorId="0" ref="A418">
      <text>
        <t xml:space="preserve">2_ABaOnucgLfPHSfE-NCLZdZQL2YEXpNVXnA3MvYVRWR9t5wCmvjSnXZkjbixl8KTcGv7CgqQ</t>
      </text>
    </comment>
    <comment authorId="0" ref="B418">
      <text>
        <t xml:space="preserve">2_ABaOnucgLfPHSfE-NCLZdZQL2YEXpNVXnA3MvYVRWR9t5wCmvjSnXZkjbixl8KTcGv7CgqQ</t>
      </text>
    </comment>
    <comment authorId="0" ref="A419">
      <text>
        <t xml:space="preserve">2_ABaOnufMkSq_-9ptvdPxaEDj0OH8cSoAjlcpOS4WxeY7__l_zPgG_Vc-uw9hRN9E8t6GWyU</t>
      </text>
    </comment>
    <comment authorId="0" ref="B419">
      <text>
        <t xml:space="preserve">2_ABaOnufMkSq_-9ptvdPxaEDj0OH8cSoAjlcpOS4WxeY7__l_zPgG_Vc-uw9hRN9E8t6GWyU</t>
      </text>
    </comment>
    <comment authorId="0" ref="A420">
      <text>
        <t xml:space="preserve">2_ABaOnuebgzOOdlhHiofVzAILu9ht6n5Fexp8v49Qt5VEo7Yx3JXlABLDS7M5SgM1xQ1Rih4</t>
      </text>
    </comment>
    <comment authorId="0" ref="B420">
      <text>
        <t xml:space="preserve">2_ABaOnuebgzOOdlhHiofVzAILu9ht6n5Fexp8v49Qt5VEo7Yx3JXlABLDS7M5SgM1xQ1Rih4</t>
      </text>
    </comment>
    <comment authorId="0" ref="A421">
      <text>
        <t xml:space="preserve">2_ABaOnueKoVZo09LYSe4OpvxHv6wWaQrNgFRGAhLWBXBZ1QiG2n1zSC07sz27f9p36jvjnOc</t>
      </text>
    </comment>
    <comment authorId="0" ref="B421">
      <text>
        <t xml:space="preserve">2_ABaOnueKoVZo09LYSe4OpvxHv6wWaQrNgFRGAhLWBXBZ1QiG2n1zSC07sz27f9p36jvjnOc</t>
      </text>
    </comment>
    <comment authorId="0" ref="A422">
      <text>
        <t xml:space="preserve">2_ABaOnueDy10s07jyxY2NbEL6hgP9o5bs-hab7GLmLDvu8ntrrV-LYIzuis6T3Epe71IH4A0</t>
      </text>
    </comment>
    <comment authorId="0" ref="B422">
      <text>
        <t xml:space="preserve">2_ABaOnueDy10s07jyxY2NbEL6hgP9o5bs-hab7GLmLDvu8ntrrV-LYIzuis6T3Epe71IH4A0</t>
      </text>
    </comment>
    <comment authorId="0" ref="A423">
      <text>
        <t xml:space="preserve">2_ABaOnudiC6zLEBH2U8L80hTFscjDNgAFJIEAAHjuu9gVR6FjK90Efq0JZh5OJ_kjr0kXBsk</t>
      </text>
    </comment>
    <comment authorId="0" ref="B423">
      <text>
        <t xml:space="preserve">2_ABaOnudiC6zLEBH2U8L80hTFscjDNgAFJIEAAHjuu9gVR6FjK90Efq0JZh5OJ_kjr0kXBsk</t>
      </text>
    </comment>
    <comment authorId="0" ref="A424">
      <text>
        <t xml:space="preserve">2_ABaOnue81yc0Hx_hD4p4eA3BIJw8G0hT3ZVnCtR0glMvvbpy1mZisJFxqZhbvmBi5GZAe1g</t>
      </text>
    </comment>
    <comment authorId="0" ref="B424">
      <text>
        <t xml:space="preserve">2_ABaOnue81yc0Hx_hD4p4eA3BIJw8G0hT3ZVnCtR0glMvvbpy1mZisJFxqZhbvmBi5GZAe1g</t>
      </text>
    </comment>
    <comment authorId="0" ref="A425">
      <text>
        <t xml:space="preserve">2_ABaOnufWjwbNmngF8gZSue2zR2EjbLmS9NBST18jDMc6dX6t5mytmkwZKzf9yaJ6UcE8n9k</t>
      </text>
    </comment>
    <comment authorId="0" ref="B425">
      <text>
        <t xml:space="preserve">2_ABaOnufWjwbNmngF8gZSue2zR2EjbLmS9NBST18jDMc6dX6t5mytmkwZKzf9yaJ6UcE8n9k</t>
      </text>
    </comment>
    <comment authorId="0" ref="A426">
      <text>
        <t xml:space="preserve">2_ABaOnuc6fpe7Wg8XCxfMSXRegZXOxi0qOY16Cv_dcJ0wKkgbXazJiQSpbkFNJ9x__zLqtrE</t>
      </text>
    </comment>
    <comment authorId="0" ref="B426">
      <text>
        <t xml:space="preserve">2_ABaOnuc6fpe7Wg8XCxfMSXRegZXOxi0qOY16Cv_dcJ0wKkgbXazJiQSpbkFNJ9x__zLqtrE</t>
      </text>
    </comment>
    <comment authorId="0" ref="A427">
      <text>
        <t xml:space="preserve">2_ABaOnuduppT4kl4YlKFplR5bEmoMX8KobLRlW5XV0Y5pWRr0cW3faMFlYwpaknP8KiPOgyI</t>
      </text>
    </comment>
    <comment authorId="0" ref="B427">
      <text>
        <t xml:space="preserve">2_ABaOnuduppT4kl4YlKFplR5bEmoMX8KobLRlW5XV0Y5pWRr0cW3faMFlYwpaknP8KiPOgyI</t>
      </text>
    </comment>
    <comment authorId="0" ref="A428">
      <text>
        <t xml:space="preserve">2_ABaOnue7poq3a9DqwC4FXaOKi8rysVJ03GpOjUrbSU_6EoSoenNJqPfSNcFf3C_AD6cM-Mo</t>
      </text>
    </comment>
    <comment authorId="0" ref="B428">
      <text>
        <t xml:space="preserve">2_ABaOnue7poq3a9DqwC4FXaOKi8rysVJ03GpOjUrbSU_6EoSoenNJqPfSNcFf3C_AD6cM-Mo</t>
      </text>
    </comment>
    <comment authorId="0" ref="A429">
      <text>
        <t xml:space="preserve">2_ABaOnuetGHFJLeM4783JDKS5XAEFTGM4mTE5ljGPvg2kWd92uGfMRWaIIOpQyN1dnjziH4s</t>
      </text>
    </comment>
    <comment authorId="0" ref="B429">
      <text>
        <t xml:space="preserve">2_ABaOnuetGHFJLeM4783JDKS5XAEFTGM4mTE5ljGPvg2kWd92uGfMRWaIIOpQyN1dnjziH4s</t>
      </text>
    </comment>
    <comment authorId="0" ref="A430">
      <text>
        <t xml:space="preserve">2_ABaOnufnMTlTtPI6VDKqLO-VqgK-pZ38fipzYTtLka3Szj9MMJ4wTY49p4XiYUXnhEu8KYw</t>
      </text>
    </comment>
    <comment authorId="0" ref="B430">
      <text>
        <t xml:space="preserve">2_ABaOnufnMTlTtPI6VDKqLO-VqgK-pZ38fipzYTtLka3Szj9MMJ4wTY49p4XiYUXnhEu8KYw</t>
      </text>
    </comment>
    <comment authorId="0" ref="A431">
      <text>
        <t xml:space="preserve">2_ABaOnudC7SmuYgyBtgZx-5LLeLzrhgthALPfF4CP7ULAuzjPI56ej74rUF03i8ExoXaW0P0</t>
      </text>
    </comment>
    <comment authorId="0" ref="B431">
      <text>
        <t xml:space="preserve">2_ABaOnudC7SmuYgyBtgZx-5LLeLzrhgthALPfF4CP7ULAuzjPI56ej74rUF03i8ExoXaW0P0</t>
      </text>
    </comment>
    <comment authorId="0" ref="A432">
      <text>
        <t xml:space="preserve">2_ABaOnueYX165oMjbRm6pbGN0U5owbp9e11q30BWigXRQ8hh8xIHatHQWgVE4JJHesDeHWG8</t>
      </text>
    </comment>
    <comment authorId="0" ref="B432">
      <text>
        <t xml:space="preserve">2_ABaOnueYX165oMjbRm6pbGN0U5owbp9e11q30BWigXRQ8hh8xIHatHQWgVE4JJHesDeHWG8</t>
      </text>
    </comment>
    <comment authorId="0" ref="A433">
      <text>
        <t xml:space="preserve">2_ABaOnucz0VbzZhfOnrcbriw_Ez9MqWFqp4K_Q_SyX6dQ3zynMx42i1E32bvJStKt63rfrgA</t>
      </text>
    </comment>
    <comment authorId="0" ref="B433">
      <text>
        <t xml:space="preserve">2_ABaOnucz0VbzZhfOnrcbriw_Ez9MqWFqp4K_Q_SyX6dQ3zynMx42i1E32bvJStKt63rfrgA</t>
      </text>
    </comment>
    <comment authorId="0" ref="A434">
      <text>
        <t xml:space="preserve">2_ABaOnuc9Qo0nEQyyy1Lt44NDVgIvORZ0j1Y2kk5tK3Es3DsyrQbM5-ee7SrDF7aEaIlQ23Q</t>
      </text>
    </comment>
    <comment authorId="0" ref="B434">
      <text>
        <t xml:space="preserve">2_ABaOnuc9Qo0nEQyyy1Lt44NDVgIvORZ0j1Y2kk5tK3Es3DsyrQbM5-ee7SrDF7aEaIlQ23Q</t>
      </text>
    </comment>
    <comment authorId="0" ref="A435">
      <text>
        <t xml:space="preserve">2_ABaOnuf_cQNlGpbrjzd_EXaNqSoO6s0gwq9rJFBryHrtXhU_oU56ES66WAnCvJx4bKQMAbQ</t>
      </text>
    </comment>
    <comment authorId="0" ref="B435">
      <text>
        <t xml:space="preserve">2_ABaOnuf_cQNlGpbrjzd_EXaNqSoO6s0gwq9rJFBryHrtXhU_oU56ES66WAnCvJx4bKQMAbQ</t>
      </text>
    </comment>
    <comment authorId="0" ref="A436">
      <text>
        <t xml:space="preserve">2_ABaOnuckxmZ90_FENvqsE8p9_R3Fze3nTaZNjAWKB3XaKyVn_jDQhT_S9zW2eulhB0-cVtA</t>
      </text>
    </comment>
    <comment authorId="0" ref="B436">
      <text>
        <t xml:space="preserve">2_ABaOnuckxmZ90_FENvqsE8p9_R3Fze3nTaZNjAWKB3XaKyVn_jDQhT_S9zW2eulhB0-cVtA</t>
      </text>
    </comment>
    <comment authorId="0" ref="A437">
      <text>
        <t xml:space="preserve">2_ABaOnucJE6_cPp8f3rIBG457WkVYwnZEvEnn6qCbncecoMsbhvEfCP22pJRmi2jmzjCLlAw</t>
      </text>
    </comment>
    <comment authorId="0" ref="B437">
      <text>
        <t xml:space="preserve">2_ABaOnucJE6_cPp8f3rIBG457WkVYwnZEvEnn6qCbncecoMsbhvEfCP22pJRmi2jmzjCLlAw</t>
      </text>
    </comment>
    <comment authorId="0" ref="A438">
      <text>
        <t xml:space="preserve">2_ABaOnucuaM89AvyieugG4nIbmgZ0-3222VoinDIEhtvTKYDkxgXJtr3ffDuNxagzkFtRhWg</t>
      </text>
    </comment>
    <comment authorId="0" ref="B438">
      <text>
        <t xml:space="preserve">2_ABaOnucuaM89AvyieugG4nIbmgZ0-3222VoinDIEhtvTKYDkxgXJtr3ffDuNxagzkFtRhWg</t>
      </text>
    </comment>
    <comment authorId="0" ref="A439">
      <text>
        <t xml:space="preserve">2_ABaOnuc0BDdc52CWKusnzF_qJV__O4aDjbufC-V4bL1jDAfVtTqlv4UXpZiKvYAPIfZkZiw</t>
      </text>
    </comment>
    <comment authorId="0" ref="B439">
      <text>
        <t xml:space="preserve">2_ABaOnuc0BDdc52CWKusnzF_qJV__O4aDjbufC-V4bL1jDAfVtTqlv4UXpZiKvYAPIfZkZiw</t>
      </text>
    </comment>
    <comment authorId="0" ref="A440">
      <text>
        <t xml:space="preserve">2_ABaOnueMFpWIPiOiGFS9-IFVvMYdep2cfs0LY4ZQylVWqaUfyiZDWAV9up_LiyP0JpQ_Q6w</t>
      </text>
    </comment>
    <comment authorId="0" ref="B440">
      <text>
        <t xml:space="preserve">2_ABaOnueMFpWIPiOiGFS9-IFVvMYdep2cfs0LY4ZQylVWqaUfyiZDWAV9up_LiyP0JpQ_Q6w</t>
      </text>
    </comment>
    <comment authorId="0" ref="A441">
      <text>
        <t xml:space="preserve">2_ABaOnudkNJBpxgRCmrkFlEwckoIzbWT1etKwXQ-KQN8m9JChtvrqB4Fn1Gzqu54SslFN_GA</t>
      </text>
    </comment>
    <comment authorId="0" ref="B441">
      <text>
        <t xml:space="preserve">2_ABaOnudkNJBpxgRCmrkFlEwckoIzbWT1etKwXQ-KQN8m9JChtvrqB4Fn1Gzqu54SslFN_GA</t>
      </text>
    </comment>
    <comment authorId="0" ref="A442">
      <text>
        <t xml:space="preserve">2_ABaOnudtaPM6NGDa032ANGXs6FjvCBCR85LXJcBxp1jsUxC2LA2sA_fgZh5HqyCgTykYxbg</t>
      </text>
    </comment>
    <comment authorId="0" ref="B442">
      <text>
        <t xml:space="preserve">2_ABaOnudtaPM6NGDa032ANGXs6FjvCBCR85LXJcBxp1jsUxC2LA2sA_fgZh5HqyCgTykYxbg</t>
      </text>
    </comment>
    <comment authorId="0" ref="A443">
      <text>
        <t xml:space="preserve">2_ABaOnud16vzWtRKgnbyDy23V84zAJ3Ex5cAzAj2HYgOrnnAlPObJK4v3uIUnKbTpQr5vWzg</t>
      </text>
    </comment>
    <comment authorId="0" ref="B443">
      <text>
        <t xml:space="preserve">2_ABaOnud16vzWtRKgnbyDy23V84zAJ3Ex5cAzAj2HYgOrnnAlPObJK4v3uIUnKbTpQr5vWzg</t>
      </text>
    </comment>
    <comment authorId="0" ref="A444">
      <text>
        <t xml:space="preserve">2_ABaOnufFEEUxGn1M7SdISvDnR4CXwEH8PvHmMiefXj3rwXZZSHuc8S8OmticGnOkuDHlPWE</t>
      </text>
    </comment>
    <comment authorId="0" ref="B444">
      <text>
        <t xml:space="preserve">2_ABaOnufFEEUxGn1M7SdISvDnR4CXwEH8PvHmMiefXj3rwXZZSHuc8S8OmticGnOkuDHlPWE</t>
      </text>
    </comment>
    <comment authorId="0" ref="A445">
      <text>
        <t xml:space="preserve">2_ABaOnueBrGaJptO3457e57ijC4G6UNSdkA60DGII3woFNJg3rXswFHjLUyyrosBuXLHJJ64</t>
      </text>
    </comment>
    <comment authorId="0" ref="B445">
      <text>
        <t xml:space="preserve">2_ABaOnueBrGaJptO3457e57ijC4G6UNSdkA60DGII3woFNJg3rXswFHjLUyyrosBuXLHJJ64</t>
      </text>
    </comment>
    <comment authorId="0" ref="A446">
      <text>
        <t xml:space="preserve">2_ABaOnueeWMTxZYtIDJ9031OksxWt1Weqx8R109UdIV_Y0_8uQNheIvA1VBM5Pu_G_uHGKsM</t>
      </text>
    </comment>
    <comment authorId="0" ref="B446">
      <text>
        <t xml:space="preserve">2_ABaOnueeWMTxZYtIDJ9031OksxWt1Weqx8R109UdIV_Y0_8uQNheIvA1VBM5Pu_G_uHGKsM</t>
      </text>
    </comment>
    <comment authorId="0" ref="A447">
      <text>
        <t xml:space="preserve">2_ABaOnud9f_9SbZJCKpCII9Tvi6LLATl7FuyhoreGGvveRyA0MBDFyOV_83Tnxu4SpJqYbSo</t>
      </text>
    </comment>
    <comment authorId="0" ref="B447">
      <text>
        <t xml:space="preserve">2_ABaOnud9f_9SbZJCKpCII9Tvi6LLATl7FuyhoreGGvveRyA0MBDFyOV_83Tnxu4SpJqYbSo</t>
      </text>
    </comment>
    <comment authorId="0" ref="A448">
      <text>
        <t xml:space="preserve">2_ABaOnudGTd0dgoFZgYgLOmhbkF7kPiG7ISCENH8Jnt9jIWQtb1qB3Jtt348iRAd16zJraR4</t>
      </text>
    </comment>
    <comment authorId="0" ref="B448">
      <text>
        <t xml:space="preserve">2_ABaOnudGTd0dgoFZgYgLOmhbkF7kPiG7ISCENH8Jnt9jIWQtb1qB3Jtt348iRAd16zJraR4</t>
      </text>
    </comment>
    <comment authorId="0" ref="A449">
      <text>
        <t xml:space="preserve">2_ABaOnudPZdhYdaHPkpo2kPH-tTUZck9WZ90cFF5JmDwrICFrx-Bi2lAkZXKhYMpCPvUnWYs</t>
      </text>
    </comment>
    <comment authorId="0" ref="B449">
      <text>
        <t xml:space="preserve">2_ABaOnudPZdhYdaHPkpo2kPH-tTUZck9WZ90cFF5JmDwrICFrx-Bi2lAkZXKhYMpCPvUnWYs</t>
      </text>
    </comment>
    <comment authorId="0" ref="A450">
      <text>
        <t xml:space="preserve">2_ABaOnuddCe6Bccsg9fXtBSc_VFGIz118bpcDdNtRoxvzMCdzHX1pr-IQ8xjl5sfvcY34208</t>
      </text>
    </comment>
    <comment authorId="0" ref="B450">
      <text>
        <t xml:space="preserve">2_ABaOnuddCe6Bccsg9fXtBSc_VFGIz118bpcDdNtRoxvzMCdzHX1pr-IQ8xjl5sfvcY34208</t>
      </text>
    </comment>
    <comment authorId="0" ref="A451">
      <text>
        <t xml:space="preserve">2_ABaOnud7Nx0shEMy_GnPQ-XJoLGAx_B-SSQ1oaoJlg2sguUnIcGQCqExsl8K4EC1jj6bTDw</t>
      </text>
    </comment>
    <comment authorId="0" ref="B451">
      <text>
        <t xml:space="preserve">2_ABaOnud7Nx0shEMy_GnPQ-XJoLGAx_B-SSQ1oaoJlg2sguUnIcGQCqExsl8K4EC1jj6bTDw</t>
      </text>
    </comment>
    <comment authorId="0" ref="A452">
      <text>
        <t xml:space="preserve">2_ABaOnueFQmqpqYk8KGW_D-YCKQzLEHh0XrBOipo9Mo2lbJEhwExw0jrE_uBRBP8QiJ5JlgE</t>
      </text>
    </comment>
    <comment authorId="0" ref="B452">
      <text>
        <t xml:space="preserve">2_ABaOnueFQmqpqYk8KGW_D-YCKQzLEHh0XrBOipo9Mo2lbJEhwExw0jrE_uBRBP8QiJ5JlgE</t>
      </text>
    </comment>
    <comment authorId="0" ref="A453">
      <text>
        <t xml:space="preserve">2_ABaOnufki2dEwR6TXsbgBuCtyv1jOlrziFAtvMVmKHT95feEU2VbtbTEipByJu6gPxTVBwk</t>
      </text>
    </comment>
    <comment authorId="0" ref="B453">
      <text>
        <t xml:space="preserve">2_ABaOnufki2dEwR6TXsbgBuCtyv1jOlrziFAtvMVmKHT95feEU2VbtbTEipByJu6gPxTVBwk</t>
      </text>
    </comment>
    <comment authorId="0" ref="A454">
      <text>
        <t xml:space="preserve">2_ABaOnuf8DUIvq3tBxvlhFzi8kq3eO3zyKluzc7Xx1iFDwVQ4P-wLaNp5DQadxGbtLH4vJn4</t>
      </text>
    </comment>
    <comment authorId="0" ref="B454">
      <text>
        <t xml:space="preserve">2_ABaOnuf8DUIvq3tBxvlhFzi8kq3eO3zyKluzc7Xx1iFDwVQ4P-wLaNp5DQadxGbtLH4vJn4</t>
      </text>
    </comment>
    <comment authorId="0" ref="A455">
      <text>
        <t xml:space="preserve">2_ABaOnuezTqjCS3MzQ7mmMj1P7Hfyh1W6_OKSd5QpTTJFrCoKJENKjH0azoEyRJ9JB3eBm8o</t>
      </text>
    </comment>
    <comment authorId="0" ref="B455">
      <text>
        <t xml:space="preserve">2_ABaOnuezTqjCS3MzQ7mmMj1P7Hfyh1W6_OKSd5QpTTJFrCoKJENKjH0azoEyRJ9JB3eBm8o</t>
      </text>
    </comment>
    <comment authorId="0" ref="A456">
      <text>
        <t xml:space="preserve">2_ABaOnuesZ5kmRYwGGRss5aN_IQuXJ6czIIXckpp7Y1mmlgak_JejSw5i4_Nj8qgHeQ1qM0w</t>
      </text>
    </comment>
    <comment authorId="0" ref="B456">
      <text>
        <t xml:space="preserve">2_ABaOnuesZ5kmRYwGGRss5aN_IQuXJ6czIIXckpp7Y1mmlgak_JejSw5i4_Nj8qgHeQ1qM0w</t>
      </text>
    </comment>
    <comment authorId="0" ref="A457">
      <text>
        <t xml:space="preserve">2_ABaOnufGUTuX7fwI3nxUcSMRFwMkufv_GGgpHeF_GmNfCPbR2ZCScSpF_qQyZ3rsM-NJxe0</t>
      </text>
    </comment>
    <comment authorId="0" ref="B457">
      <text>
        <t xml:space="preserve">2_ABaOnufGUTuX7fwI3nxUcSMRFwMkufv_GGgpHeF_GmNfCPbR2ZCScSpF_qQyZ3rsM-NJxe0</t>
      </text>
    </comment>
    <comment authorId="0" ref="A458">
      <text>
        <t xml:space="preserve">2_ABaOnucRoCDVet7g0GC1T7izvh6IxKIDArGHV1RpXwl3WaWUk_0oZUAXC_Lrn5FrN9BCdVw</t>
      </text>
    </comment>
    <comment authorId="0" ref="B458">
      <text>
        <t xml:space="preserve">2_ABaOnucRoCDVet7g0GC1T7izvh6IxKIDArGHV1RpXwl3WaWUk_0oZUAXC_Lrn5FrN9BCdVw</t>
      </text>
    </comment>
    <comment authorId="0" ref="A459">
      <text>
        <t xml:space="preserve">2_ABaOnuetyWTWOrn9k6md0iykNd4_KIKlFL-FWkJu_NYnoXZJ7MV7BbqI5XtN7RUQUi6RU4Y</t>
      </text>
    </comment>
    <comment authorId="0" ref="B459">
      <text>
        <t xml:space="preserve">2_ABaOnuetyWTWOrn9k6md0iykNd4_KIKlFL-FWkJu_NYnoXZJ7MV7BbqI5XtN7RUQUi6RU4Y</t>
      </text>
    </comment>
    <comment authorId="0" ref="A460">
      <text>
        <t xml:space="preserve">2_ABaOnueZ8Ijavr75W37Fo-p71xzyGmfCzDK7-38amwSPq1qEcr6dYH2M1xVt_Z0KgicVGLI</t>
      </text>
    </comment>
    <comment authorId="0" ref="B460">
      <text>
        <t xml:space="preserve">2_ABaOnueZ8Ijavr75W37Fo-p71xzyGmfCzDK7-38amwSPq1qEcr6dYH2M1xVt_Z0KgicVGLI</t>
      </text>
    </comment>
    <comment authorId="0" ref="A461">
      <text>
        <t xml:space="preserve">2_ABaOnuf3N2rrzDVunyYsl5yHcK_YbKHaDfhdeok0V6NcPjML4ipPd7z3T_dgd10adGKBpaw</t>
      </text>
    </comment>
    <comment authorId="0" ref="B461">
      <text>
        <t xml:space="preserve">2_ABaOnuf3N2rrzDVunyYsl5yHcK_YbKHaDfhdeok0V6NcPjML4ipPd7z3T_dgd10adGKBpaw</t>
      </text>
    </comment>
    <comment authorId="0" ref="A462">
      <text>
        <t xml:space="preserve">2_ABaOnufPp2fhMraEUi2GGNRGnUXqkPWc-TcUqzzWIHrYuclXE4hYS_gMNQhV9Aav2XLWTtY</t>
      </text>
    </comment>
    <comment authorId="0" ref="B462">
      <text>
        <t xml:space="preserve">2_ABaOnufPp2fhMraEUi2GGNRGnUXqkPWc-TcUqzzWIHrYuclXE4hYS_gMNQhV9Aav2XLWTtY</t>
      </text>
    </comment>
    <comment authorId="0" ref="A463">
      <text>
        <t xml:space="preserve">2_ABaOnue2tjFCxlC7lt-2XkZu7onW6vgNP6COJjXDRRKLwQiizE_WSf14BTFq6zMIQVhPPF8</t>
      </text>
    </comment>
    <comment authorId="0" ref="B463">
      <text>
        <t xml:space="preserve">2_ABaOnue2tjFCxlC7lt-2XkZu7onW6vgNP6COJjXDRRKLwQiizE_WSf14BTFq6zMIQVhPPF8</t>
      </text>
    </comment>
    <comment authorId="0" ref="A464">
      <text>
        <t xml:space="preserve">2_ABaOnuddHvnnt5f8UPnUpuQAv5PXskazBPEWf-cI2IZtMkft4nh77V03AsIZ-jv-rtk8KiM</t>
      </text>
    </comment>
    <comment authorId="0" ref="B464">
      <text>
        <t xml:space="preserve">2_ABaOnuddHvnnt5f8UPnUpuQAv5PXskazBPEWf-cI2IZtMkft4nh77V03AsIZ-jv-rtk8KiM</t>
      </text>
    </comment>
    <comment authorId="0" ref="A465">
      <text>
        <t xml:space="preserve">2_ABaOnuc5AGefoNv5DXXhO_FEzBTAUUPrwA8UFajAuwqlrcY53wI8yazHUY86wGRaWcQVNvE</t>
      </text>
    </comment>
    <comment authorId="0" ref="B465">
      <text>
        <t xml:space="preserve">2_ABaOnuc5AGefoNv5DXXhO_FEzBTAUUPrwA8UFajAuwqlrcY53wI8yazHUY86wGRaWcQVNvE</t>
      </text>
    </comment>
    <comment authorId="0" ref="A466">
      <text>
        <t xml:space="preserve">2_ABaOnucEPoYOeewROgg3tXpx2aSWW2PYOq1QrSurR2X7K2u2JftsA7miNwJTyCwy7Zk-Pks</t>
      </text>
    </comment>
    <comment authorId="0" ref="B466">
      <text>
        <t xml:space="preserve">2_ABaOnucEPoYOeewROgg3tXpx2aSWW2PYOq1QrSurR2X7K2u2JftsA7miNwJTyCwy7Zk-Pks</t>
      </text>
    </comment>
    <comment authorId="0" ref="A467">
      <text>
        <t xml:space="preserve">2_ABaOnucgOQecJqRwG8gH2b2JL67iRuaxlCCDgZmIwODwl1lTkqZyiBzZbwmLQaYc1z-t7lU</t>
      </text>
    </comment>
    <comment authorId="0" ref="B467">
      <text>
        <t xml:space="preserve">2_ABaOnucgOQecJqRwG8gH2b2JL67iRuaxlCCDgZmIwODwl1lTkqZyiBzZbwmLQaYc1z-t7lU</t>
      </text>
    </comment>
    <comment authorId="0" ref="A468">
      <text>
        <t xml:space="preserve">2_ABaOnue3IJaoHnSy_-fz2e7wmzb7aSzJMsONzI9WWbchIWLmhul3BbyuYWuskD6gJKICZgA</t>
      </text>
    </comment>
    <comment authorId="0" ref="B468">
      <text>
        <t xml:space="preserve">2_ABaOnue3IJaoHnSy_-fz2e7wmzb7aSzJMsONzI9WWbchIWLmhul3BbyuYWuskD6gJKICZgA</t>
      </text>
    </comment>
    <comment authorId="0" ref="A469">
      <text>
        <t xml:space="preserve">2_ABaOnudzIO4Y87jb4025XF34fCXJ8XPsSPKDGtP79_hbIHbB9SYAspyvxGLW_DiGcKWsULQ</t>
      </text>
    </comment>
    <comment authorId="0" ref="B469">
      <text>
        <t xml:space="preserve">2_ABaOnudzIO4Y87jb4025XF34fCXJ8XPsSPKDGtP79_hbIHbB9SYAspyvxGLW_DiGcKWsULQ</t>
      </text>
    </comment>
    <comment authorId="0" ref="A470">
      <text>
        <t xml:space="preserve">2_ABaOnufmhff6cfPeXh0N0RFW6MHWO4YbG7ehBRcwmg3l8x2hOUqDhPTpRA6LF8pVL2UBi-k</t>
      </text>
    </comment>
    <comment authorId="0" ref="B470">
      <text>
        <t xml:space="preserve">2_ABaOnufmhff6cfPeXh0N0RFW6MHWO4YbG7ehBRcwmg3l8x2hOUqDhPTpRA6LF8pVL2UBi-k</t>
      </text>
    </comment>
    <comment authorId="0" ref="A471">
      <text>
        <t xml:space="preserve">2_ABaOnudCzFAY6dFlfBkjNm93TydkAbgn5V-R8ewNUebR4qU8TBWEQoPAvB2wOaSZfN3RaUo</t>
      </text>
    </comment>
    <comment authorId="0" ref="B471">
      <text>
        <t xml:space="preserve">2_ABaOnudCzFAY6dFlfBkjNm93TydkAbgn5V-R8ewNUebR4qU8TBWEQoPAvB2wOaSZfN3RaUo</t>
      </text>
    </comment>
    <comment authorId="0" ref="A472">
      <text>
        <t xml:space="preserve">2_ABaOnuf5TYeqBikjOY8NO4MaILwIIL7JJczTKSM5o8y2JZnMgbshFrKydNaRFN9o4y1wKsQ</t>
      </text>
    </comment>
    <comment authorId="0" ref="B472">
      <text>
        <t xml:space="preserve">2_ABaOnuf5TYeqBikjOY8NO4MaILwIIL7JJczTKSM5o8y2JZnMgbshFrKydNaRFN9o4y1wKsQ</t>
      </text>
    </comment>
    <comment authorId="0" ref="A473">
      <text>
        <t xml:space="preserve">2_ABaOnue7k3-u_IYC8fB8c3NJGLOkde5X7tibIiSlD5D1lYqeDOJLp6AqijIsyscUP7Z5C-U</t>
      </text>
    </comment>
    <comment authorId="0" ref="B473">
      <text>
        <t xml:space="preserve">2_ABaOnue7k3-u_IYC8fB8c3NJGLOkde5X7tibIiSlD5D1lYqeDOJLp6AqijIsyscUP7Z5C-U</t>
      </text>
    </comment>
    <comment authorId="0" ref="A474">
      <text>
        <t xml:space="preserve">2_ABaOnueT2q8BHx2ksrvCUgX0hUBJMBtrVAw47BJG81YHEvDOXiR-NB5_Yc21mqaSrOQzeY0</t>
      </text>
    </comment>
    <comment authorId="0" ref="B474">
      <text>
        <t xml:space="preserve">2_ABaOnueT2q8BHx2ksrvCUgX0hUBJMBtrVAw47BJG81YHEvDOXiR-NB5_Yc21mqaSrOQzeY0</t>
      </text>
    </comment>
    <comment authorId="0" ref="A475">
      <text>
        <t xml:space="preserve">2_ABaOnudF8tnkQXx3zr6zms9KaT3bW4qJrDoj6I5XVnpZ3ywcu--DUYF2rhuAK0e6OyJMYX8</t>
      </text>
    </comment>
    <comment authorId="0" ref="B475">
      <text>
        <t xml:space="preserve">2_ABaOnudF8tnkQXx3zr6zms9KaT3bW4qJrDoj6I5XVnpZ3ywcu--DUYF2rhuAK0e6OyJMYX8</t>
      </text>
    </comment>
    <comment authorId="0" ref="A476">
      <text>
        <t xml:space="preserve">2_ABaOnueWFRhy21FN4sg4RZS-D_bAwFWHtyJZ_P2tBlGP8jkllPJcerY4JSNytuirkIz_6CI</t>
      </text>
    </comment>
    <comment authorId="0" ref="B476">
      <text>
        <t xml:space="preserve">2_ABaOnueWFRhy21FN4sg4RZS-D_bAwFWHtyJZ_P2tBlGP8jkllPJcerY4JSNytuirkIz_6CI</t>
      </text>
    </comment>
    <comment authorId="0" ref="A477">
      <text>
        <t xml:space="preserve">2_ABaOnudNJM3GUS2aCJkGTaXcs5OmFX40y5iHRIP0FOUylDRAzUA1hKNGuejRmrgUQ4wDdAw</t>
      </text>
    </comment>
    <comment authorId="0" ref="B477">
      <text>
        <t xml:space="preserve">2_ABaOnudNJM3GUS2aCJkGTaXcs5OmFX40y5iHRIP0FOUylDRAzUA1hKNGuejRmrgUQ4wDdAw</t>
      </text>
    </comment>
    <comment authorId="0" ref="A478">
      <text>
        <t xml:space="preserve">2_ABaOnudOpZwU9I0ojb-UHJaLbhi2Nz-JJQZ1oQRUGP_HiPBcORp3G9S81Gu66-3MgbFszXU</t>
      </text>
    </comment>
    <comment authorId="0" ref="B478">
      <text>
        <t xml:space="preserve">2_ABaOnudOpZwU9I0ojb-UHJaLbhi2Nz-JJQZ1oQRUGP_HiPBcORp3G9S81Gu66-3MgbFszXU</t>
      </text>
    </comment>
    <comment authorId="0" ref="A479">
      <text>
        <t xml:space="preserve">2_ABaOnufwlHhvQ983HX8GjCeiM5pA5DCSl5cUuO2k69V6tvigykz3uIMPjFn3blacwhEnAoI</t>
      </text>
    </comment>
    <comment authorId="0" ref="B479">
      <text>
        <t xml:space="preserve">2_ABaOnufwlHhvQ983HX8GjCeiM5pA5DCSl5cUuO2k69V6tvigykz3uIMPjFn3blacwhEnAoI</t>
      </text>
    </comment>
    <comment authorId="0" ref="A480">
      <text>
        <t xml:space="preserve">2_ABaOnucf9BIKi_aTaWfdqzKv60ZqHS2vhDynrRP2oxo3e0o8jppRpoM_OebI0OxCDRXZhkA</t>
      </text>
    </comment>
    <comment authorId="0" ref="B480">
      <text>
        <t xml:space="preserve">2_ABaOnucf9BIKi_aTaWfdqzKv60ZqHS2vhDynrRP2oxo3e0o8jppRpoM_OebI0OxCDRXZhkA</t>
      </text>
    </comment>
    <comment authorId="0" ref="A481">
      <text>
        <t xml:space="preserve">2_ABaOnudymcL6f7H98J_d4teKRZOZI4LHdFmXicwhII09ANQIEPUwyawdl2Q_knG1UulaO1U</t>
      </text>
    </comment>
    <comment authorId="0" ref="B481">
      <text>
        <t xml:space="preserve">2_ABaOnudymcL6f7H98J_d4teKRZOZI4LHdFmXicwhII09ANQIEPUwyawdl2Q_knG1UulaO1U</t>
      </text>
    </comment>
    <comment authorId="0" ref="A482">
      <text>
        <t xml:space="preserve">2_ABaOnudZne6zgkQUejX3G8xqfMX1d_VClHdNHhLBOo1x6699lKOErdCyGEXeJ_byYQkNLIM</t>
      </text>
    </comment>
    <comment authorId="0" ref="B482">
      <text>
        <t xml:space="preserve">2_ABaOnudZne6zgkQUejX3G8xqfMX1d_VClHdNHhLBOo1x6699lKOErdCyGEXeJ_byYQkNLIM</t>
      </text>
    </comment>
    <comment authorId="0" ref="A483">
      <text>
        <t xml:space="preserve">2_ABaOnucMaEhHUm8t19LBhSbTNQrcWKdX9-ZlWLLJR5bgk0x7bhl8mXH--EchraXoCpHGzNE</t>
      </text>
    </comment>
    <comment authorId="0" ref="B483">
      <text>
        <t xml:space="preserve">2_ABaOnucMaEhHUm8t19LBhSbTNQrcWKdX9-ZlWLLJR5bgk0x7bhl8mXH--EchraXoCpHGzNE</t>
      </text>
    </comment>
    <comment authorId="0" ref="A484">
      <text>
        <t xml:space="preserve">2_ABaOnud-MlTDJS6xswaqLSf4wZZulplpgiqJciMTfh2yQKhfbMoQvAmWK0FJa3XAQ-ynOXw</t>
      </text>
    </comment>
    <comment authorId="0" ref="B484">
      <text>
        <t xml:space="preserve">2_ABaOnud-MlTDJS6xswaqLSf4wZZulplpgiqJciMTfh2yQKhfbMoQvAmWK0FJa3XAQ-ynOXw</t>
      </text>
    </comment>
    <comment authorId="0" ref="A485">
      <text>
        <t xml:space="preserve">2_ABaOnucOFsQRRBSfrex7jyWnSb5w5ms74O8Ymp4B3L7nDWN0QnW120FZAWOSTiqS5s5Tpa4</t>
      </text>
    </comment>
    <comment authorId="0" ref="B485">
      <text>
        <t xml:space="preserve">2_ABaOnucOFsQRRBSfrex7jyWnSb5w5ms74O8Ymp4B3L7nDWN0QnW120FZAWOSTiqS5s5Tpa4</t>
      </text>
    </comment>
    <comment authorId="0" ref="A486">
      <text>
        <t xml:space="preserve">2_ABaOnufe4W9N8vRBL9eSujLKTvFwWNbgpTLU-JHF9vc7YvkjD22_blwHr7cqGx__W_2vddk</t>
      </text>
    </comment>
    <comment authorId="0" ref="B486">
      <text>
        <t xml:space="preserve">2_ABaOnufe4W9N8vRBL9eSujLKTvFwWNbgpTLU-JHF9vc7YvkjD22_blwHr7cqGx__W_2vddk</t>
      </text>
    </comment>
    <comment authorId="0" ref="A487">
      <text>
        <t xml:space="preserve">2_ABaOnucwH8BlsI5K6WxEcYHdYB3XpdL5FtwhO1QwluOKHyGg1VHnJSj_g6PdoHDEspn5I-c</t>
      </text>
    </comment>
    <comment authorId="0" ref="B487">
      <text>
        <t xml:space="preserve">2_ABaOnucwH8BlsI5K6WxEcYHdYB3XpdL5FtwhO1QwluOKHyGg1VHnJSj_g6PdoHDEspn5I-c</t>
      </text>
    </comment>
    <comment authorId="0" ref="A488">
      <text>
        <t xml:space="preserve">2_ABaOnufO4BG3j7-l0nQzHmvzSkC_c-YIFJoL0oFa04Ln-mcxX7tM7jtwOwaW8HnC7Y-Frug</t>
      </text>
    </comment>
    <comment authorId="0" ref="B488">
      <text>
        <t xml:space="preserve">2_ABaOnufO4BG3j7-l0nQzHmvzSkC_c-YIFJoL0oFa04Ln-mcxX7tM7jtwOwaW8HnC7Y-Frug</t>
      </text>
    </comment>
    <comment authorId="0" ref="A489">
      <text>
        <t xml:space="preserve">2_ABaOnudyaW8MTTSn7rWrY3LSHoN9SaHh7rAlNli6bDIvi72oKmdU_YJOgJVj98uYHqpv6PA</t>
      </text>
    </comment>
    <comment authorId="0" ref="B489">
      <text>
        <t xml:space="preserve">2_ABaOnudyaW8MTTSn7rWrY3LSHoN9SaHh7rAlNli6bDIvi72oKmdU_YJOgJVj98uYHqpv6PA</t>
      </text>
    </comment>
    <comment authorId="0" ref="A490">
      <text>
        <t xml:space="preserve">2_ABaOnucCKP7TUa3amw-xzzhnzw-Q49R0ZnlAf4fX_5Jr8HwYtYU-7l6gRbUtIojKSAIaMfg</t>
      </text>
    </comment>
    <comment authorId="0" ref="B490">
      <text>
        <t xml:space="preserve">2_ABaOnucCKP7TUa3amw-xzzhnzw-Q49R0ZnlAf4fX_5Jr8HwYtYU-7l6gRbUtIojKSAIaMfg</t>
      </text>
    </comment>
    <comment authorId="0" ref="A491">
      <text>
        <t xml:space="preserve">2_ABaOnufalyJtkvKzffsWEtUv7DwlvFm8YsemJ0AHNpZHEiidzvpo-5r-kPmAguM92SKlnbw</t>
      </text>
    </comment>
    <comment authorId="0" ref="B491">
      <text>
        <t xml:space="preserve">2_ABaOnufalyJtkvKzffsWEtUv7DwlvFm8YsemJ0AHNpZHEiidzvpo-5r-kPmAguM92SKlnbw</t>
      </text>
    </comment>
    <comment authorId="0" ref="A492">
      <text>
        <t xml:space="preserve">2_ABaOnucWxE53myvfkdsZ18YFk6HZmDJdPJ4Ulf2F_KLDDwjD7wScEV5833TBfItBc-_BZcM</t>
      </text>
    </comment>
    <comment authorId="0" ref="B492">
      <text>
        <t xml:space="preserve">2_ABaOnucWxE53myvfkdsZ18YFk6HZmDJdPJ4Ulf2F_KLDDwjD7wScEV5833TBfItBc-_BZcM</t>
      </text>
    </comment>
    <comment authorId="0" ref="A493">
      <text>
        <t xml:space="preserve">2_ABaOnucAOb85Ni0oAL-HcvShMrggcN0jaaOLsCqROpQjmtckNB2xtw2rfMGlpD1wNBOiecI</t>
      </text>
    </comment>
    <comment authorId="0" ref="B493">
      <text>
        <t xml:space="preserve">2_ABaOnucAOb85Ni0oAL-HcvShMrggcN0jaaOLsCqROpQjmtckNB2xtw2rfMGlpD1wNBOiecI</t>
      </text>
    </comment>
    <comment authorId="0" ref="A494">
      <text>
        <t xml:space="preserve">2_ABaOnucpEDVWsGFgk3DKIKtD1m0rdj2p5Trr8oU6UPBbSAdpBEVq1nch6Pq1_h5kjSwTHV4</t>
      </text>
    </comment>
    <comment authorId="0" ref="B494">
      <text>
        <t xml:space="preserve">2_ABaOnucpEDVWsGFgk3DKIKtD1m0rdj2p5Trr8oU6UPBbSAdpBEVq1nch6Pq1_h5kjSwTHV4</t>
      </text>
    </comment>
    <comment authorId="0" ref="A495">
      <text>
        <t xml:space="preserve">2_ABaOnuesboiSiupjpK7TxR8YTfkQTVWJm0c0NbJi7Q5z6IS-mL6g_pATjN5dIjYKl0AxDOM</t>
      </text>
    </comment>
    <comment authorId="0" ref="B495">
      <text>
        <t xml:space="preserve">2_ABaOnuesboiSiupjpK7TxR8YTfkQTVWJm0c0NbJi7Q5z6IS-mL6g_pATjN5dIjYKl0AxDOM</t>
      </text>
    </comment>
    <comment authorId="0" ref="A496">
      <text>
        <t xml:space="preserve">2_ABaOnuf4SabuBLmMNCKSS2_eAYFkAR2Q544AIJJdfpuhq6BXuoRG92iSNKQ6_uXXuQ7iBUQ</t>
      </text>
    </comment>
    <comment authorId="0" ref="B496">
      <text>
        <t xml:space="preserve">2_ABaOnuf4SabuBLmMNCKSS2_eAYFkAR2Q544AIJJdfpuhq6BXuoRG92iSNKQ6_uXXuQ7iBUQ</t>
      </text>
    </comment>
    <comment authorId="0" ref="A497">
      <text>
        <t xml:space="preserve">2_ABaOnuc625NBxsyZ4mkpQ0lgo9q9Ao6iDCi5VKa5Pqb_vKZQif35n9otQkbU_Q3WVkRCzvI</t>
      </text>
    </comment>
    <comment authorId="0" ref="B497">
      <text>
        <t xml:space="preserve">2_ABaOnuc625NBxsyZ4mkpQ0lgo9q9Ao6iDCi5VKa5Pqb_vKZQif35n9otQkbU_Q3WVkRCzvI</t>
      </text>
    </comment>
    <comment authorId="0" ref="A498">
      <text>
        <t xml:space="preserve">2_ABaOnuckyPkCSnLhmARMqLr6Wu7G78YVfhXqlfLQIDjTUU4FE6yRvP6rgayLAEqrk_fFVqE</t>
      </text>
    </comment>
    <comment authorId="0" ref="B498">
      <text>
        <t xml:space="preserve">2_ABaOnuckyPkCSnLhmARMqLr6Wu7G78YVfhXqlfLQIDjTUU4FE6yRvP6rgayLAEqrk_fFVqE</t>
      </text>
    </comment>
    <comment authorId="0" ref="A499">
      <text>
        <t xml:space="preserve">2_ABaOnueSFY9LchmmixWviM138cXaw11VlN4ryz9hlCLKp2uK7DlmusAENE6IakFUCPVJUdk</t>
      </text>
    </comment>
    <comment authorId="0" ref="B499">
      <text>
        <t xml:space="preserve">2_ABaOnueSFY9LchmmixWviM138cXaw11VlN4ryz9hlCLKp2uK7DlmusAENE6IakFUCPVJUdk</t>
      </text>
    </comment>
    <comment authorId="0" ref="A500">
      <text>
        <t xml:space="preserve">2_ABaOnufKv-Er3BfmX0xsu7Xc378GqMprJ_QS9KtfvYsela16llLcfgXdF7SAq23vBDrJRpg</t>
      </text>
    </comment>
    <comment authorId="0" ref="B500">
      <text>
        <t xml:space="preserve">2_ABaOnufKv-Er3BfmX0xsu7Xc378GqMprJ_QS9KtfvYsela16llLcfgXdF7SAq23vBDrJRpg</t>
      </text>
    </comment>
    <comment authorId="0" ref="A501">
      <text>
        <t xml:space="preserve">2_ABaOnufS7GMh51OX9aEOpWE-0z0jJOUmHO1h8H8a3tuno0IZHQprUafneJsO1aHvXN41NF4</t>
      </text>
    </comment>
    <comment authorId="0" ref="B501">
      <text>
        <t xml:space="preserve">2_ABaOnufS7GMh51OX9aEOpWE-0z0jJOUmHO1h8H8a3tuno0IZHQprUafneJsO1aHvXN41NF4</t>
      </text>
    </comment>
    <comment authorId="0" ref="A502">
      <text>
        <t xml:space="preserve">2_ABaOnucft88IHnlpXr3LSOSKD2wWOFWzr8H4xx91cdzyAVENL2fkF-KM8erhiS56GEEEi3Y</t>
      </text>
    </comment>
    <comment authorId="0" ref="B502">
      <text>
        <t xml:space="preserve">2_ABaOnucft88IHnlpXr3LSOSKD2wWOFWzr8H4xx91cdzyAVENL2fkF-KM8erhiS56GEEEi3Y</t>
      </text>
    </comment>
    <comment authorId="0" ref="A503">
      <text>
        <t xml:space="preserve">2_ABaOnudwd8UfXaAV1l5OXNZEVcdhKiIKA46cAdNqal1NtpLlgy7joMOeLFyEFjNNfUfCbpY</t>
      </text>
    </comment>
    <comment authorId="0" ref="B503">
      <text>
        <t xml:space="preserve">2_ABaOnudwd8UfXaAV1l5OXNZEVcdhKiIKA46cAdNqal1NtpLlgy7joMOeLFyEFjNNfUfCbpY</t>
      </text>
    </comment>
    <comment authorId="0" ref="A504">
      <text>
        <t xml:space="preserve">2_ABaOnueqnoiTGzi-dohj89ybMIwWoYx9nZqs_GwJI-GpZhEwHiFvKkdTB4Z6KsfmuIy7hDI</t>
      </text>
    </comment>
    <comment authorId="0" ref="B504">
      <text>
        <t xml:space="preserve">2_ABaOnueqnoiTGzi-dohj89ybMIwWoYx9nZqs_GwJI-GpZhEwHiFvKkdTB4Z6KsfmuIy7hDI</t>
      </text>
    </comment>
    <comment authorId="0" ref="A505">
      <text>
        <t xml:space="preserve">2_ABaOnudZCYcz3MgiCO_USZVDOE7zPc_RdL6_YvJFjRM5U7_nUhk_kWx6dtobB6OL2nynnjM</t>
      </text>
    </comment>
    <comment authorId="0" ref="B505">
      <text>
        <t xml:space="preserve">2_ABaOnudZCYcz3MgiCO_USZVDOE7zPc_RdL6_YvJFjRM5U7_nUhk_kWx6dtobB6OL2nynnjM</t>
      </text>
    </comment>
    <comment authorId="0" ref="A506">
      <text>
        <t xml:space="preserve">2_ABaOnuc36OhRYaDOJRlrfkvpNwGkJBOlUkBwf_z6Uaaw3zxCLAjeRnn5D9AUz8ffnYYJHSI</t>
      </text>
    </comment>
    <comment authorId="0" ref="B506">
      <text>
        <t xml:space="preserve">2_ABaOnuc36OhRYaDOJRlrfkvpNwGkJBOlUkBwf_z6Uaaw3zxCLAjeRnn5D9AUz8ffnYYJHSI</t>
      </text>
    </comment>
    <comment authorId="0" ref="A507">
      <text>
        <t xml:space="preserve">2_ABaOnufWfu4K2kw2etp2JtyAMxDowHYB6LHA--N30ofWZbCRwAIS2tU8ip9-y9c2OTLF8N8</t>
      </text>
    </comment>
    <comment authorId="0" ref="B507">
      <text>
        <t xml:space="preserve">2_ABaOnufWfu4K2kw2etp2JtyAMxDowHYB6LHA--N30ofWZbCRwAIS2tU8ip9-y9c2OTLF8N8</t>
      </text>
    </comment>
    <comment authorId="0" ref="A508">
      <text>
        <t xml:space="preserve">2_ABaOnuewGz9X6hSShhNvXyYYi4bFoKSUqRCwhz9ivUMHwWiBsEwJycdgIr9ydm1UNEl5x-Y</t>
      </text>
    </comment>
    <comment authorId="0" ref="B508">
      <text>
        <t xml:space="preserve">2_ABaOnuewGz9X6hSShhNvXyYYi4bFoKSUqRCwhz9ivUMHwWiBsEwJycdgIr9ydm1UNEl5x-Y</t>
      </text>
    </comment>
    <comment authorId="0" ref="A509">
      <text>
        <t xml:space="preserve">2_ABaOnucBlBQOwiHz-3Ui64e4k613gGGrYYneIfh8P_rcNmx86rhpJO0Hd86_LnCqUB8-w_s</t>
      </text>
    </comment>
    <comment authorId="0" ref="B509">
      <text>
        <t xml:space="preserve">2_ABaOnucBlBQOwiHz-3Ui64e4k613gGGrYYneIfh8P_rcNmx86rhpJO0Hd86_LnCqUB8-w_s</t>
      </text>
    </comment>
    <comment authorId="0" ref="A510">
      <text>
        <t xml:space="preserve">2_ABaOnucojgkt2qolkfJR0DcY6bt5qeDRVkW2EknTwcBXV3adtlxvCzWHlYKdsVo9mdqxd6g</t>
      </text>
    </comment>
    <comment authorId="0" ref="B510">
      <text>
        <t xml:space="preserve">2_ABaOnucojgkt2qolkfJR0DcY6bt5qeDRVkW2EknTwcBXV3adtlxvCzWHlYKdsVo9mdqxd6g</t>
      </text>
    </comment>
    <comment authorId="0" ref="A511">
      <text>
        <t xml:space="preserve">2_ABaOnuf9iCz5wQdJ_BpPO2tYSF7zGxElu-vOrMDLyaruqTQVSAp6ywbL-5TVYUUEflPlg7o</t>
      </text>
    </comment>
    <comment authorId="0" ref="B511">
      <text>
        <t xml:space="preserve">2_ABaOnuf9iCz5wQdJ_BpPO2tYSF7zGxElu-vOrMDLyaruqTQVSAp6ywbL-5TVYUUEflPlg7o</t>
      </text>
    </comment>
    <comment authorId="0" ref="A512">
      <text>
        <t xml:space="preserve">2_ABaOnuc9WbK0sjLRocwiC6OKONr5iuYsQkwm0qfS6M8M6eBo677Zw8r0gcRuitCfk67yXEA</t>
      </text>
    </comment>
    <comment authorId="0" ref="B512">
      <text>
        <t xml:space="preserve">2_ABaOnuc9WbK0sjLRocwiC6OKONr5iuYsQkwm0qfS6M8M6eBo677Zw8r0gcRuitCfk67yXEA</t>
      </text>
    </comment>
    <comment authorId="0" ref="A513">
      <text>
        <t xml:space="preserve">2_ABaOnuc2Bk0SsjB1ZH92gc-t3siijlcywBnkL6OPopDDihvFBUFt6_zDbp2WHgH3yfb-Hag</t>
      </text>
    </comment>
    <comment authorId="0" ref="B513">
      <text>
        <t xml:space="preserve">2_ABaOnuc2Bk0SsjB1ZH92gc-t3siijlcywBnkL6OPopDDihvFBUFt6_zDbp2WHgH3yfb-Hag</t>
      </text>
    </comment>
    <comment authorId="0" ref="A514">
      <text>
        <t xml:space="preserve">2_ABaOnucK5iL95mw6DgirgPsJ3mjtESz97S12VlyXu4zVtDb5kEcbCB29RxLoMH0BaaOWdlw</t>
      </text>
    </comment>
    <comment authorId="0" ref="B514">
      <text>
        <t xml:space="preserve">2_ABaOnucK5iL95mw6DgirgPsJ3mjtESz97S12VlyXu4zVtDb5kEcbCB29RxLoMH0BaaOWdlw</t>
      </text>
    </comment>
    <comment authorId="0" ref="A515">
      <text>
        <t xml:space="preserve">2_ABaOnue6hDrSYxitlRpuejq1WJmgj8gOeGr4dFJD5M-iPe9VDB-7Mtog7FPd7ODPsH7n4DU</t>
      </text>
    </comment>
    <comment authorId="0" ref="B515">
      <text>
        <t xml:space="preserve">2_ABaOnue6hDrSYxitlRpuejq1WJmgj8gOeGr4dFJD5M-iPe9VDB-7Mtog7FPd7ODPsH7n4DU</t>
      </text>
    </comment>
    <comment authorId="0" ref="A516">
      <text>
        <t xml:space="preserve">2_ABaOnueOisKTUcMPA84Riq6dP-ulF36k4QuJN_uMqEzkS1Hg94lq-Zlt_sySsFtEDjHI7r4</t>
      </text>
    </comment>
    <comment authorId="0" ref="B516">
      <text>
        <t xml:space="preserve">2_ABaOnueOisKTUcMPA84Riq6dP-ulF36k4QuJN_uMqEzkS1Hg94lq-Zlt_sySsFtEDjHI7r4</t>
      </text>
    </comment>
    <comment authorId="0" ref="A517">
      <text>
        <t xml:space="preserve">2_ABaOnuciz1YAa43nlRUhkqhlOpepHUBxkQUfCogvmLA4hGhsFU791Cy4n3tpKzvDOashpwk</t>
      </text>
    </comment>
    <comment authorId="0" ref="B517">
      <text>
        <t xml:space="preserve">2_ABaOnuciz1YAa43nlRUhkqhlOpepHUBxkQUfCogvmLA4hGhsFU791Cy4n3tpKzvDOashpwk</t>
      </text>
    </comment>
    <comment authorId="0" ref="A518">
      <text>
        <t xml:space="preserve">2_ABaOnucrLodRKI6qZuPyu3KG30l5Dlr1AlZr0TnU0xLiEeNtOG_nKFs-Pn5QqOR2KtUvbTE</t>
      </text>
    </comment>
    <comment authorId="0" ref="B518">
      <text>
        <t xml:space="preserve">2_ABaOnucrLodRKI6qZuPyu3KG30l5Dlr1AlZr0TnU0xLiEeNtOG_nKFs-Pn5QqOR2KtUvbTE</t>
      </text>
    </comment>
    <comment authorId="0" ref="A519">
      <text>
        <t xml:space="preserve">2_ABaOnueb1cW7tpQbtC8KTu_EsIGVxfks0HhMlL7KWFV4qUv3EARaKNDZN356hXPOSjHOhxs</t>
      </text>
    </comment>
    <comment authorId="0" ref="B519">
      <text>
        <t xml:space="preserve">2_ABaOnueb1cW7tpQbtC8KTu_EsIGVxfks0HhMlL7KWFV4qUv3EARaKNDZN356hXPOSjHOhxs</t>
      </text>
    </comment>
    <comment authorId="0" ref="A520">
      <text>
        <t xml:space="preserve">2_ABaOnueOLbJWNOlPGRbW5twxl6gCwG5HWY66dAMFp6CQJd2QvYV6tG6WrTNpcbvRVZ85zBE</t>
      </text>
    </comment>
    <comment authorId="0" ref="B520">
      <text>
        <t xml:space="preserve">2_ABaOnueOLbJWNOlPGRbW5twxl6gCwG5HWY66dAMFp6CQJd2QvYV6tG6WrTNpcbvRVZ85zBE</t>
      </text>
    </comment>
    <comment authorId="0" ref="A521">
      <text>
        <t xml:space="preserve">2_ABaOnucR-CFy6Qwf4ekid4F6cr1xNYgDSfc76jnV0jH1ZJI2k-maN6Z2adyd7z-_7CEq-AE</t>
      </text>
    </comment>
    <comment authorId="0" ref="B521">
      <text>
        <t xml:space="preserve">2_ABaOnucR-CFy6Qwf4ekid4F6cr1xNYgDSfc76jnV0jH1ZJI2k-maN6Z2adyd7z-_7CEq-AE</t>
      </text>
    </comment>
    <comment authorId="0" ref="A522">
      <text>
        <t xml:space="preserve">2_ABaOnueE7H5eYBCh85pZADzeofdffXRXBAr7XmZ01STT5gsryuAs6scR_dWQ-SQI_QSUMJA</t>
      </text>
    </comment>
    <comment authorId="0" ref="B522">
      <text>
        <t xml:space="preserve">2_ABaOnueE7H5eYBCh85pZADzeofdffXRXBAr7XmZ01STT5gsryuAs6scR_dWQ-SQI_QSUMJA</t>
      </text>
    </comment>
    <comment authorId="0" ref="A523">
      <text>
        <t xml:space="preserve">2_ABaOnueBwh_FGTZf7OblN90GUn7RsVeaMo7T_nMXjAc2tzhvLvk0H9JbpTbW8Rn37POpfYc</t>
      </text>
    </comment>
    <comment authorId="0" ref="B523">
      <text>
        <t xml:space="preserve">2_ABaOnueBwh_FGTZf7OblN90GUn7RsVeaMo7T_nMXjAc2tzhvLvk0H9JbpTbW8Rn37POpfYc</t>
      </text>
    </comment>
    <comment authorId="0" ref="A524">
      <text>
        <t xml:space="preserve">2_ABaOnud82zfShiJFwAWrYIecnwFSFY66mceurqnodnOiBeax5Sx7YoNG4Lu3OpG4vZSvZx0</t>
      </text>
    </comment>
    <comment authorId="0" ref="B524">
      <text>
        <t xml:space="preserve">2_ABaOnud82zfShiJFwAWrYIecnwFSFY66mceurqnodnOiBeax5Sx7YoNG4Lu3OpG4vZSvZx0</t>
      </text>
    </comment>
    <comment authorId="0" ref="A525">
      <text>
        <t xml:space="preserve">2_ABaOnueqaKURhx6eQD1hnwINYGrt9L-yxjWKrZJz2-cEx9Loo0hHn2XVPkmPs9HB_Ywxgyw</t>
      </text>
    </comment>
    <comment authorId="0" ref="B525">
      <text>
        <t xml:space="preserve">2_ABaOnueqaKURhx6eQD1hnwINYGrt9L-yxjWKrZJz2-cEx9Loo0hHn2XVPkmPs9HB_Ywxgyw</t>
      </text>
    </comment>
    <comment authorId="0" ref="A526">
      <text>
        <t xml:space="preserve">2_ABaOnuefvKwcrnT4I2cLLsvuk27DMfIPsbTPDdQi7IAqCn5g7NyBd3J0Gh6ZYaoHETkSnrU</t>
      </text>
    </comment>
    <comment authorId="0" ref="B526">
      <text>
        <t xml:space="preserve">2_ABaOnuefvKwcrnT4I2cLLsvuk27DMfIPsbTPDdQi7IAqCn5g7NyBd3J0Gh6ZYaoHETkSnrU</t>
      </text>
    </comment>
    <comment authorId="0" ref="A527">
      <text>
        <t xml:space="preserve">2_ABaOnudnMCFS0_HtfpEjHz5FXvi6wvtvcqIBnU0IhusVOjSWpDmjWssu_V_xl0NNz7htBEo</t>
      </text>
    </comment>
    <comment authorId="0" ref="B527">
      <text>
        <t xml:space="preserve">2_ABaOnudnMCFS0_HtfpEjHz5FXvi6wvtvcqIBnU0IhusVOjSWpDmjWssu_V_xl0NNz7htBEo</t>
      </text>
    </comment>
    <comment authorId="0" ref="A528">
      <text>
        <t xml:space="preserve">2_ABaOnueNkAx5hk5Wt2YmIHcUe1KIEEdJEtwZmS1ZST9ed-aH88bfPZ4cpUsu-8ERI_MCCss</t>
      </text>
    </comment>
    <comment authorId="0" ref="B528">
      <text>
        <t xml:space="preserve">2_ABaOnueNkAx5hk5Wt2YmIHcUe1KIEEdJEtwZmS1ZST9ed-aH88bfPZ4cpUsu-8ERI_MCCss</t>
      </text>
    </comment>
    <comment authorId="0" ref="A529">
      <text>
        <t xml:space="preserve">2_ABaOnudKtMv6Kc12Dj5HrIQzLD_ZEKXKZ4AkjAEEjUUT-wXe8nJ4o5qJG271trtjL6t2Z2I</t>
      </text>
    </comment>
    <comment authorId="0" ref="B529">
      <text>
        <t xml:space="preserve">2_ABaOnudKtMv6Kc12Dj5HrIQzLD_ZEKXKZ4AkjAEEjUUT-wXe8nJ4o5qJG271trtjL6t2Z2I</t>
      </text>
    </comment>
    <comment authorId="0" ref="A530">
      <text>
        <t xml:space="preserve">2_ABaOnucCCGaXSDNg6ZM99q-eerfj6T_fj0HsGUb6Ujht9yBNyEk8S1K4joWzkViEJcz4SAw</t>
      </text>
    </comment>
    <comment authorId="0" ref="B530">
      <text>
        <t xml:space="preserve">2_ABaOnucCCGaXSDNg6ZM99q-eerfj6T_fj0HsGUb6Ujht9yBNyEk8S1K4joWzkViEJcz4SAw</t>
      </text>
    </comment>
    <comment authorId="0" ref="A531">
      <text>
        <t xml:space="preserve">2_ABaOnucI-gWuNHg3YLVHQ5MOXck1xDT1qDlWT8dTV4tLyabzrrAUSbQI9MolZz7pqoT2GJM</t>
      </text>
    </comment>
    <comment authorId="0" ref="B531">
      <text>
        <t xml:space="preserve">2_ABaOnucI-gWuNHg3YLVHQ5MOXck1xDT1qDlWT8dTV4tLyabzrrAUSbQI9MolZz7pqoT2GJM</t>
      </text>
    </comment>
    <comment authorId="0" ref="A532">
      <text>
        <t xml:space="preserve">2_ABaOnueL8IYaMf06QQbACTU4lNyhATn833xRF7ny8z51DB-q6lraWITTarjulh3V3MQFygM</t>
      </text>
    </comment>
    <comment authorId="0" ref="B532">
      <text>
        <t xml:space="preserve">2_ABaOnueL8IYaMf06QQbACTU4lNyhATn833xRF7ny8z51DB-q6lraWITTarjulh3V3MQFygM</t>
      </text>
    </comment>
    <comment authorId="0" ref="A533">
      <text>
        <t xml:space="preserve">2_ABaOnudR2zNh6dCcNano0C6m0-Er7L56iYvm9FiD0q9150ZBUN719AfLjHgxezCFuv9U6HQ</t>
      </text>
    </comment>
    <comment authorId="0" ref="B533">
      <text>
        <t xml:space="preserve">2_ABaOnudR2zNh6dCcNano0C6m0-Er7L56iYvm9FiD0q9150ZBUN719AfLjHgxezCFuv9U6HQ</t>
      </text>
    </comment>
    <comment authorId="0" ref="A534">
      <text>
        <t xml:space="preserve">2_ABaOnueGToojK5xmIP315Z1ZWWI5sKfSBJpWowdQbqoylWgYn9LgIUfpcvmOGMw0orUqIAo</t>
      </text>
    </comment>
    <comment authorId="0" ref="B534">
      <text>
        <t xml:space="preserve">2_ABaOnueGToojK5xmIP315Z1ZWWI5sKfSBJpWowdQbqoylWgYn9LgIUfpcvmOGMw0orUqIAo</t>
      </text>
    </comment>
    <comment authorId="0" ref="A535">
      <text>
        <t xml:space="preserve">2_ABaOnuctaZnVKMqwnT7zy_CbgySb-MhTu9e2VUg0ewIZY1ShlRtYsFw-q_bo6XzVUTx5gqE</t>
      </text>
    </comment>
    <comment authorId="0" ref="B535">
      <text>
        <t xml:space="preserve">2_ABaOnuctaZnVKMqwnT7zy_CbgySb-MhTu9e2VUg0ewIZY1ShlRtYsFw-q_bo6XzVUTx5gqE</t>
      </text>
    </comment>
    <comment authorId="0" ref="A536">
      <text>
        <t xml:space="preserve">2_ABaOnucxAAPVXia1VWktzqJS16fntMxrR9Sl7bnI0Q3LxZZ7oYni1dvxj_ocRrja9f1mFAk</t>
      </text>
    </comment>
    <comment authorId="0" ref="B536">
      <text>
        <t xml:space="preserve">2_ABaOnucxAAPVXia1VWktzqJS16fntMxrR9Sl7bnI0Q3LxZZ7oYni1dvxj_ocRrja9f1mFAk</t>
      </text>
    </comment>
    <comment authorId="0" ref="A537">
      <text>
        <t xml:space="preserve">2_ABaOnuebUftDqJgdrx8WCaOWPQv2dhb47UTmjZEz9LCKDQi2kE66jpAyAg-Pl6IAI9V5GdQ</t>
      </text>
    </comment>
    <comment authorId="0" ref="B537">
      <text>
        <t xml:space="preserve">2_ABaOnuebUftDqJgdrx8WCaOWPQv2dhb47UTmjZEz9LCKDQi2kE66jpAyAg-Pl6IAI9V5GdQ</t>
      </text>
    </comment>
    <comment authorId="0" ref="A538">
      <text>
        <t xml:space="preserve">2_ABaOnufJh-OS-nNRYrSVBcKeT92kKK8jcJQoePMojgauUSVtxpT2er6yB_80etXmf_WcxOw</t>
      </text>
    </comment>
    <comment authorId="0" ref="B538">
      <text>
        <t xml:space="preserve">2_ABaOnufJh-OS-nNRYrSVBcKeT92kKK8jcJQoePMojgauUSVtxpT2er6yB_80etXmf_WcxOw</t>
      </text>
    </comment>
    <comment authorId="0" ref="A539">
      <text>
        <t xml:space="preserve">2_ABaOnucWfM4XveWsLgsfZX7azpKVfsf0IffM7GE_KjZ_ltXhT3FoW3kLK6POiAiGfA0uGXc</t>
      </text>
    </comment>
    <comment authorId="0" ref="B539">
      <text>
        <t xml:space="preserve">2_ABaOnucWfM4XveWsLgsfZX7azpKVfsf0IffM7GE_KjZ_ltXhT3FoW3kLK6POiAiGfA0uGXc</t>
      </text>
    </comment>
    <comment authorId="0" ref="A540">
      <text>
        <t xml:space="preserve">2_ABaOnudlrBBHox3FSTycVSwRAhSAsaiXvS-8qRdh21JhY4oU6SaQtZGBFP-GKOaUTiC4L2I</t>
      </text>
    </comment>
    <comment authorId="0" ref="B540">
      <text>
        <t xml:space="preserve">2_ABaOnudlrBBHox3FSTycVSwRAhSAsaiXvS-8qRdh21JhY4oU6SaQtZGBFP-GKOaUTiC4L2I</t>
      </text>
    </comment>
    <comment authorId="0" ref="A541">
      <text>
        <t xml:space="preserve">2_ABaOnueoCWzDbYVskFrp9yEn2fV-__x6pclyR8Oa2Cf3QUl9oH5HVGD0JFjTxXpORO44I38</t>
      </text>
    </comment>
    <comment authorId="0" ref="B541">
      <text>
        <t xml:space="preserve">2_ABaOnueoCWzDbYVskFrp9yEn2fV-__x6pclyR8Oa2Cf3QUl9oH5HVGD0JFjTxXpORO44I38</t>
      </text>
    </comment>
    <comment authorId="0" ref="A542">
      <text>
        <t xml:space="preserve">2_ABaOnucZMOOpT3kp4Q__7Gm_ErRUhKrSfgMZzvu5yxY1lv-brkz_iPptI7e41cV4MGjy9x8</t>
      </text>
    </comment>
    <comment authorId="0" ref="B542">
      <text>
        <t xml:space="preserve">2_ABaOnucZMOOpT3kp4Q__7Gm_ErRUhKrSfgMZzvu5yxY1lv-brkz_iPptI7e41cV4MGjy9x8</t>
      </text>
    </comment>
    <comment authorId="0" ref="A543">
      <text>
        <t xml:space="preserve">2_ABaOnueXy_iVEZx4LAEe964ROYSSrvmkJ8oDtKxmmBI9PrVjPRVZkiAN8hEVl7RWyb51SJ4</t>
      </text>
    </comment>
    <comment authorId="0" ref="B543">
      <text>
        <t xml:space="preserve">2_ABaOnueXy_iVEZx4LAEe964ROYSSrvmkJ8oDtKxmmBI9PrVjPRVZkiAN8hEVl7RWyb51SJ4</t>
      </text>
    </comment>
    <comment authorId="0" ref="A544">
      <text>
        <t xml:space="preserve">2_ABaOnuf2voqsqR5hBDHRS5i-h7xlMnzh_jTqIfRrEWEbHLG-9owIu_RNczX14VHus0EO-oY</t>
      </text>
    </comment>
    <comment authorId="0" ref="B544">
      <text>
        <t xml:space="preserve">2_ABaOnuf2voqsqR5hBDHRS5i-h7xlMnzh_jTqIfRrEWEbHLG-9owIu_RNczX14VHus0EO-oY</t>
      </text>
    </comment>
    <comment authorId="0" ref="A545">
      <text>
        <t xml:space="preserve">2_ABaOnue3Z4kcxJtTlqO8voOPdWvCXRzfNTsJzxFWc5s3xLuLUxq7Lt1aCdXsyFGQik4qpx8</t>
      </text>
    </comment>
    <comment authorId="0" ref="B545">
      <text>
        <t xml:space="preserve">2_ABaOnue3Z4kcxJtTlqO8voOPdWvCXRzfNTsJzxFWc5s3xLuLUxq7Lt1aCdXsyFGQik4qpx8</t>
      </text>
    </comment>
    <comment authorId="0" ref="A546">
      <text>
        <t xml:space="preserve">2_ABaOnucxPDPsFuhbLeHem3K9aRpPBLkQKdPd1rZG3bPQDCWvYEwrLtilRO7v07dckZYRwQA</t>
      </text>
    </comment>
    <comment authorId="0" ref="B546">
      <text>
        <t xml:space="preserve">2_ABaOnucxPDPsFuhbLeHem3K9aRpPBLkQKdPd1rZG3bPQDCWvYEwrLtilRO7v07dckZYRwQA</t>
      </text>
    </comment>
    <comment authorId="0" ref="A547">
      <text>
        <t xml:space="preserve">2_ABaOnufRDQX1Qt7cl9a6o3xn-vdRccOq0-f25Hov9mtuZvf10gAf3sjUWxpRqg-7XfMREvk</t>
      </text>
    </comment>
    <comment authorId="0" ref="B547">
      <text>
        <t xml:space="preserve">2_ABaOnufRDQX1Qt7cl9a6o3xn-vdRccOq0-f25Hov9mtuZvf10gAf3sjUWxpRqg-7XfMREvk</t>
      </text>
    </comment>
    <comment authorId="0" ref="A548">
      <text>
        <t xml:space="preserve">2_ABaOnuf4Smr2i_QZdP3v8SPp6rIebdbXwv81kW3lM2VitVq-_bkxuD04GNArNIgKMrsnhOc</t>
      </text>
    </comment>
    <comment authorId="0" ref="B548">
      <text>
        <t xml:space="preserve">2_ABaOnuf4Smr2i_QZdP3v8SPp6rIebdbXwv81kW3lM2VitVq-_bkxuD04GNArNIgKMrsnhOc</t>
      </text>
    </comment>
    <comment authorId="0" ref="A549">
      <text>
        <t xml:space="preserve">2_ABaOnucz8PEOgjJnv_yfAooBZgM8rJ59Z3V6gJIAukZNxjs7t44JuF5Pefe4PRN3jN8UBpQ</t>
      </text>
    </comment>
    <comment authorId="0" ref="B549">
      <text>
        <t xml:space="preserve">2_ABaOnucz8PEOgjJnv_yfAooBZgM8rJ59Z3V6gJIAukZNxjs7t44JuF5Pefe4PRN3jN8UBpQ</t>
      </text>
    </comment>
    <comment authorId="0" ref="A550">
      <text>
        <t xml:space="preserve">2_ABaOnucF3RgZHQbMEpuaQDDdZ2Xrl65r5-7Og4TOAMMTk1nO0F7L1DELHDPfsM5FC65JiyA</t>
      </text>
    </comment>
    <comment authorId="0" ref="B550">
      <text>
        <t xml:space="preserve">2_ABaOnucF3RgZHQbMEpuaQDDdZ2Xrl65r5-7Og4TOAMMTk1nO0F7L1DELHDPfsM5FC65JiyA</t>
      </text>
    </comment>
    <comment authorId="0" ref="A551">
      <text>
        <t xml:space="preserve">2_ABaOnueYkU-J2VDcLy8F_r2seBA2geY6HYfQOC4g0UeWqPEHHmzdo17i9ZEePSj9hVZRZV0</t>
      </text>
    </comment>
    <comment authorId="0" ref="B551">
      <text>
        <t xml:space="preserve">2_ABaOnueYkU-J2VDcLy8F_r2seBA2geY6HYfQOC4g0UeWqPEHHmzdo17i9ZEePSj9hVZRZV0</t>
      </text>
    </comment>
    <comment authorId="0" ref="A552">
      <text>
        <t xml:space="preserve">2_ABaOnufOumh0lfYnUScDM_izEpDIqJNDyMCvVFMeUiKd_yVN1eHsFmtMa2LecpF_w8CfBNI</t>
      </text>
    </comment>
    <comment authorId="0" ref="B552">
      <text>
        <t xml:space="preserve">2_ABaOnufOumh0lfYnUScDM_izEpDIqJNDyMCvVFMeUiKd_yVN1eHsFmtMa2LecpF_w8CfBNI</t>
      </text>
    </comment>
    <comment authorId="0" ref="A553">
      <text>
        <t xml:space="preserve">2_ABaOnufUC7qwX3KzLVQzRuD2MxMFCi_oEMjaOZzYi_avUUevlNv9aZQLvo9vDhQSq-zreJI</t>
      </text>
    </comment>
    <comment authorId="0" ref="B553">
      <text>
        <t xml:space="preserve">2_ABaOnufUC7qwX3KzLVQzRuD2MxMFCi_oEMjaOZzYi_avUUevlNv9aZQLvo9vDhQSq-zreJI</t>
      </text>
    </comment>
    <comment authorId="0" ref="A554">
      <text>
        <t xml:space="preserve">2_ABaOnuc0etDj8W4wyO2zXpjiNQ4-1eWMdOlxhnkbZC2oXI_ckv0XZHZrBhiF933reyz16-Y</t>
      </text>
    </comment>
    <comment authorId="0" ref="B554">
      <text>
        <t xml:space="preserve">2_ABaOnuc0etDj8W4wyO2zXpjiNQ4-1eWMdOlxhnkbZC2oXI_ckv0XZHZrBhiF933reyz16-Y</t>
      </text>
    </comment>
    <comment authorId="0" ref="A555">
      <text>
        <t xml:space="preserve">2_ABaOnucyBi5u-t9mw5Mq0VfBgPNrKm3GyV3Ioip8dy2-7ziwVTsqe6UDy7WTLoZwwKXWHC0</t>
      </text>
    </comment>
    <comment authorId="0" ref="B555">
      <text>
        <t xml:space="preserve">2_ABaOnucyBi5u-t9mw5Mq0VfBgPNrKm3GyV3Ioip8dy2-7ziwVTsqe6UDy7WTLoZwwKXWHC0</t>
      </text>
    </comment>
    <comment authorId="0" ref="A556">
      <text>
        <t xml:space="preserve">2_ABaOnueRu9GyPZeau485i5wuhvVJyxVa6olCkZIBQyBnYuUJ25pVuq0bm8-3TUPTGLivcQc</t>
      </text>
    </comment>
    <comment authorId="0" ref="B556">
      <text>
        <t xml:space="preserve">2_ABaOnueRu9GyPZeau485i5wuhvVJyxVa6olCkZIBQyBnYuUJ25pVuq0bm8-3TUPTGLivcQc</t>
      </text>
    </comment>
    <comment authorId="0" ref="A557">
      <text>
        <t xml:space="preserve">2_ABaOnueM6s8o_Sf9hVnw690Qf4tuowxbFOLyZLitgkPxg_zHs4KQ2Loqqmo-lcXp85ZqNgc</t>
      </text>
    </comment>
    <comment authorId="0" ref="B557">
      <text>
        <t xml:space="preserve">2_ABaOnueM6s8o_Sf9hVnw690Qf4tuowxbFOLyZLitgkPxg_zHs4KQ2Loqqmo-lcXp85ZqNgc</t>
      </text>
    </comment>
    <comment authorId="0" ref="A558">
      <text>
        <t xml:space="preserve">2_ABaOnuc7Rtf-OTYuEH50Wi4leG6s0wNcCYzzUNXoxk_TUMFt5AS-1PDi8qYAoLQ0sgP3LB0</t>
      </text>
    </comment>
    <comment authorId="0" ref="B558">
      <text>
        <t xml:space="preserve">2_ABaOnuc7Rtf-OTYuEH50Wi4leG6s0wNcCYzzUNXoxk_TUMFt5AS-1PDi8qYAoLQ0sgP3LB0</t>
      </text>
    </comment>
    <comment authorId="0" ref="A559">
      <text>
        <t xml:space="preserve">2_ABaOnufFR7_3wfYpXURk4R2oByf5NbacJixK_wQKjs-XjQf649818xUNf4HCCqz2DO_rTyA</t>
      </text>
    </comment>
    <comment authorId="0" ref="B559">
      <text>
        <t xml:space="preserve">2_ABaOnufFR7_3wfYpXURk4R2oByf5NbacJixK_wQKjs-XjQf649818xUNf4HCCqz2DO_rTyA</t>
      </text>
    </comment>
    <comment authorId="0" ref="A560">
      <text>
        <t xml:space="preserve">2_ABaOnucu0OmRM8zjiG4ToIAfEONzSMvZL0iZfAqbsGb_MEPjGzzAJYGICmVxUASy_zXU9XE</t>
      </text>
    </comment>
    <comment authorId="0" ref="B560">
      <text>
        <t xml:space="preserve">2_ABaOnucu0OmRM8zjiG4ToIAfEONzSMvZL0iZfAqbsGb_MEPjGzzAJYGICmVxUASy_zXU9XE</t>
      </text>
    </comment>
    <comment authorId="0" ref="A561">
      <text>
        <t xml:space="preserve">2_ABaOnueX5oyFRrBKTmWhpixoogzBVyxsBp610BTUzI8XJb58_a21cn1AfxdxXsNHPZMBEcs</t>
      </text>
    </comment>
    <comment authorId="0" ref="B561">
      <text>
        <t xml:space="preserve">2_ABaOnueX5oyFRrBKTmWhpixoogzBVyxsBp610BTUzI8XJb58_a21cn1AfxdxXsNHPZMBEcs</t>
      </text>
    </comment>
    <comment authorId="0" ref="A562">
      <text>
        <t xml:space="preserve">2_ABaOnufHVLF9zvIdL7szW0N_Tnx2PaUAuKQcYIL8RL3dH0rDifP1-nh9REQ-zei67w3AcF4</t>
      </text>
    </comment>
    <comment authorId="0" ref="B562">
      <text>
        <t xml:space="preserve">2_ABaOnufHVLF9zvIdL7szW0N_Tnx2PaUAuKQcYIL8RL3dH0rDifP1-nh9REQ-zei67w3AcF4</t>
      </text>
    </comment>
    <comment authorId="0" ref="A563">
      <text>
        <t xml:space="preserve">2_ABaOnucQ6lEo5Rd68DCJho661_lZYt74PiH8S4tINUfmFim1pg_j21wGyRi6YAgsQIHTtnI</t>
      </text>
    </comment>
    <comment authorId="0" ref="B563">
      <text>
        <t xml:space="preserve">2_ABaOnucQ6lEo5Rd68DCJho661_lZYt74PiH8S4tINUfmFim1pg_j21wGyRi6YAgsQIHTtnI</t>
      </text>
    </comment>
    <comment authorId="0" ref="A564">
      <text>
        <t xml:space="preserve">2_ABaOnufB8gR8reLSBBJoZgFwsdXwhs0eInnAdpMvVxdDcjS9nnTabaPzDdMmO32jErm-NRk</t>
      </text>
    </comment>
    <comment authorId="0" ref="B564">
      <text>
        <t xml:space="preserve">2_ABaOnufB8gR8reLSBBJoZgFwsdXwhs0eInnAdpMvVxdDcjS9nnTabaPzDdMmO32jErm-NRk</t>
      </text>
    </comment>
    <comment authorId="0" ref="A565">
      <text>
        <t xml:space="preserve">2_ABaOnufGrgHi6YaUGZkLwESngL2SZODUbR_N80-vMn51fpO94eYFibtSU88pofh2HPy2Uts</t>
      </text>
    </comment>
    <comment authorId="0" ref="B565">
      <text>
        <t xml:space="preserve">2_ABaOnufGrgHi6YaUGZkLwESngL2SZODUbR_N80-vMn51fpO94eYFibtSU88pofh2HPy2Uts</t>
      </text>
    </comment>
    <comment authorId="0" ref="A566">
      <text>
        <t xml:space="preserve">2_ABaOnueAptnS0LrfK2fbtP7Zr96teINGwwRnmmosakPvMdH9y5cqKhMxywa9pv51wgJnvCs</t>
      </text>
    </comment>
    <comment authorId="0" ref="B566">
      <text>
        <t xml:space="preserve">2_ABaOnueAptnS0LrfK2fbtP7Zr96teINGwwRnmmosakPvMdH9y5cqKhMxywa9pv51wgJnvCs</t>
      </text>
    </comment>
    <comment authorId="0" ref="A567">
      <text>
        <t xml:space="preserve">2_ABaOnuc3wYYtUEZep4SEePkFoGpDlN0GxyDozSeABS7PPsOn6tE8uvb0m1cTV_9giZyjHxw</t>
      </text>
    </comment>
    <comment authorId="0" ref="B567">
      <text>
        <t xml:space="preserve">2_ABaOnuc3wYYtUEZep4SEePkFoGpDlN0GxyDozSeABS7PPsOn6tE8uvb0m1cTV_9giZyjHxw</t>
      </text>
    </comment>
    <comment authorId="0" ref="A568">
      <text>
        <t xml:space="preserve">2_ABaOnueCfW4kMdDG12UqevnnA3sahN5kVyV3MeuDmagD6w-C_TuFQqFD-PjxgY_1jH0gyOc</t>
      </text>
    </comment>
    <comment authorId="0" ref="B568">
      <text>
        <t xml:space="preserve">2_ABaOnueCfW4kMdDG12UqevnnA3sahN5kVyV3MeuDmagD6w-C_TuFQqFD-PjxgY_1jH0gyOc</t>
      </text>
    </comment>
    <comment authorId="0" ref="A569">
      <text>
        <t xml:space="preserve">2_ABaOnuePQmaqm7r54oLhvpFiUBmQCwXBYDMMzqDT21PanHKYHhFI2-BZqfKsKqve-RyM5_0</t>
      </text>
    </comment>
    <comment authorId="0" ref="B569">
      <text>
        <t xml:space="preserve">2_ABaOnuePQmaqm7r54oLhvpFiUBmQCwXBYDMMzqDT21PanHKYHhFI2-BZqfKsKqve-RyM5_0</t>
      </text>
    </comment>
    <comment authorId="0" ref="A570">
      <text>
        <t xml:space="preserve">2_ABaOnudrDIhQeNDhUrV-PukPk2VE3-vi1R7FCff7Ns8ZCMcPyGAbHU8o7Vor9SGq1Dz1Drk</t>
      </text>
    </comment>
    <comment authorId="0" ref="B570">
      <text>
        <t xml:space="preserve">2_ABaOnudrDIhQeNDhUrV-PukPk2VE3-vi1R7FCff7Ns8ZCMcPyGAbHU8o7Vor9SGq1Dz1Drk</t>
      </text>
    </comment>
    <comment authorId="0" ref="A571">
      <text>
        <t xml:space="preserve">2_ABaOnufWLg7R16IfET3MXBTRSrbFqwLzKZOqzyGP0Ynqsqv_Un7h0o0ZJrILO2DtdGlNi2M</t>
      </text>
    </comment>
    <comment authorId="0" ref="B571">
      <text>
        <t xml:space="preserve">2_ABaOnufWLg7R16IfET3MXBTRSrbFqwLzKZOqzyGP0Ynqsqv_Un7h0o0ZJrILO2DtdGlNi2M</t>
      </text>
    </comment>
    <comment authorId="0" ref="A572">
      <text>
        <t xml:space="preserve">2_ABaOnuf2yRQz6fw3Jod7VYtSH1lRO8GQQ5iZagJPlAs017vD-dv3fy1y_zHzQEbJWbCpy48</t>
      </text>
    </comment>
    <comment authorId="0" ref="B572">
      <text>
        <t xml:space="preserve">2_ABaOnuf2yRQz6fw3Jod7VYtSH1lRO8GQQ5iZagJPlAs017vD-dv3fy1y_zHzQEbJWbCpy48</t>
      </text>
    </comment>
    <comment authorId="0" ref="A573">
      <text>
        <t xml:space="preserve">2_ABaOnuedjIAeytg-CDojoJIHUELaLd7QuUEO6wVefDIKyXfCrt0bjRkEHpObuyRJaB4TeGc</t>
      </text>
    </comment>
    <comment authorId="0" ref="B573">
      <text>
        <t xml:space="preserve">2_ABaOnuedjIAeytg-CDojoJIHUELaLd7QuUEO6wVefDIKyXfCrt0bjRkEHpObuyRJaB4TeGc</t>
      </text>
    </comment>
    <comment authorId="0" ref="A574">
      <text>
        <t xml:space="preserve">2_ABaOnud6fKqnYZpnZEERSsmEygoLfOCHE7NY4I4Ie5Rw1hhFg-JgVUqm_ZR5jokvKBr2Q98</t>
      </text>
    </comment>
    <comment authorId="0" ref="B574">
      <text>
        <t xml:space="preserve">2_ABaOnud6fKqnYZpnZEERSsmEygoLfOCHE7NY4I4Ie5Rw1hhFg-JgVUqm_ZR5jokvKBr2Q98</t>
      </text>
    </comment>
    <comment authorId="0" ref="A575">
      <text>
        <t xml:space="preserve">2_ABaOnufFYkVGIPKye1psb7e-NozohTirMD-FG3tx4xPmSZScgnbxfSjRGSO-Lyl_VfVRxhM</t>
      </text>
    </comment>
    <comment authorId="0" ref="B575">
      <text>
        <t xml:space="preserve">2_ABaOnufFYkVGIPKye1psb7e-NozohTirMD-FG3tx4xPmSZScgnbxfSjRGSO-Lyl_VfVRxhM</t>
      </text>
    </comment>
    <comment authorId="0" ref="A576">
      <text>
        <t xml:space="preserve">2_ABaOnuc3T50TUmIne1r6CAAtBkArBbOWdMGUSgtzgv07X5BrmsyFq43vVOibG-cc2m9lBUU</t>
      </text>
    </comment>
    <comment authorId="0" ref="B576">
      <text>
        <t xml:space="preserve">2_ABaOnuc3T50TUmIne1r6CAAtBkArBbOWdMGUSgtzgv07X5BrmsyFq43vVOibG-cc2m9lBUU</t>
      </text>
    </comment>
    <comment authorId="0" ref="A577">
      <text>
        <t xml:space="preserve">2_ABaOnueTY4bNgPpokmJGQlefV2KQDj6Jaqj7ols9f9k0dSbw4QPWKNOvgVlN1MBmI_g0Cmk</t>
      </text>
    </comment>
    <comment authorId="0" ref="B577">
      <text>
        <t xml:space="preserve">2_ABaOnueTY4bNgPpokmJGQlefV2KQDj6Jaqj7ols9f9k0dSbw4QPWKNOvgVlN1MBmI_g0Cmk</t>
      </text>
    </comment>
    <comment authorId="0" ref="A578">
      <text>
        <t xml:space="preserve">2_ABaOnuegcFk8DDxMtemfLpdhQG3i-li-vM1D2o8b0I20yFhSd2fM2IE0TMSl9A_m96R3xGg</t>
      </text>
    </comment>
    <comment authorId="0" ref="B578">
      <text>
        <t xml:space="preserve">2_ABaOnuegcFk8DDxMtemfLpdhQG3i-li-vM1D2o8b0I20yFhSd2fM2IE0TMSl9A_m96R3xGg</t>
      </text>
    </comment>
    <comment authorId="0" ref="A579">
      <text>
        <t xml:space="preserve">2_ABaOnudqJyRm9JJzHJYA2GKagB-oRo23mLuYpCt3E0NQYoafxSFZ2FvegmkxzBzVdpvnpKo</t>
      </text>
    </comment>
    <comment authorId="0" ref="B579">
      <text>
        <t xml:space="preserve">2_ABaOnudqJyRm9JJzHJYA2GKagB-oRo23mLuYpCt3E0NQYoafxSFZ2FvegmkxzBzVdpvnpKo</t>
      </text>
    </comment>
    <comment authorId="0" ref="A580">
      <text>
        <t xml:space="preserve">2_ABaOnudeM73nnp7zyk43cDPf7rSBkziqmTq8M3a-wSJpP7GWidyC-OHCGGbVYwg9yc0Nxg0</t>
      </text>
    </comment>
    <comment authorId="0" ref="B580">
      <text>
        <t xml:space="preserve">2_ABaOnudeM73nnp7zyk43cDPf7rSBkziqmTq8M3a-wSJpP7GWidyC-OHCGGbVYwg9yc0Nxg0</t>
      </text>
    </comment>
    <comment authorId="0" ref="A581">
      <text>
        <t xml:space="preserve">2_ABaOnuen39tDnnzIoWjPyHMUZKyMatLGfmThdMJTib0rpNeM9Hu_juiYblauCoBShl66iqo</t>
      </text>
    </comment>
    <comment authorId="0" ref="B581">
      <text>
        <t xml:space="preserve">2_ABaOnuen39tDnnzIoWjPyHMUZKyMatLGfmThdMJTib0rpNeM9Hu_juiYblauCoBShl66iqo</t>
      </text>
    </comment>
    <comment authorId="0" ref="A582">
      <text>
        <t xml:space="preserve">2_ABaOnudxCEgerFoo22X4c51eYSoQbQwmdZFayIbS6PQZXD8YL1i0swkuuKODKHKFWl141XE</t>
      </text>
    </comment>
    <comment authorId="0" ref="B582">
      <text>
        <t xml:space="preserve">2_ABaOnudxCEgerFoo22X4c51eYSoQbQwmdZFayIbS6PQZXD8YL1i0swkuuKODKHKFWl141XE</t>
      </text>
    </comment>
    <comment authorId="0" ref="A583">
      <text>
        <t xml:space="preserve">2_ABaOnuc2GkiEMue6QzejncXt4NqHQSBwpgitm2mhfdIfPAlHowHrGvzhp6V269bDzRJwBRw</t>
      </text>
    </comment>
    <comment authorId="0" ref="B583">
      <text>
        <t xml:space="preserve">2_ABaOnuc2GkiEMue6QzejncXt4NqHQSBwpgitm2mhfdIfPAlHowHrGvzhp6V269bDzRJwBRw</t>
      </text>
    </comment>
    <comment authorId="0" ref="A584">
      <text>
        <t xml:space="preserve">2_ABaOnudgYQ5rGvq2cATG1qDbxc1CGfmlcILmddJr4Z5_6R-nWz7FsS0x1xec7clNzx7WBGM</t>
      </text>
    </comment>
    <comment authorId="0" ref="B584">
      <text>
        <t xml:space="preserve">2_ABaOnudgYQ5rGvq2cATG1qDbxc1CGfmlcILmddJr4Z5_6R-nWz7FsS0x1xec7clNzx7WBGM</t>
      </text>
    </comment>
    <comment authorId="0" ref="A585">
      <text>
        <t xml:space="preserve">2_ABaOnuc_j1TuetTUXr674AhHNo8-YIOedMN08Fm_mgWzpw4dFzHINGOMlwxPAy7mONMHGRQ</t>
      </text>
    </comment>
    <comment authorId="0" ref="B585">
      <text>
        <t xml:space="preserve">2_ABaOnuc_j1TuetTUXr674AhHNo8-YIOedMN08Fm_mgWzpw4dFzHINGOMlwxPAy7mONMHGRQ</t>
      </text>
    </comment>
    <comment authorId="0" ref="A586">
      <text>
        <t xml:space="preserve">2_ABaOnudijA5iWj5dbz5km87GFwvVgALSi5QajTgh2stNdCZEQu42Mdb5UCcAfLr4Tmqz11s</t>
      </text>
    </comment>
    <comment authorId="0" ref="B586">
      <text>
        <t xml:space="preserve">2_ABaOnudijA5iWj5dbz5km87GFwvVgALSi5QajTgh2stNdCZEQu42Mdb5UCcAfLr4Tmqz11s</t>
      </text>
    </comment>
    <comment authorId="0" ref="A587">
      <text>
        <t xml:space="preserve">2_ABaOnudpGoA2EA4wo4uXXW1rCzwn3ZHNH1gMc45cf942jePOyaLBRMcJ-5WuqSvUI9_LW80</t>
      </text>
    </comment>
    <comment authorId="0" ref="B587">
      <text>
        <t xml:space="preserve">2_ABaOnudpGoA2EA4wo4uXXW1rCzwn3ZHNH1gMc45cf942jePOyaLBRMcJ-5WuqSvUI9_LW80</t>
      </text>
    </comment>
    <comment authorId="0" ref="A588">
      <text>
        <t xml:space="preserve">2_ABaOnufmSIjCwDlmVwQHdj2NxK6HKSXn1-h1UIJ66j9MrlWPa8fY5s1NLlxey5wdXz_KPPs</t>
      </text>
    </comment>
    <comment authorId="0" ref="B588">
      <text>
        <t xml:space="preserve">2_ABaOnufmSIjCwDlmVwQHdj2NxK6HKSXn1-h1UIJ66j9MrlWPa8fY5s1NLlxey5wdXz_KPPs</t>
      </text>
    </comment>
    <comment authorId="0" ref="A589">
      <text>
        <t xml:space="preserve">2_ABaOnucppgHzZQjP4cmwfgfHVjjIITS9S9dF-BGocWees2_N-7w6gVLFJbq4wb1NVvKJD1E</t>
      </text>
    </comment>
    <comment authorId="0" ref="B589">
      <text>
        <t xml:space="preserve">2_ABaOnucppgHzZQjP4cmwfgfHVjjIITS9S9dF-BGocWees2_N-7w6gVLFJbq4wb1NVvKJD1E</t>
      </text>
    </comment>
    <comment authorId="0" ref="A590">
      <text>
        <t xml:space="preserve">2_ABaOnud7EEZD_qPlZP0sCp-Qm8qeIqKgx55SPessBDSYH8d9vp3XrhfZYoG6WPO7hkR2KT8</t>
      </text>
    </comment>
    <comment authorId="0" ref="B590">
      <text>
        <t xml:space="preserve">2_ABaOnud7EEZD_qPlZP0sCp-Qm8qeIqKgx55SPessBDSYH8d9vp3XrhfZYoG6WPO7hkR2KT8</t>
      </text>
    </comment>
    <comment authorId="0" ref="A591">
      <text>
        <t xml:space="preserve">2_ABaOnudFQeWFWRulJfsfBekQIXLcr47-5qG2-BLDY4s4_Wqs7_A5kBsiGyRcbWeILFb1eM4</t>
      </text>
    </comment>
    <comment authorId="0" ref="B591">
      <text>
        <t xml:space="preserve">2_ABaOnudFQeWFWRulJfsfBekQIXLcr47-5qG2-BLDY4s4_Wqs7_A5kBsiGyRcbWeILFb1eM4</t>
      </text>
    </comment>
    <comment authorId="0" ref="A592">
      <text>
        <t xml:space="preserve">2_ABaOnudm6FAT3d-hWStVpTm3BpgcZKL8ibbATdDwq1xMM6hOBg-s-W2d73bAu4F_j-gcYCs</t>
      </text>
    </comment>
    <comment authorId="0" ref="B592">
      <text>
        <t xml:space="preserve">2_ABaOnudm6FAT3d-hWStVpTm3BpgcZKL8ibbATdDwq1xMM6hOBg-s-W2d73bAu4F_j-gcYCs</t>
      </text>
    </comment>
    <comment authorId="0" ref="A593">
      <text>
        <t xml:space="preserve">2_ABaOnucEYgj1wn4fBIt7CpZ8VHFkdvjELDtXldx2BkMc_Q8wWkVukL-gID5-gpr-O2MktxA</t>
      </text>
    </comment>
    <comment authorId="0" ref="B593">
      <text>
        <t xml:space="preserve">2_ABaOnucEYgj1wn4fBIt7CpZ8VHFkdvjELDtXldx2BkMc_Q8wWkVukL-gID5-gpr-O2MktxA</t>
      </text>
    </comment>
    <comment authorId="0" ref="A594">
      <text>
        <t xml:space="preserve">2_ABaOnucphpCr1cUneBfAmN__8mRdGE29xacB0wWwxIgxMP-ryuLR2Zb_5ngX4EpLin9zRK0</t>
      </text>
    </comment>
    <comment authorId="0" ref="B594">
      <text>
        <t xml:space="preserve">2_ABaOnucphpCr1cUneBfAmN__8mRdGE29xacB0wWwxIgxMP-ryuLR2Zb_5ngX4EpLin9zRK0</t>
      </text>
    </comment>
    <comment authorId="0" ref="A595">
      <text>
        <t xml:space="preserve">2_ABaOnuduollYXwtTwuzONGmfpE2UBiFTvC6Y-HuMKSKSN4WcnsKqCSijVv5gn0DF5terCk4</t>
      </text>
    </comment>
    <comment authorId="0" ref="B595">
      <text>
        <t xml:space="preserve">2_ABaOnuduollYXwtTwuzONGmfpE2UBiFTvC6Y-HuMKSKSN4WcnsKqCSijVv5gn0DF5terCk4</t>
      </text>
    </comment>
    <comment authorId="0" ref="A596">
      <text>
        <t xml:space="preserve">2_ABaOnueK8j6fVGrCR-EDYnXhFQpVVKqv3nugZfTfMf0sSI6RXT5UEpApv6j7HNIUly2jgFc</t>
      </text>
    </comment>
    <comment authorId="0" ref="B596">
      <text>
        <t xml:space="preserve">2_ABaOnueK8j6fVGrCR-EDYnXhFQpVVKqv3nugZfTfMf0sSI6RXT5UEpApv6j7HNIUly2jgFc</t>
      </text>
    </comment>
    <comment authorId="0" ref="A597">
      <text>
        <t xml:space="preserve">2_ABaOnudwKQPeExtatwW9XW2TTJ4vzVmYJjaKOz0vC2oTDFOvqVdxQS_hsGCmtieJIxOPYk4</t>
      </text>
    </comment>
    <comment authorId="0" ref="B597">
      <text>
        <t xml:space="preserve">2_ABaOnudwKQPeExtatwW9XW2TTJ4vzVmYJjaKOz0vC2oTDFOvqVdxQS_hsGCmtieJIxOPYk4</t>
      </text>
    </comment>
    <comment authorId="0" ref="A598">
      <text>
        <t xml:space="preserve">2_ABaOnudxY6bAGHwZzrhhDO6mAA-40YnauBUaR2RDcuW8zz5fpfJjs5IKOvHEcGBJMgLDXJ4</t>
      </text>
    </comment>
    <comment authorId="0" ref="B598">
      <text>
        <t xml:space="preserve">2_ABaOnudxY6bAGHwZzrhhDO6mAA-40YnauBUaR2RDcuW8zz5fpfJjs5IKOvHEcGBJMgLDXJ4</t>
      </text>
    </comment>
    <comment authorId="0" ref="A599">
      <text>
        <t xml:space="preserve">2_ABaOnuc9Eqn6ECitgyUYhBitiWXo1LLIsVgOrL7Wx6gYpXIrHgbjEF_JFLH3QsCescVpiRA</t>
      </text>
    </comment>
    <comment authorId="0" ref="B599">
      <text>
        <t xml:space="preserve">2_ABaOnuc9Eqn6ECitgyUYhBitiWXo1LLIsVgOrL7Wx6gYpXIrHgbjEF_JFLH3QsCescVpiRA</t>
      </text>
    </comment>
    <comment authorId="0" ref="A600">
      <text>
        <t xml:space="preserve">2_ABaOnueuqwNyhBDgB3nh9gs8CgV2QNBkoMf3HTtSyAnxxiuDeaR-jAvRB5BZzMrCS3h5Wvg</t>
      </text>
    </comment>
    <comment authorId="0" ref="B600">
      <text>
        <t xml:space="preserve">2_ABaOnueuqwNyhBDgB3nh9gs8CgV2QNBkoMf3HTtSyAnxxiuDeaR-jAvRB5BZzMrCS3h5Wvg</t>
      </text>
    </comment>
    <comment authorId="0" ref="A601">
      <text>
        <t xml:space="preserve">2_ABaOnucFhM0IZH6jl1al9BE9ORg7y4OlT0W3W5jFI0tpqMMjw2jUgjt8p-Ga3jhx4G02wng</t>
      </text>
    </comment>
    <comment authorId="0" ref="B601">
      <text>
        <t xml:space="preserve">2_ABaOnucFhM0IZH6jl1al9BE9ORg7y4OlT0W3W5jFI0tpqMMjw2jUgjt8p-Ga3jhx4G02wng</t>
      </text>
    </comment>
    <comment authorId="0" ref="A602">
      <text>
        <t xml:space="preserve">2_ABaOnudT5i3-wv9ePGKA2I3DU3tvc0Ere_YWiXVHrTXTBmZS7iFdSL1BZ23K2SWYAguwOtc</t>
      </text>
    </comment>
    <comment authorId="0" ref="B602">
      <text>
        <t xml:space="preserve">2_ABaOnudT5i3-wv9ePGKA2I3DU3tvc0Ere_YWiXVHrTXTBmZS7iFdSL1BZ23K2SWYAguwOtc</t>
      </text>
    </comment>
    <comment authorId="0" ref="A603">
      <text>
        <t xml:space="preserve">2_ABaOnuc3icyUqVC6bNkjQERUt60PVnp1YZ-5MmXxXE7GW9p4ymKHP1xbZ-5Bi9T81oW2-HM</t>
      </text>
    </comment>
    <comment authorId="0" ref="B603">
      <text>
        <t xml:space="preserve">2_ABaOnuc3icyUqVC6bNkjQERUt60PVnp1YZ-5MmXxXE7GW9p4ymKHP1xbZ-5Bi9T81oW2-HM</t>
      </text>
    </comment>
    <comment authorId="0" ref="A604">
      <text>
        <t xml:space="preserve">2_ABaOnufY1wzWukNpNN3p269PQ4Ab5-iEJzNxEVuqpht3GMW_BbXZ2pyyGPk9rAC97bSkK2c</t>
      </text>
    </comment>
    <comment authorId="0" ref="B604">
      <text>
        <t xml:space="preserve">2_ABaOnufY1wzWukNpNN3p269PQ4Ab5-iEJzNxEVuqpht3GMW_BbXZ2pyyGPk9rAC97bSkK2c</t>
      </text>
    </comment>
    <comment authorId="0" ref="A605">
      <text>
        <t xml:space="preserve">2_ABaOnuc3QE61bjvKxn5RgB2HXir81wGK1BfRwyEAs5O-4zkW9BV-Qe0pOCqj2NHcqIQsKDw</t>
      </text>
    </comment>
    <comment authorId="0" ref="B605">
      <text>
        <t xml:space="preserve">2_ABaOnuc3QE61bjvKxn5RgB2HXir81wGK1BfRwyEAs5O-4zkW9BV-Qe0pOCqj2NHcqIQsKDw</t>
      </text>
    </comment>
    <comment authorId="0" ref="A606">
      <text>
        <t xml:space="preserve">2_ABaOnuddvB6MakQYaA6TdfLR9m_Hoh33zzuvm7Aa5y7ceiCKUH6wXbZQToJJ9AQb_lLrEnU</t>
      </text>
    </comment>
    <comment authorId="0" ref="B606">
      <text>
        <t xml:space="preserve">2_ABaOnuddvB6MakQYaA6TdfLR9m_Hoh33zzuvm7Aa5y7ceiCKUH6wXbZQToJJ9AQb_lLrEnU</t>
      </text>
    </comment>
    <comment authorId="0" ref="A607">
      <text>
        <t xml:space="preserve">2_ABaOnucB2nIIXuroUPc05k-8Jb7pF-KP4qnUx4ifF-iUkWeVoNsfTcOPWu8_k9hdgUM_D9s</t>
      </text>
    </comment>
    <comment authorId="0" ref="B607">
      <text>
        <t xml:space="preserve">2_ABaOnucB2nIIXuroUPc05k-8Jb7pF-KP4qnUx4ifF-iUkWeVoNsfTcOPWu8_k9hdgUM_D9s</t>
      </text>
    </comment>
    <comment authorId="0" ref="A608">
      <text>
        <t xml:space="preserve">2_ABaOnufzAVle_CxM39zw6AuSGF7cz5HuNeQUwx9Dy-PCtw5opfUjxdzA6mExfxgvyZUFQXE</t>
      </text>
    </comment>
    <comment authorId="0" ref="B608">
      <text>
        <t xml:space="preserve">2_ABaOnufzAVle_CxM39zw6AuSGF7cz5HuNeQUwx9Dy-PCtw5opfUjxdzA6mExfxgvyZUFQXE</t>
      </text>
    </comment>
    <comment authorId="0" ref="A609">
      <text>
        <t xml:space="preserve">2_ABaOnudQp8vKPJ3xVdl2n183mXaP7FY6ArdGGc0LQXUZu4LZByLh4piCrsYIKaEbzWBIHbE</t>
      </text>
    </comment>
    <comment authorId="0" ref="B609">
      <text>
        <t xml:space="preserve">2_ABaOnudQp8vKPJ3xVdl2n183mXaP7FY6ArdGGc0LQXUZu4LZByLh4piCrsYIKaEbzWBIHbE</t>
      </text>
    </comment>
    <comment authorId="0" ref="A610">
      <text>
        <t xml:space="preserve">2_ABaOnueA_Of7gjpZF3_FerXzC3R1wpppZpueP5Ym_BzQFWEHKl_pQEmdp81BiojjcAlV4HQ</t>
      </text>
    </comment>
    <comment authorId="0" ref="B610">
      <text>
        <t xml:space="preserve">2_ABaOnueA_Of7gjpZF3_FerXzC3R1wpppZpueP5Ym_BzQFWEHKl_pQEmdp81BiojjcAlV4HQ</t>
      </text>
    </comment>
    <comment authorId="0" ref="A611">
      <text>
        <t xml:space="preserve">2_ABaOnufec8zWCsm9e6awOtIBFW8Gq4wfJnr5FYIA8L3wP9GeHDJET53KbIdbEN4ksD0zL1w</t>
      </text>
    </comment>
    <comment authorId="0" ref="B611">
      <text>
        <t xml:space="preserve">2_ABaOnufec8zWCsm9e6awOtIBFW8Gq4wfJnr5FYIA8L3wP9GeHDJET53KbIdbEN4ksD0zL1w</t>
      </text>
    </comment>
    <comment authorId="0" ref="A612">
      <text>
        <t xml:space="preserve">2_ABaOnufi7yyaAjlUVCTu2Ayfy8d9Y9J3Wq9UgX6sOsGNajywzdPCYE8417EWanBkZ_7Kjeg</t>
      </text>
    </comment>
    <comment authorId="0" ref="B612">
      <text>
        <t xml:space="preserve">2_ABaOnufi7yyaAjlUVCTu2Ayfy8d9Y9J3Wq9UgX6sOsGNajywzdPCYE8417EWanBkZ_7Kjeg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If you delete this column, PerformFlow cannot generate approval report anymore!</t>
      </text>
    </comment>
    <comment authorId="0" ref="S1">
      <text>
        <t xml:space="preserve">If you delete this column, PerformFlow cannot generate approval report anymore!</t>
      </text>
    </comment>
    <comment authorId="0" ref="T1">
      <text>
        <t xml:space="preserve">If you delete this column, PerformFlow cannot generate approval report anymore!</t>
      </text>
    </comment>
    <comment authorId="0" ref="U1">
      <text>
        <t xml:space="preserve">If you delete this column, PerformFlow cannot generate approval report anymore!</t>
      </text>
    </comment>
    <comment authorId="0" ref="V1">
      <text>
        <t xml:space="preserve">If you delete this column, PerformFlow cannot generate approval report anymore!</t>
      </text>
    </comment>
    <comment authorId="0" ref="R40">
      <text>
        <t xml:space="preserve">2_ABaOnudGaZdzykdpd8ce2_llrpisr0ZlULBSLHXeedsC8RSDpvyRA_hCFNrA3xc-FWg2wQk</t>
      </text>
    </comment>
    <comment authorId="0" ref="R41">
      <text>
        <t xml:space="preserve">2_ABaOnufd8yU5YW5tpzBxwT9LKyQbGhFj480C9r0EoQJbSta03DjotmqrQFninPOtBSonncQ</t>
      </text>
    </comment>
    <comment authorId="0" ref="R42">
      <text>
        <t xml:space="preserve">2_ABaOnudQ1Lf5INxxexmBj8Y4UT0a0jK39M-2Br4e_kqZJ41HqjjMFasV6nWkWlSDP8puecA</t>
      </text>
    </comment>
    <comment authorId="0" ref="R43">
      <text>
        <t xml:space="preserve">2_ABaOnucJXqhMN23V8upp2jHNJDql8Qtq2Lhmk7UK2ha2XVjeTvTwmiHyC2JlhI3gPljPzc4</t>
      </text>
    </comment>
    <comment authorId="0" ref="R44">
      <text>
        <t xml:space="preserve">2_ABaOnucFuw3hOFPEKckEAnMOOPPWNJBc-ysm2L8SdgMwopO9D4pG7Uet27gzlWJm7JFZvx4</t>
      </text>
    </comment>
    <comment authorId="0" ref="R45">
      <text>
        <t xml:space="preserve">2_ABaOnucXPp2QohE6uybcO3i6Uhzjgc0CNbvCPQfi8rwhlgT2FuNtWqnn9ttvoW2kOrxyiGA</t>
      </text>
    </comment>
    <comment authorId="0" ref="R46">
      <text>
        <t xml:space="preserve">2_ABaOnucx-zsnn8cTEFX23ihJIHeLajsRMwbwTv3oMsiCDAhYteoc5FbuKtEf-yr915_nJWw</t>
      </text>
    </comment>
    <comment authorId="0" ref="R47">
      <text>
        <t xml:space="preserve">2_ABaOnudX0HiAuwAqsoHHx25vx3i_tKeb57qgGuGiIM2gb0CeXH18K3MOH99OhvM-BsNUvww</t>
      </text>
    </comment>
    <comment authorId="0" ref="R48">
      <text>
        <t xml:space="preserve">2_ABaOnufQQu_L0FkyK1s-71cjMS2FtJxOt_JpDT9j6qpIxlgldSbSbsAghzornkXr141MxfM</t>
      </text>
    </comment>
    <comment authorId="0" ref="R49">
      <text>
        <t xml:space="preserve">2_ABaOnueV4u9Oe1IVQb7Lh0n7wJAzWAtLfIJqUwVYOuz3orEKNLmmibcbyPLvIqvIwEf-F6I</t>
      </text>
    </comment>
    <comment authorId="0" ref="R50">
      <text>
        <t xml:space="preserve">2_ABaOnudd3ZvkJ-BoWxN7W9FXBlGBPcV3_xWggBPi3JaY6oscQiKtH73_Ym1UzwJFFbuua4k</t>
      </text>
    </comment>
    <comment authorId="0" ref="R51">
      <text>
        <t xml:space="preserve">2_ABaOnudLdGHMaLUuJGJSPq8g_CnouPg4ovV3jPYz_5v0ReyPNhRkmk0KqbiOWjx6I5gyD54</t>
      </text>
    </comment>
    <comment authorId="0" ref="R52">
      <text>
        <t xml:space="preserve">2_ABaOnuftzrk7k6QT0hydsrKeffxC0U-HhPg2x2Dq8Qspiisc3i5L2nFtfKTT8386aBIOtoE</t>
      </text>
    </comment>
    <comment authorId="0" ref="R53">
      <text>
        <t xml:space="preserve">2_ABaOnue5eNA0m1FGFQ-ppmFEJaWGSAfHyLPcCIeWKvP0FxJrnYJqmD8g-iul1gz-jT16-lM</t>
      </text>
    </comment>
    <comment authorId="0" ref="R54">
      <text>
        <t xml:space="preserve">2_ABaOnucGxBiYDguEVZppMRez_sl3JqpzrAAVOsYCNsF4Ln3FfJ-zrwhF6OV6kqpkpWCuk8U</t>
      </text>
    </comment>
    <comment authorId="0" ref="R55">
      <text>
        <t xml:space="preserve">2_ABaOnufYk8jvu3aUAWj9404b-EBJgGSUiJJze1psngk7LCFGJZRP3Nmy1ruENvw1fzWja-c</t>
      </text>
    </comment>
    <comment authorId="0" ref="R56">
      <text>
        <t xml:space="preserve">2_ABaOnueqnY2RXVqRwPi6VC__D8LHmyn63Je5t_GTXnfLoHXhIlrtL7E2zqjNkNk-DbtyLy8</t>
      </text>
    </comment>
    <comment authorId="0" ref="R57">
      <text>
        <t xml:space="preserve">2_ABaOnudSPw8a9ao9HtL4TedNJzD_JnZegvh_UfDfdgszEaMLyF9Uz58NvENmGXSKoWTWgbQ</t>
      </text>
    </comment>
    <comment authorId="0" ref="R58">
      <text>
        <t xml:space="preserve">2_ABaOnudmrUhq_UnFtjG7EcSJAqCJc6hyvPTbB55sGIBSTjU8B_2dgdYXTFMKHhwjJs_14G0</t>
      </text>
    </comment>
    <comment authorId="0" ref="R59">
      <text>
        <t xml:space="preserve">2_ABaOnuev-FtVBB4E6c_IA1fxiq38L6obMtbcGcfsjdBEqs2BF03Yid0mwy3qvJu2y0dIrlc</t>
      </text>
    </comment>
    <comment authorId="0" ref="R60">
      <text>
        <t xml:space="preserve">2_ABaOnufZ7g6Cp91m-A977xV7d_vGlEDaxprWvaZIUxMiyUDn_rC4-6TuYYPITMBA1XRuJ7c</t>
      </text>
    </comment>
    <comment authorId="0" ref="R61">
      <text>
        <t xml:space="preserve">2_ABaOnudNTBSL6UYQrmvHGCO1gaDwOnpBgWfXxcN_gMr3WjLdo4ZYYU21rMVK5t4B1nP3vCU</t>
      </text>
    </comment>
    <comment authorId="0" ref="R62">
      <text>
        <t xml:space="preserve">2_ABaOnueuDPA5QHWX6sD41v72d3W3nYMDNbScw5IWK3Q0jaCg44KjMlQDuWboz3La8sXNH-0</t>
      </text>
    </comment>
    <comment authorId="0" ref="R63">
      <text>
        <t xml:space="preserve">2_ABaOnucfc47Vjul--VF9-zrn8v045PicVf24lWW9ZLWcMjyHXy6X4WMQKJxlt7TAgTG3JOo</t>
      </text>
    </comment>
    <comment authorId="0" ref="R64">
      <text>
        <t xml:space="preserve">2_ABaOnufKeXpZAMJr19unewiXiHh8JhLh1Ao7HrcZ5Tz3O23-j502XLS7N_ch0SxMvk6yWgw</t>
      </text>
    </comment>
    <comment authorId="0" ref="R65">
      <text>
        <t xml:space="preserve">2_ABaOnucA0K6TnL_K4_MnqvKbCupGbcD1mB0pSoCpTeCy8BP4-HXulmU9p3uzuit6_E-GBus</t>
      </text>
    </comment>
    <comment authorId="0" ref="R66">
      <text>
        <t xml:space="preserve">2_ABaOnucYVpIQnJdk-MKs22byLjmaYrp1SfLGYtNrtSt6wE0cKKyc2NOFdRbP3Rvl3lbAUVo</t>
      </text>
    </comment>
    <comment authorId="0" ref="R67">
      <text>
        <t xml:space="preserve">2_ABaOnueNAdtUDAFnkL3Oi2Yse5AqHJcU1AFSz2HWpa_jwD9PARscXegJ1l4iHihNbWfamks</t>
      </text>
    </comment>
    <comment authorId="0" ref="R68">
      <text>
        <t xml:space="preserve">2_ABaOnuentFJbkRMp5LBan7R5urMREkjUVzDnkAGBIojJsIKj6v3YACe4HfD-ak17obXiQVo</t>
      </text>
    </comment>
    <comment authorId="0" ref="R69">
      <text>
        <t xml:space="preserve">2_ABaOnudnQbnS2_RY-2uAhJxxhbhPeCYCRzadGhzGwaeVgCTO7Dimf5gj7Gms39vq8AtX8pM</t>
      </text>
    </comment>
    <comment authorId="0" ref="R70">
      <text>
        <t xml:space="preserve">2_ABaOnucCn4MgZ697JsAk7NIJC-Wg02CM4OjZNutudgzma9CEudWsO6aXQ-KXI7MR9XUdOWw</t>
      </text>
    </comment>
    <comment authorId="0" ref="R71">
      <text>
        <t xml:space="preserve">2_ABaOnudxfxBV6EhmuqUSo7tu5tPnNfr4bQ-TveUkGuYZm_QYTXZTsTBKeS7RbjjftQPZC7Y</t>
      </text>
    </comment>
    <comment authorId="0" ref="R72">
      <text>
        <t xml:space="preserve">2_ABaOnuftoHgkrx-lUXbI24idTSUTpyfgm_0JsA8VLxUvcV0s9M_rfQCTPeaHMZdmysX1We8</t>
      </text>
    </comment>
    <comment authorId="0" ref="R73">
      <text>
        <t xml:space="preserve">2_ABaOnudGjGZXwbwP5RuoENeLhuJaSjUK8VmyoigrexIReAln98NrSiPwMFwlD2kQEIUHWIc</t>
      </text>
    </comment>
    <comment authorId="0" ref="R74">
      <text>
        <t xml:space="preserve">2_ABaOnucGKhVSGibjb5BG1OBQA7wM1LQy9_RsF-FTpA8ODr9P5Y6GH2annrbc2M_PS86-6tQ</t>
      </text>
    </comment>
    <comment authorId="0" ref="R75">
      <text>
        <t xml:space="preserve">2_ABaOnuderEfd8ulevCSlZIG2Wk_-QbAExXGuI-t_ymtv7JOT3H-G3Ztj7hcLwuOFMgmhTCM</t>
      </text>
    </comment>
    <comment authorId="0" ref="R76">
      <text>
        <t xml:space="preserve">2_ABaOnueY9QKr_24R8pX20L939kp0ilceLk3RmqqjAI9JIAHkazIwJ6j_IATMmtJm4XNKk8o</t>
      </text>
    </comment>
    <comment authorId="0" ref="R77">
      <text>
        <t xml:space="preserve">2_ABaOnud9Jl8pUS3awENIFh7rD0aI1b_OnsymoLYZZSNabmVdVuQTdxkAlOPuUhdrJ-51M0I</t>
      </text>
    </comment>
    <comment authorId="0" ref="R78">
      <text>
        <t xml:space="preserve">2_ABaOnufAFB6EABgIiO6MK7A7EQ0kTi3ZItH3d5vSOi6L86Z4VS-7GG9t4jb0HHSe16dhYDk</t>
      </text>
    </comment>
    <comment authorId="0" ref="R79">
      <text>
        <t xml:space="preserve">2_ABaOnuc6V7GSYhIb1ytloloV6YVFGhGbHFJbvFqh0OAXwkJ0APYoIWYn_B7k8e2_yNz0kc4</t>
      </text>
    </comment>
    <comment authorId="0" ref="R80">
      <text>
        <t xml:space="preserve">2_ABaOnufPVnm4acUwKONPxCUJNMBEG26p4_63FcQJ7jk6fN3lEyeA1ehBe-okaw7Og_4oVH4</t>
      </text>
    </comment>
    <comment authorId="0" ref="R81">
      <text>
        <t xml:space="preserve">2_ABaOnufofSp0WayUXOXlh-mckT0z9dnIJL4YPKrx25KzAUCR1Iv2comlyoFcA0YHtXPUDV8</t>
      </text>
    </comment>
    <comment authorId="0" ref="R82">
      <text>
        <t xml:space="preserve">2_ABaOnucCv3mbQIzy1g4M4nchi7n-TlD_1KmpNQ425rvQ70_QNoG7kv6dr4Lmntp0DuurINI</t>
      </text>
    </comment>
    <comment authorId="0" ref="R83">
      <text>
        <t xml:space="preserve">2_ABaOnuf71plI8D7UViCd8MqCkngMN2hTugse50JzznuRsMvwX2iLCEQG0b-ILK2k8_kXHqs</t>
      </text>
    </comment>
    <comment authorId="0" ref="R84">
      <text>
        <t xml:space="preserve">2_ABaOnudWG0-fKpRrsO_CjBSh8zv-sqSdGlHGM3jXuvgnWFxqZf8k4AE2CbSkDmAXMHCNeeg</t>
      </text>
    </comment>
    <comment authorId="0" ref="R85">
      <text>
        <t xml:space="preserve">2_ABaOnufc2tdfBjqf0p_xvRku9CV759DTDPdm2wWRySiBDtNc02cWiIjJ9wU_hdfdm-M1p7A</t>
      </text>
    </comment>
    <comment authorId="0" ref="R86">
      <text>
        <t xml:space="preserve">2_ABaOnucDD7tcTp0Ee7qXj9aN2j_bV1d7GogunlbjX46pIJti2ci0R04kdYWOmXME-HRC8Cc</t>
      </text>
    </comment>
    <comment authorId="0" ref="R87">
      <text>
        <t xml:space="preserve">2_ABaOnud7OHqF7DhtmXHD90S6WA5tFBVOebnIJRCOw5kcNtjEDGAPwWoYoZeLbYBy1WEWbLw</t>
      </text>
    </comment>
    <comment authorId="0" ref="R88">
      <text>
        <t xml:space="preserve">2_ABaOnueNY-7GYAUY7OP6xEuex1iFFZIntMjSnKJ0IX5qRHyoRfhD3ZWHPmrZwUptdSEIUEs</t>
      </text>
    </comment>
    <comment authorId="0" ref="R89">
      <text>
        <t xml:space="preserve">2_ABaOnuecB3pWDPhZ5IA68no_ORlp-HOOVECqtB-MYZ7wrMzSC4wts54NLn7Hy6da6bSyACc</t>
      </text>
    </comment>
    <comment authorId="0" ref="R90">
      <text>
        <t xml:space="preserve">2_ABaOnudTiFT2-Um9kzN1naUqIwX2YtWb83YHx2XZ2xrSz1BzN9Yzq6-CGuHj04faxVOHshs</t>
      </text>
    </comment>
    <comment authorId="0" ref="R91">
      <text>
        <t xml:space="preserve">2_ABaOnuel8JJNbii8GvuA6v9ymBti0b-Tr8s9Wtmy3nxV7hYzJIKrQGrxiiwjNh2nYeLo14s</t>
      </text>
    </comment>
    <comment authorId="0" ref="R92">
      <text>
        <t xml:space="preserve">2_ABaOnudzyA63q6AQNGdIqwxKECebfqhmpL7ttrHvI-GaTmqKVd-akmzRpirzf9LntDBuJzk</t>
      </text>
    </comment>
    <comment authorId="0" ref="R93">
      <text>
        <t xml:space="preserve">2_ABaOnuf8nK49w2K2avGqBDVdkC53MmzOde4DPGS2gcw-hmw8tyJCmb2r-IMUcMb1ql6IIIc</t>
      </text>
    </comment>
    <comment authorId="0" ref="R94">
      <text>
        <t xml:space="preserve">2_ABaOnudEU0ySUWp5eG5_ahzxzmq1sgb9ACv4ZlNaVwDQcx18GXdvudd9ujAyF3XS3nMK9KQ</t>
      </text>
    </comment>
    <comment authorId="0" ref="R95">
      <text>
        <t xml:space="preserve">2_ABaOnufxWLWbHwlJVsjMYYiRTxO9CSo03uu125cA6cNONnQX0CI7Wu6KJJiz2gR1mcbYPvY</t>
      </text>
    </comment>
    <comment authorId="0" ref="R96">
      <text>
        <t xml:space="preserve">2_ABaOnucMlmwjAixNJUA2Nnr6iwNweMh3-oPucsGVXGa6raF87UmFMBuzSYRgjK9iO5eFnDA</t>
      </text>
    </comment>
    <comment authorId="0" ref="R97">
      <text>
        <t xml:space="preserve">2_ABaOnuecu-dP9_sv0R1nmkV4UUPsRKjeYo8BT8bhDOuhIeU8fyCVQ1R2ZA-aHzGrFQWQFiQ</t>
      </text>
    </comment>
    <comment authorId="0" ref="R98">
      <text>
        <t xml:space="preserve">2_ABaOnucnw4WF52_ubFUiCdRqy7_1XiT3YyJ3i_1W9mIgeUcOKkTAjLXj4DYVP5Xf1OvOZXA</t>
      </text>
    </comment>
    <comment authorId="0" ref="R99">
      <text>
        <t xml:space="preserve">2_ABaOnufXKKYdlrrp7t9lhgbsZu45pxrV36q_d6I4ltp3DCvSywbNe5V1ST5dwMPPq7dEWws</t>
      </text>
    </comment>
    <comment authorId="0" ref="R100">
      <text>
        <t xml:space="preserve">2_ABaOnuejQcbiusEE3VnyYxPBxe0TqY2dZsVW1_xWBgdCLzOFSpQY4DCLqfCpkGRCUU6ypz8</t>
      </text>
    </comment>
    <comment authorId="0" ref="R101">
      <text>
        <t xml:space="preserve">2_ABaOnudEGValB5lgJZCn05GRS-bM-TCKG4csUNlEr_oD9aTYZjhlvH7awATQYQJLrhsncv4</t>
      </text>
    </comment>
    <comment authorId="0" ref="R102">
      <text>
        <t xml:space="preserve">2_ABaOnudjzdbp8ETRLq1OWSp3UKez1SmuEXPTc4IoglQ8Y73PxOFqlA63U1cHyNecrI0Gav4</t>
      </text>
    </comment>
    <comment authorId="0" ref="R103">
      <text>
        <t xml:space="preserve">2_ABaOnufiqTLFwLkceCnAx-j7rvgQOn41U4dpkcMYKLVjKMDvj1hX6H5wZRuPHnjuYa4ERE0</t>
      </text>
    </comment>
    <comment authorId="0" ref="R104">
      <text>
        <t xml:space="preserve">2_ABaOnueAgyda-rmacqfrk7ZTQEBl6omtC2B7RHwmdNinXhKPOO2bwA5oPDteLvhbI4aXtmE</t>
      </text>
    </comment>
    <comment authorId="0" ref="R105">
      <text>
        <t xml:space="preserve">2_ABaOnudPEyzFLUF9jtQrgw6lTmJCnmqJO-xPs_rRlpEC4ajoHLy4-62asTVfsY6mNxokfUA</t>
      </text>
    </comment>
    <comment authorId="0" ref="R106">
      <text>
        <t xml:space="preserve">2_ABaOnudYeyDozTKnHkCsV4PWD-y0clkChwU8bhfGMm0vZ7K9io_Tj5iWfpM6SgZttqsZH9g</t>
      </text>
    </comment>
    <comment authorId="0" ref="R107">
      <text>
        <t xml:space="preserve">2_ABaOnufAA60uUSW7kaNyoGxO1iugBUn2GfIXicgBIyFj6k68gDjD7uTZv0iUTLgB9rrttpI</t>
      </text>
    </comment>
    <comment authorId="0" ref="R108">
      <text>
        <t xml:space="preserve">2_ABaOnuc2gDlc8wyTkDBHPvKFpSkHF2Vlsr-GSRyoDQXeYnAEhKCcx9MN3PC-xjjB0kBLq08</t>
      </text>
    </comment>
    <comment authorId="0" ref="R109">
      <text>
        <t xml:space="preserve">2_ABaOnucDId71PqwidK-s8sGlyMVQEzfm4qhiPYh7Bdpl5zIMAYXVIjdnI3OigIwMJmS_mCI</t>
      </text>
    </comment>
    <comment authorId="0" ref="R110">
      <text>
        <t xml:space="preserve">2_ABaOnudi-rETAXZ2y6iefc0QdmIzKIgwQi2XRTV0c_yCn5hO12Rvy_ItIwBkkpECILhMRrc</t>
      </text>
    </comment>
    <comment authorId="0" ref="R111">
      <text>
        <t xml:space="preserve">2_ABaOnudJHj-e2KW4v2u3Zfl_WJWunEOSVCDhOfDqKAviToZMKgOYjHfE3kJY0HMNU3Im29M</t>
      </text>
    </comment>
    <comment authorId="0" ref="R112">
      <text>
        <t xml:space="preserve">2_ABaOnucLUGhaqbROnnYge9TClmJs6b-AY_hTLA92rxFQktsJi7_PUNJHJaM1XfT84JPn71s</t>
      </text>
    </comment>
    <comment authorId="0" ref="R113">
      <text>
        <t xml:space="preserve">2_ABaOnuc2eco4Plk7n9KK6jgzHMLZoVXnlLDT3SGIQ9JFWenHe9dbsE9uTMJCmSoBTfrPzBA</t>
      </text>
    </comment>
    <comment authorId="0" ref="R114">
      <text>
        <t xml:space="preserve">2_ABaOnuddXh3Lrv2APLBAezikhPQfXG6-_oHBn05_AtR4TBou6Y0FweYKLGMJO5qIAnwPLW0</t>
      </text>
    </comment>
    <comment authorId="0" ref="R115">
      <text>
        <t xml:space="preserve">2_ABaOnuf14u27zufyfUORv3hfYgAK06yYB10ItNtAgYW84VxZZ7t1_o_LSqQ9PbVHsts3CNI</t>
      </text>
    </comment>
    <comment authorId="0" ref="R116">
      <text>
        <t xml:space="preserve">2_ABaOnuflExgcteCGqDbevYgp6WE-XqG6bU89RLb6OMdBvH49Il7tBgnlLTbabGiF1nJp3tY</t>
      </text>
    </comment>
    <comment authorId="0" ref="R117">
      <text>
        <t xml:space="preserve">2_ABaOnucOxKAbsS2rA5HfbwrAEMETYvq-_BIcOdLExCQNohwnnq-EpFWqYmujz6OLFLAp4gk</t>
      </text>
    </comment>
    <comment authorId="0" ref="R118">
      <text>
        <t xml:space="preserve">2_ABaOnudmgtU5lu0rs8Dgg7sFcsGHDJrOEYReQDIVa5fj0Ioh4w26xXktRv1c39AE7WWUpHU</t>
      </text>
    </comment>
    <comment authorId="0" ref="R119">
      <text>
        <t xml:space="preserve">2_ABaOnueiArcGe7jObnsaZ3FmPUDQy610K5dWW3sTdxnTvH5o-a2t7_UtCYkODgaYwSCS7AM</t>
      </text>
    </comment>
    <comment authorId="0" ref="R120">
      <text>
        <t xml:space="preserve">2_ABaOnufQxGY5Yd4UBG4FqMtJmFkn7D3j7hA25vDI1wxOLE1A-b12gLdKGyVgmShHdlr0Wi4</t>
      </text>
    </comment>
    <comment authorId="0" ref="R121">
      <text>
        <t xml:space="preserve">2_ABaOnudgbjZAZaMUaafoVYjxjcPuuIldqXXmW2YHWEVZziQhBufhiseF3uofGqwf8YH8zk8</t>
      </text>
    </comment>
    <comment authorId="0" ref="R122">
      <text>
        <t xml:space="preserve">2_ABaOnueEg9ox4PHOqrWZDVaAoFfufU02BJIi_kUfpDG12WLrSUY9zeBjSL8081K1ZfbKK5o</t>
      </text>
    </comment>
    <comment authorId="0" ref="R123">
      <text>
        <t xml:space="preserve">2_ABaOnueOVsLNqWV6T8MOVdEasLDGJd0ks-3u7BaNLPplvhtnUlBV2_ixlyz6cIS-WpN0AY0</t>
      </text>
    </comment>
    <comment authorId="0" ref="R124">
      <text>
        <t xml:space="preserve">2_ABaOnufYhhpXyPw9LweTcQPMuCKIJjB9wsgaBtG-U3Khbk-_jaq6NHaCWB0XO9Cuq2ot1jE</t>
      </text>
    </comment>
    <comment authorId="0" ref="R125">
      <text>
        <t xml:space="preserve">2_ABaOnudIb0h9ypmATpoHsDMtH1bdzCvgooPg6RUuEcZMiMaE9py5w-IpK6Vo9qm3PPDS7JA</t>
      </text>
    </comment>
    <comment authorId="0" ref="R126">
      <text>
        <t xml:space="preserve">2_ABaOnufapSHo8mbnQydbEvm4x-udXT6zgSQHSGotQLw4TAAFDafsnQD444JrmR5g8E4BajQ</t>
      </text>
    </comment>
    <comment authorId="0" ref="R127">
      <text>
        <t xml:space="preserve">2_ABaOnuep02MJnE5aKVxucER1wf3ip4hng4J1Ax33UxUsPYneSYO7OzxzOinrnnBOk5pcaRg</t>
      </text>
    </comment>
    <comment authorId="0" ref="R128">
      <text>
        <t xml:space="preserve">2_ABaOnudA9VSX8WX-xWyb9TZ3johjmVQ8jekuZrd45xzMNThugWymqk8ZCJyPmbmiq5N9im0</t>
      </text>
    </comment>
    <comment authorId="0" ref="R129">
      <text>
        <t xml:space="preserve">2_ABaOnudbfMZed3kLOBZy9B_veoEbgRz7uOejZCuVbToMIkxo8c1UBJlG89U0i82N5RP73QE</t>
      </text>
    </comment>
    <comment authorId="0" ref="R130">
      <text>
        <t xml:space="preserve">2_ABaOnuevv-iCBZApdZSRmXkCEcnpkKbJtRnWOsdVKqjypK8tzYEhiI8Zb1mOMqMoS1uDNWE</t>
      </text>
    </comment>
    <comment authorId="0" ref="R131">
      <text>
        <t xml:space="preserve">2_ABaOnudTvUDMCVDncKX-UMkZzR_pJMRESV9MJKnSnztrDfzzMOe2QHrlvWMf_cDgIzV5lfk</t>
      </text>
    </comment>
    <comment authorId="0" ref="R132">
      <text>
        <t xml:space="preserve">2_ABaOnucbhsGegkcevA1VUki2R42PhCzuAj3Im_1K-vDqQMtg8jPegzmvYK152m-XBkPB6PQ</t>
      </text>
    </comment>
    <comment authorId="0" ref="R133">
      <text>
        <t xml:space="preserve">2_ABaOnudLQbLnbKrtINBssyLCbaPM3Fi8nSSiCcRvldEq30ahsu43w72xGC-d1CW4itE6QhI</t>
      </text>
    </comment>
    <comment authorId="0" ref="R134">
      <text>
        <t xml:space="preserve">2_ABaOnueD4lfjQmvxJvcmh06Rym2gbqG5s1kXaoKhyxc7oQaUDQjphcQQOnECVNtw2Oirxqk</t>
      </text>
    </comment>
    <comment authorId="0" ref="R135">
      <text>
        <t xml:space="preserve">2_ABaOnucNby3AdTuk9WqvcITSm8SRg3bbI2L_JhkW8HwaMznZdPj3Prgotv2MPKQH-l6IItc</t>
      </text>
    </comment>
    <comment authorId="0" ref="R136">
      <text>
        <t xml:space="preserve">2_ABaOnudACpURzwzfFmasXao6qutRjKjhudfkhF2lpvQyrlCMpH_l2F3i3ckqGJ4Fq_b6o3o</t>
      </text>
    </comment>
    <comment authorId="0" ref="R137">
      <text>
        <t xml:space="preserve">2_ABaOnuda0_8l5gCsqo8j7oNgTPAwvuYrETqbMb16utt2nEUtKHd-CHGiI2uBCbNYt4FmWdg</t>
      </text>
    </comment>
    <comment authorId="0" ref="R138">
      <text>
        <t xml:space="preserve">2_ABaOnuchYc7T7HMr8E2WTookYKDCCw39SF0R0PRRRkUBR1znf0s5bd9cP1HxvaugQ1WRpGc</t>
      </text>
    </comment>
    <comment authorId="0" ref="R139">
      <text>
        <t xml:space="preserve">2_ABaOnufBUFMzKMT14-XSf5_lgwRL5hqPNFpJWKtI78vZiOuSS4wxhRN_HFqgh9D_YVjZQeM</t>
      </text>
    </comment>
    <comment authorId="0" ref="R140">
      <text>
        <t xml:space="preserve">2_ABaOnudXGTwwV1A8N0HIogEyWSEgj1PW0uEf3fWj5dBxxNFN1x0TEpxSL48Qtzq9aHdkI0s</t>
      </text>
    </comment>
    <comment authorId="0" ref="R141">
      <text>
        <t xml:space="preserve">2_ABaOnucZ1TSZZWu3oOa7lrYd3aL7N1Wwqa9sJi-bE3Tr4Ky0rXevo_4_pGZEcZHg-7HJMjM</t>
      </text>
    </comment>
    <comment authorId="0" ref="R142">
      <text>
        <t xml:space="preserve">2_ABaOnueJX-wBmEL-RtW1qcKKsJqKE6mF-YJSDsQD3_NnmqCT5LLnRAJy8buI2Ka541AVy9U</t>
      </text>
    </comment>
    <comment authorId="0" ref="R143">
      <text>
        <t xml:space="preserve">2_ABaOnudaSAQQivuQ_oU3_i-gj0Hkho7lXIc5vYzhlm2VHMDWH6bk3Zeg_4vTyw4JK9zHpvg</t>
      </text>
    </comment>
    <comment authorId="0" ref="R144">
      <text>
        <t xml:space="preserve">2_ABaOnueFj9-2aGWxFJfqudZ1F5rxX-9TnnVYTGXbcZiqYNPJQTAtadXvfdflr9CO94vzgbQ</t>
      </text>
    </comment>
    <comment authorId="0" ref="A148">
      <text>
        <t xml:space="preserve">2_ABaOnue4Eu6_Ad35HQhEU7MQSDxx17F95eiNQfCTzbj_F8Xk82lcrT_WxsY8_naD6h68x0g</t>
      </text>
    </comment>
    <comment authorId="0" ref="A149">
      <text>
        <t xml:space="preserve">2_ABaOnudjurLp6LV8QSahFYxPW0qh8ygNrZhaYXI-VylRQ5sgRXEOmiHoqS6LhnSUJF_A7Mc</t>
      </text>
    </comment>
    <comment authorId="0" ref="A150">
      <text>
        <t xml:space="preserve">2_ABaOnud-xDqTyBXea4vq8CNk3uI-O3hu3OSTGrPINCeMtBidsMMgHkutA8HFzIcq2Nxq4R0</t>
      </text>
    </comment>
    <comment authorId="0" ref="A151">
      <text>
        <t xml:space="preserve">2_ABaOnue1kh6j4-3aIPvR8566wUur47LHHE5vyUmInFPBGyMbbD6tWa9FKc7hXC1FUpeLMJQ</t>
      </text>
    </comment>
    <comment authorId="0" ref="A152">
      <text>
        <t xml:space="preserve">2_ABaOnudEJTUEVNc2CSaWnLue_fW9mhxr6KdaaPeBFRitTJOrR4RIsknyxbRjEXZuaxok4kU</t>
      </text>
    </comment>
    <comment authorId="0" ref="A153">
      <text>
        <t xml:space="preserve">2_ABaOnuca4xu6hq5XvIc13-ntaT6bMlDoY4n_WcD_w4XPC_MVgzUsj1wUop-IjKrK3pKJxDk</t>
      </text>
    </comment>
    <comment authorId="0" ref="A154">
      <text>
        <t xml:space="preserve">2_ABaOnudHB8wKML1X73pfGpgETyKbERSBy5E_SSv_y90-USBEPJ2DN4cjujjLAhG9WW52j_k</t>
      </text>
    </comment>
    <comment authorId="0" ref="A155">
      <text>
        <t xml:space="preserve">2_ABaOnucbmw1RilpVWedpHjBFAUNYMOXo2q_OnOhVbdxYZSpyb1afIMDLrxKBY37Zvjc5Xic</t>
      </text>
    </comment>
    <comment authorId="0" ref="A156">
      <text>
        <t xml:space="preserve">2_ABaOnudJzcqFjAG1XvUNWcKlFZeawfyXRSiLHHmz0QhFN40yJkJXoIMRY_6NyWx0uxXGU1A</t>
      </text>
    </comment>
    <comment authorId="0" ref="A157">
      <text>
        <t xml:space="preserve">2_ABaOnufqRSi40ZhvlzspC-Vk8CDJ5RbjEG5ck5Zohcb1QQECiu38SMaTlsAH6VUM4_tRjYY</t>
      </text>
    </comment>
    <comment authorId="0" ref="A158">
      <text>
        <t xml:space="preserve">2_ABaOnuczbTnIl-__iv7abFm9k7FdjOi1zpdcVefX2FPV5FjjMl_JdFO5ZLMPwAwYkjdtXWw</t>
      </text>
    </comment>
    <comment authorId="0" ref="A159">
      <text>
        <t xml:space="preserve">2_ABaOnueqMXi5tSqNk49VVxy61YJ-VKr5aAxrZUJjOFqb_g_46CdV0T-WZbtEnCZDtgzeO8U</t>
      </text>
    </comment>
    <comment authorId="0" ref="A160">
      <text>
        <t xml:space="preserve">2_ABaOnufC8y503gzhce0cm96FFTNhQ4B3gQSHmVWuB7GGKbEmBHxhecskjENFRVXFCrcFAg4</t>
      </text>
    </comment>
    <comment authorId="0" ref="A161">
      <text>
        <t xml:space="preserve">2_ABaOnud6vK1U6ocPiYV0eHtp-aD1Jy8R1fHifm-izkmhVVHkRglaSD2-vtCjPj9xbBq4Rdg</t>
      </text>
    </comment>
    <comment authorId="0" ref="A162">
      <text>
        <t xml:space="preserve">2_ABaOnudOZMLJJFL-J0hJ9fD9xL9BhW5VRcHLMgz-KPk7dMliRZ13Z401hRPAh1DGRvKDhoo</t>
      </text>
    </comment>
    <comment authorId="0" ref="A163">
      <text>
        <t xml:space="preserve">2_ABaOnudw6QRmmFAKoeX4tBp05NDTXUo0du2C3cvSQayHH5_r8yCdObh-XUsjGfSF_2RGESY</t>
      </text>
    </comment>
    <comment authorId="0" ref="A164">
      <text>
        <t xml:space="preserve">2_ABaOnucnGo7KBHFENF-jgHWkiRhzKeeOVndIybRvisjxoiZ745JMg0xP3tbB7GbpiG-hu3A</t>
      </text>
    </comment>
    <comment authorId="0" ref="A165">
      <text>
        <t xml:space="preserve">2_ABaOnufTJdP4DiN6eWLgFMUgRIvWv6lNkwbiCq5_81-Sg4b5zkCtXKMw0CNQ2zZSap1BgrM</t>
      </text>
    </comment>
    <comment authorId="0" ref="A166">
      <text>
        <t xml:space="preserve">2_ABaOnuecrtdfp4dLK5zxwKJufZRTJ8GiN4GjM-Yuwya_JnJ7NlIaA4o3lH0dljQXfYsiLrA</t>
      </text>
    </comment>
    <comment authorId="0" ref="A167">
      <text>
        <t xml:space="preserve">2_ABaOnufWELP0RrG4QN1k4zZsFcckF7oztfwh4edD8w9itsYPC7T3xUH1Ysr6w41F4abFC-8</t>
      </text>
    </comment>
    <comment authorId="0" ref="R181">
      <text>
        <t xml:space="preserve">2_ABaOnue0B8eTB1bgs9AKq3MYcGupJE9Pa4T1q6CgAX6A86sSb7bJ0jZ7in2QS95dUR02eUQ</t>
      </text>
    </comment>
    <comment authorId="0" ref="R182">
      <text>
        <t xml:space="preserve">2_ABaOnufSe-K4cq-NJzeLK3wj4Y_S0qPeBMhaCKuXn8XQ4mt_AJoKnjihkExZr2gOF9emXVw</t>
      </text>
    </comment>
    <comment authorId="0" ref="R183">
      <text>
        <t xml:space="preserve">2_ABaOnuf8TVNHOdmev-PP2A8c67ZCG4ZJXdHF5YZOjbLY64ooc9DIvJBpDtyQs_3Gffwa9HY</t>
      </text>
    </comment>
    <comment authorId="0" ref="R184">
      <text>
        <t xml:space="preserve">2_ABaOnufa9Kql86ybJD95_ECBxDmZNGdn6t6Y-LC86kpDelj6Hv5E6YGyp-N4RZFrStD9hD8</t>
      </text>
    </comment>
    <comment authorId="0" ref="R185">
      <text>
        <t xml:space="preserve">2_ABaOnuewFosyeLhX31DrXynH0zPZwmL4A9K-ukSzsMJoK51-jIuB6NkLQ7-d48g6IMQ7VQk</t>
      </text>
    </comment>
    <comment authorId="0" ref="R186">
      <text>
        <t xml:space="preserve">2_ABaOnucCXX--N5EwqeVfy2aK2vyY7N_zXJpXNhgjYqduE08IzTYi7S4lkc1DMXU7Yf9pB1Y</t>
      </text>
    </comment>
    <comment authorId="0" ref="R187">
      <text>
        <t xml:space="preserve">2_ABaOnucXHVz5ycAoDrgcnYMKgPVzXOVMOlzXCrDL20oQsa1hv4drzZ7ZgW-xSKOwDzVmWqQ</t>
      </text>
    </comment>
    <comment authorId="0" ref="R188">
      <text>
        <t xml:space="preserve">2_ABaOnuftFk9ahxKpmmYhYVmJBpFeVUSKyGQOWrQQAAh411A3dKBOa4_usLWee2de9ABgh2c</t>
      </text>
    </comment>
    <comment authorId="0" ref="R189">
      <text>
        <t xml:space="preserve">2_ABaOnuffgp6vxBc5m0Fp9yIJNgCO2BzoS7lLUU_0MMmLQ2SAJT2tOQpaMX93M6MiBQ8HXRg</t>
      </text>
    </comment>
    <comment authorId="0" ref="R190">
      <text>
        <t xml:space="preserve">2_ABaOnudCzgpt_qNfPsqWUfveemP3HwpBd8-id2baarY4-jYIvLDv3FT7xIxf5eoYNFgn0HM</t>
      </text>
    </comment>
    <comment authorId="0" ref="R191">
      <text>
        <t xml:space="preserve">2_ABaOnudwNsNBw_ir_Qk8T3V7eCtoFcfiC6wnA1viO2A1p24sn96iCG9i4xfBNan8Yl1uAq0</t>
      </text>
    </comment>
    <comment authorId="0" ref="R192">
      <text>
        <t xml:space="preserve">2_ABaOnueO9t6J75kprszqUrM-pOUZ5MlQro6s-wKYVD6VpG4Q8nMaYz2FkfxIF5xgFHZz9H4</t>
      </text>
    </comment>
    <comment authorId="0" ref="R193">
      <text>
        <t xml:space="preserve">2_ABaOnudQSvO0aRJ_L5Fzgb23ZbY_rcFobGCgyJ0xhYgZrPWXz5_w3fTm87_HXgcees_LNm8</t>
      </text>
    </comment>
    <comment authorId="0" ref="R194">
      <text>
        <t xml:space="preserve">2_ABaOnuf_4UoxIMt-AxxVI3Ta2RDm9Ivtfi0_z68Py5Q2iLQuoYCd1iKD5NQoLhzHoKWsFoM</t>
      </text>
    </comment>
    <comment authorId="0" ref="R195">
      <text>
        <t xml:space="preserve">2_ABaOnufARyLl9QUv9N3BPlQpLRvm7orFZyzheTDwlCthoWjZ_UEOW5sg6HPmZI2_FcCwi2A</t>
      </text>
    </comment>
    <comment authorId="0" ref="R196">
      <text>
        <t xml:space="preserve">2_ABaOnudKAUzBJpCPbAzhQzAXUTOxT2n997ySWwNq9qD0OST61eoaGNUkwg-3YKU4vrmufzE</t>
      </text>
    </comment>
    <comment authorId="0" ref="R197">
      <text>
        <t xml:space="preserve">2_ABaOnueSx2rYUS-jvgXdwEDPACDCPCh33u2wDGbBIoVTi3wPhIBt9PeBruE11pKMKI6f9oI</t>
      </text>
    </comment>
    <comment authorId="0" ref="T197">
      <text>
        <t xml:space="preserve">2_ABaOnueSx2rYUS-jvgXdwEDPACDCPCh33u2wDGbBIoVTi3wPhIBt9PeBruE11pKMKI6f9oI</t>
      </text>
    </comment>
    <comment authorId="0" ref="R198">
      <text>
        <t xml:space="preserve">2_ABaOnucteOm6yS1dq1t_yJJBnN0a4iDJHRx_cUpW0J1z7XrpUxWY9o_J9FJ4HzfYrkmhbrU</t>
      </text>
    </comment>
    <comment authorId="0" ref="T198">
      <text>
        <t xml:space="preserve">2_ABaOnucteOm6yS1dq1t_yJJBnN0a4iDJHRx_cUpW0J1z7XrpUxWY9o_J9FJ4HzfYrkmhbrU</t>
      </text>
    </comment>
    <comment authorId="0" ref="R199">
      <text>
        <t xml:space="preserve">2_ABaOnucGjioEv5l48RZD-NIxQikcQDd7CKYFsp53GPXjwpfiyMyqKse8ZDd3S3oVouUwMlk</t>
      </text>
    </comment>
    <comment authorId="0" ref="T199">
      <text>
        <t xml:space="preserve">2_ABaOnucGjioEv5l48RZD-NIxQikcQDd7CKYFsp53GPXjwpfiyMyqKse8ZDd3S3oVouUwMlk</t>
      </text>
    </comment>
    <comment authorId="0" ref="R200">
      <text>
        <t xml:space="preserve">2_ABaOnueVMHCDfPUJ1h_jKLxVYzKSWjM5I4N27sCo6L_w4fhRbZ_A4aWQLU2obcfVM_j5xM8</t>
      </text>
    </comment>
    <comment authorId="0" ref="T200">
      <text>
        <t xml:space="preserve">2_ABaOnueVMHCDfPUJ1h_jKLxVYzKSWjM5I4N27sCo6L_w4fhRbZ_A4aWQLU2obcfVM_j5xM8</t>
      </text>
    </comment>
    <comment authorId="0" ref="R201">
      <text>
        <t xml:space="preserve">2_ABaOnud6QiHv4nTPkI4D-QiNPsyZWCfE2PbAsnI764TwybnOG1ja6Tl2DqD-XE-MVMmOPNc</t>
      </text>
    </comment>
    <comment authorId="0" ref="T201">
      <text>
        <t xml:space="preserve">2_ABaOnud6QiHv4nTPkI4D-QiNPsyZWCfE2PbAsnI764TwybnOG1ja6Tl2DqD-XE-MVMmOPNc</t>
      </text>
    </comment>
    <comment authorId="0" ref="R202">
      <text>
        <t xml:space="preserve">2_ABaOnudo-j7-JlsxG419URxtPxo77tdVf-f-DlDqZSbpj74-XLNyhsCbq0i3YLJ_6tSJdm4</t>
      </text>
    </comment>
    <comment authorId="0" ref="T202">
      <text>
        <t xml:space="preserve">2_ABaOnudo-j7-JlsxG419URxtPxo77tdVf-f-DlDqZSbpj74-XLNyhsCbq0i3YLJ_6tSJdm4</t>
      </text>
    </comment>
    <comment authorId="0" ref="R203">
      <text>
        <t xml:space="preserve">2_ABaOnufLHrxV0WDtTDR6Bjx7cHCVR5JStMGuhDRvAT2roY7fAZ-Rll-yDPWwPUrFYeZ5Rpw</t>
      </text>
    </comment>
    <comment authorId="0" ref="T203">
      <text>
        <t xml:space="preserve">2_ABaOnufLHrxV0WDtTDR6Bjx7cHCVR5JStMGuhDRvAT2roY7fAZ-Rll-yDPWwPUrFYeZ5Rpw</t>
      </text>
    </comment>
    <comment authorId="0" ref="R204">
      <text>
        <t xml:space="preserve">2_ABaOnudE7MLpC9I-fPDnMtEltcIMsep0KGS69fDjXCC_4jtAy46ZTZgtwh7DiNKGB2GC-wY</t>
      </text>
    </comment>
    <comment authorId="0" ref="T204">
      <text>
        <t xml:space="preserve">2_ABaOnudE7MLpC9I-fPDnMtEltcIMsep0KGS69fDjXCC_4jtAy46ZTZgtwh7DiNKGB2GC-wY</t>
      </text>
    </comment>
    <comment authorId="0" ref="R205">
      <text>
        <t xml:space="preserve">2_ABaOnufYJo0Cp87B08vRnLaTSfAfculD87neKToEDvMdC_FopK2pWXTnT4dpkamabskhSis</t>
      </text>
    </comment>
    <comment authorId="0" ref="T205">
      <text>
        <t xml:space="preserve">2_ABaOnufYJo0Cp87B08vRnLaTSfAfculD87neKToEDvMdC_FopK2pWXTnT4dpkamabskhSis</t>
      </text>
    </comment>
    <comment authorId="0" ref="R206">
      <text>
        <t xml:space="preserve">2_ABaOnufiXxtNY0kKUsU-q_j3214_TgGF_J0CU-4lG069f_ltuPYmREdprFcSoZGx5u4hZQM</t>
      </text>
    </comment>
    <comment authorId="0" ref="T206">
      <text>
        <t xml:space="preserve">2_ABaOnufiXxtNY0kKUsU-q_j3214_TgGF_J0CU-4lG069f_ltuPYmREdprFcSoZGx5u4hZQM</t>
      </text>
    </comment>
    <comment authorId="0" ref="R207">
      <text>
        <t xml:space="preserve">2_ABaOnucQXPjJOZSSDT7TOO6CXkiPRmbCXVkYJycHfCHn9fvB9AkRUNJYyyClkWCB4AmI0E4</t>
      </text>
    </comment>
    <comment authorId="0" ref="T207">
      <text>
        <t xml:space="preserve">2_ABaOnucQXPjJOZSSDT7TOO6CXkiPRmbCXVkYJycHfCHn9fvB9AkRUNJYyyClkWCB4AmI0E4</t>
      </text>
    </comment>
    <comment authorId="0" ref="R208">
      <text>
        <t xml:space="preserve">2_ABaOnue0rmXu1mQVP-cBIwD4wRWMtacZb4o2bvhH95XcouuhZzduTsxwRgnhyjd_AOXXn0Y</t>
      </text>
    </comment>
    <comment authorId="0" ref="T208">
      <text>
        <t xml:space="preserve">2_ABaOnue0rmXu1mQVP-cBIwD4wRWMtacZb4o2bvhH95XcouuhZzduTsxwRgnhyjd_AOXXn0Y</t>
      </text>
    </comment>
    <comment authorId="0" ref="R209">
      <text>
        <t xml:space="preserve">2_ABaOnudZnTTrinc2jbb60XKNSCc5MvkcyOLJhCFlHKuQEyP8kkN6saJHOV8Gy01w6F0FTGI</t>
      </text>
    </comment>
    <comment authorId="0" ref="T209">
      <text>
        <t xml:space="preserve">2_ABaOnudZnTTrinc2jbb60XKNSCc5MvkcyOLJhCFlHKuQEyP8kkN6saJHOV8Gy01w6F0FTGI</t>
      </text>
    </comment>
    <comment authorId="0" ref="R210">
      <text>
        <t xml:space="preserve">2_ABaOnudLzw7O3z5GV-DGDFgkF78GmAbjekD-BnjtG4S5AAknOmCMYoZWtHYe9e7MECCS53E</t>
      </text>
    </comment>
    <comment authorId="0" ref="T210">
      <text>
        <t xml:space="preserve">2_ABaOnudLzw7O3z5GV-DGDFgkF78GmAbjekD-BnjtG4S5AAknOmCMYoZWtHYe9e7MECCS53E</t>
      </text>
    </comment>
    <comment authorId="0" ref="R211">
      <text>
        <t xml:space="preserve">2_ABaOnufzZURBAZOwTNl0H7V3kQkEiycPCOWPgPyBeVBMPOutxtixLBY_UqareefHp5BL_rc</t>
      </text>
    </comment>
    <comment authorId="0" ref="T211">
      <text>
        <t xml:space="preserve">2_ABaOnufzZURBAZOwTNl0H7V3kQkEiycPCOWPgPyBeVBMPOutxtixLBY_UqareefHp5BL_rc</t>
      </text>
    </comment>
    <comment authorId="0" ref="R212">
      <text>
        <t xml:space="preserve">2_ABaOnucTvuN8Is7rE8RDkorUOSO0D_uaXgUvBIfnt8qnUGJQHps-6B_NulHJG_jNrXE2FnM</t>
      </text>
    </comment>
    <comment authorId="0" ref="T212">
      <text>
        <t xml:space="preserve">2_ABaOnucTvuN8Is7rE8RDkorUOSO0D_uaXgUvBIfnt8qnUGJQHps-6B_NulHJG_jNrXE2FnM</t>
      </text>
    </comment>
    <comment authorId="0" ref="R213">
      <text>
        <t xml:space="preserve">2_ABaOnudAYBGit7Hd56lhjPhW7idvtkqfZ1O8UM8Ffxs8JQlwB5g14RH-_PFYiT0SaVL3jZY</t>
      </text>
    </comment>
    <comment authorId="0" ref="T213">
      <text>
        <t xml:space="preserve">2_ABaOnudAYBGit7Hd56lhjPhW7idvtkqfZ1O8UM8Ffxs8JQlwB5g14RH-_PFYiT0SaVL3jZY</t>
      </text>
    </comment>
    <comment authorId="0" ref="R214">
      <text>
        <t xml:space="preserve">2_ABaOnudMswsgjMnxOhg4fze3VCzT4tGq0TligI3y7RLSxDCvVmPxF8l6wDkXqvx4Y22gPg8</t>
      </text>
    </comment>
    <comment authorId="0" ref="T214">
      <text>
        <t xml:space="preserve">2_ABaOnudMswsgjMnxOhg4fze3VCzT4tGq0TligI3y7RLSxDCvVmPxF8l6wDkXqvx4Y22gPg8</t>
      </text>
    </comment>
    <comment authorId="0" ref="R215">
      <text>
        <t xml:space="preserve">2_ABaOnue7h6yu1E9IzMgL29bi5z_28ugl9s68AVL3hd6yx3fu4jom9Z76oBlZXdU9bbVXj8E</t>
      </text>
    </comment>
    <comment authorId="0" ref="T215">
      <text>
        <t xml:space="preserve">2_ABaOnue7h6yu1E9IzMgL29bi5z_28ugl9s68AVL3hd6yx3fu4jom9Z76oBlZXdU9bbVXj8E</t>
      </text>
    </comment>
    <comment authorId="0" ref="R216">
      <text>
        <t xml:space="preserve">2_ABaOnucX_y8jEgD19v4pgmVNxcXJFxSeilwFwCQuvNuxWisns7N336w-ZS8CHn7sLyvR098</t>
      </text>
    </comment>
    <comment authorId="0" ref="T216">
      <text>
        <t xml:space="preserve">2_ABaOnucX_y8jEgD19v4pgmVNxcXJFxSeilwFwCQuvNuxWisns7N336w-ZS8CHn7sLyvR098</t>
      </text>
    </comment>
    <comment authorId="0" ref="R217">
      <text>
        <t xml:space="preserve">2_ABaOnud7FmQGcrD-B2EDPKiDEcvh3Td1i2DUMxvhuHMe8gs7zjwRFUkF13ylWacR3pUd4WY</t>
      </text>
    </comment>
    <comment authorId="0" ref="T217">
      <text>
        <t xml:space="preserve">2_ABaOnud7FmQGcrD-B2EDPKiDEcvh3Td1i2DUMxvhuHMe8gs7zjwRFUkF13ylWacR3pUd4WY</t>
      </text>
    </comment>
    <comment authorId="0" ref="R218">
      <text>
        <t xml:space="preserve">2_ABaOnudeKAmIV2ODkllnqao88OLW8dkOrH3ePP9AEDPx--_ufnWqyMeLOP_7FjavBSnozxQ</t>
      </text>
    </comment>
    <comment authorId="0" ref="T218">
      <text>
        <t xml:space="preserve">2_ABaOnudeKAmIV2ODkllnqao88OLW8dkOrH3ePP9AEDPx--_ufnWqyMeLOP_7FjavBSnozxQ</t>
      </text>
    </comment>
    <comment authorId="0" ref="R219">
      <text>
        <t xml:space="preserve">2_ABaOnudK2kGpOdmTRVcwSgPbGLem4ENBdHSjCVf9FQ40HtfdFuNfPR5xEXEUxHv8-89Oyvk</t>
      </text>
    </comment>
    <comment authorId="0" ref="T219">
      <text>
        <t xml:space="preserve">2_ABaOnudK2kGpOdmTRVcwSgPbGLem4ENBdHSjCVf9FQ40HtfdFuNfPR5xEXEUxHv8-89Oyvk</t>
      </text>
    </comment>
    <comment authorId="0" ref="R220">
      <text>
        <t xml:space="preserve">2_ABaOnufHzxMIjXGEZjEornYHV--lqHfJn3Tdf6AIp0TrAAFhkhbdDnbjKKDpK1TrBCtxkAo</t>
      </text>
    </comment>
    <comment authorId="0" ref="T220">
      <text>
        <t xml:space="preserve">2_ABaOnufHzxMIjXGEZjEornYHV--lqHfJn3Tdf6AIp0TrAAFhkhbdDnbjKKDpK1TrBCtxkAo</t>
      </text>
    </comment>
    <comment authorId="0" ref="R221">
      <text>
        <t xml:space="preserve">2_ABaOnufcyA0Ja_NMkB0bfqf6zZPuov_o637iFAqKXk2ILzcpv__kIBbhIWQV35XMTx8oQUs</t>
      </text>
    </comment>
    <comment authorId="0" ref="T221">
      <text>
        <t xml:space="preserve">2_ABaOnufcyA0Ja_NMkB0bfqf6zZPuov_o637iFAqKXk2ILzcpv__kIBbhIWQV35XMTx8oQUs</t>
      </text>
    </comment>
    <comment authorId="0" ref="R222">
      <text>
        <t xml:space="preserve">2_ABaOnue8hUHiFo6l9A0Q6XCMEUd47VJyyXpn4bdr7faOg33FW-Xma6Fpefby9kSDf9QtqTE</t>
      </text>
    </comment>
    <comment authorId="0" ref="T222">
      <text>
        <t xml:space="preserve">2_ABaOnue8hUHiFo6l9A0Q6XCMEUd47VJyyXpn4bdr7faOg33FW-Xma6Fpefby9kSDf9QtqTE</t>
      </text>
    </comment>
    <comment authorId="0" ref="R223">
      <text>
        <t xml:space="preserve">2_ABaOnucDFUxl547XovebM0JqEaK62GTUHy68dviAl0zFmgRDw7_eIFoiqvAW_MYhOCctuUk</t>
      </text>
    </comment>
    <comment authorId="0" ref="T223">
      <text>
        <t xml:space="preserve">2_ABaOnucDFUxl547XovebM0JqEaK62GTUHy68dviAl0zFmgRDw7_eIFoiqvAW_MYhOCctuUk</t>
      </text>
    </comment>
    <comment authorId="0" ref="R224">
      <text>
        <t xml:space="preserve">2_ABaOnudPKJ3XTLArY5YAy3IYNym69Z8PwMBTg5HyFe4Ca98Rk_yBabdyzRS27X3rtPRyROA</t>
      </text>
    </comment>
    <comment authorId="0" ref="T224">
      <text>
        <t xml:space="preserve">2_ABaOnudPKJ3XTLArY5YAy3IYNym69Z8PwMBTg5HyFe4Ca98Rk_yBabdyzRS27X3rtPRyROA</t>
      </text>
    </comment>
    <comment authorId="0" ref="R225">
      <text>
        <t xml:space="preserve">2_ABaOnudZm0gx5AcsGxkWD2u214GgNYojvO82HRplvmvjcTmrZ3LWZpPNzNr4bATKmuX_8tk</t>
      </text>
    </comment>
    <comment authorId="0" ref="T225">
      <text>
        <t xml:space="preserve">2_ABaOnudZm0gx5AcsGxkWD2u214GgNYojvO82HRplvmvjcTmrZ3LWZpPNzNr4bATKmuX_8tk</t>
      </text>
    </comment>
    <comment authorId="0" ref="R226">
      <text>
        <t xml:space="preserve">2_ABaOnufyuzkocUQhKnOiXOen1W5rQkBz8Ze8tMA5n5RcCZSkaeayOMgvi8EsXvWevwS10zU</t>
      </text>
    </comment>
    <comment authorId="0" ref="T226">
      <text>
        <t xml:space="preserve">2_ABaOnufyuzkocUQhKnOiXOen1W5rQkBz8Ze8tMA5n5RcCZSkaeayOMgvi8EsXvWevwS10zU</t>
      </text>
    </comment>
    <comment authorId="0" ref="R227">
      <text>
        <t xml:space="preserve">2_ABaOnuds7cP-2D2al2kr22cTfmlL-7DLtH_ANcMGJo7-CcUCtgyP6zRKT_F859PuNFx7JEw</t>
      </text>
    </comment>
    <comment authorId="0" ref="T227">
      <text>
        <t xml:space="preserve">2_ABaOnuds7cP-2D2al2kr22cTfmlL-7DLtH_ANcMGJo7-CcUCtgyP6zRKT_F859PuNFx7JEw</t>
      </text>
    </comment>
    <comment authorId="0" ref="R228">
      <text>
        <t xml:space="preserve">2_ABaOnufkkziZ7DfX6HVuh0-mrfmlMdp-5bWi-eoTHltRfOKugR5DiHAcIOco4hv0F6yk-zQ</t>
      </text>
    </comment>
    <comment authorId="0" ref="T228">
      <text>
        <t xml:space="preserve">2_ABaOnufkkziZ7DfX6HVuh0-mrfmlMdp-5bWi-eoTHltRfOKugR5DiHAcIOco4hv0F6yk-zQ</t>
      </text>
    </comment>
    <comment authorId="0" ref="R229">
      <text>
        <t xml:space="preserve">2_ABaOnucxipw4KvFDf7nlceoLMu0q_5VaptMXOQXFYCN4QmrCAepFZtgVmma4FHbhgR-98Do</t>
      </text>
    </comment>
    <comment authorId="0" ref="T229">
      <text>
        <t xml:space="preserve">2_ABaOnucxipw4KvFDf7nlceoLMu0q_5VaptMXOQXFYCN4QmrCAepFZtgVmma4FHbhgR-98Do</t>
      </text>
    </comment>
    <comment authorId="0" ref="R230">
      <text>
        <t xml:space="preserve">2_ABaOnucUltrz2T58NXAIvNAN3i-Gd3NU0-X6cy5Yi6Pwy9WtRv8tNEbIp7ff4Fg1K_pQdTA</t>
      </text>
    </comment>
    <comment authorId="0" ref="T230">
      <text>
        <t xml:space="preserve">2_ABaOnucUltrz2T58NXAIvNAN3i-Gd3NU0-X6cy5Yi6Pwy9WtRv8tNEbIp7ff4Fg1K_pQdTA</t>
      </text>
    </comment>
    <comment authorId="0" ref="R231">
      <text>
        <t xml:space="preserve">2_ABaOnufBf736R3YZ05r0ZNxtlEiS7qsCeF2JEY4IVUrJT8CKZ5adN68VG0WumVO1RYOi364</t>
      </text>
    </comment>
    <comment authorId="0" ref="T231">
      <text>
        <t xml:space="preserve">2_ABaOnufBf736R3YZ05r0ZNxtlEiS7qsCeF2JEY4IVUrJT8CKZ5adN68VG0WumVO1RYOi364</t>
      </text>
    </comment>
    <comment authorId="0" ref="R232">
      <text>
        <t xml:space="preserve">2_ABaOnuftymYfSdzH9VrtPS7JzQoP6BMkFI-_fcDGqHnElf7bHzp5uhV7Dy57_tuRpWJrR3M</t>
      </text>
    </comment>
    <comment authorId="0" ref="T232">
      <text>
        <t xml:space="preserve">2_ABaOnuftymYfSdzH9VrtPS7JzQoP6BMkFI-_fcDGqHnElf7bHzp5uhV7Dy57_tuRpWJrR3M</t>
      </text>
    </comment>
    <comment authorId="0" ref="R233">
      <text>
        <t xml:space="preserve">2_ABaOnuekuol_JUGd3yjJsxU33xe0MEzMV6FPt7pVrL-_-fr1qq0mBu6nI_iANkT1DeSQVws</t>
      </text>
    </comment>
    <comment authorId="0" ref="T233">
      <text>
        <t xml:space="preserve">2_ABaOnuekuol_JUGd3yjJsxU33xe0MEzMV6FPt7pVrL-_-fr1qq0mBu6nI_iANkT1DeSQVws</t>
      </text>
    </comment>
    <comment authorId="0" ref="R234">
      <text>
        <t xml:space="preserve">2_ABaOnuc8qNwiyjQHDu0PXsnJtGgkeMdo3BwwTzeXYjekitoSvU7ZHqgUaEOLQfpiR1il3Rc</t>
      </text>
    </comment>
    <comment authorId="0" ref="T234">
      <text>
        <t xml:space="preserve">2_ABaOnuc8qNwiyjQHDu0PXsnJtGgkeMdo3BwwTzeXYjekitoSvU7ZHqgUaEOLQfpiR1il3Rc</t>
      </text>
    </comment>
    <comment authorId="0" ref="R235">
      <text>
        <t xml:space="preserve">2_ABaOnud5KQryaLqbB2qsXNuq53fYnCApr6qnHhB6yziAwZydLxjPq83YH0Pbd307H0x7yTk</t>
      </text>
    </comment>
    <comment authorId="0" ref="T235">
      <text>
        <t xml:space="preserve">2_ABaOnud5KQryaLqbB2qsXNuq53fYnCApr6qnHhB6yziAwZydLxjPq83YH0Pbd307H0x7yTk</t>
      </text>
    </comment>
    <comment authorId="0" ref="R236">
      <text>
        <t xml:space="preserve">2_ABaOnuet7GC7uSt_2I4LHIlkLqOGHDDhfuTrOfQIYj4eGIUlANISuPpVKyUqI4FeFmRTve8</t>
      </text>
    </comment>
    <comment authorId="0" ref="T236">
      <text>
        <t xml:space="preserve">2_ABaOnuet7GC7uSt_2I4LHIlkLqOGHDDhfuTrOfQIYj4eGIUlANISuPpVKyUqI4FeFmRTve8</t>
      </text>
    </comment>
    <comment authorId="0" ref="R237">
      <text>
        <t xml:space="preserve">2_ABaOnufQ5e_tnceK8qMxBXlbXg33iqdkOYAFPbCYdtOKVNhkPZI7ERfD9FvHd0ylwe3Nvac</t>
      </text>
    </comment>
    <comment authorId="0" ref="T237">
      <text>
        <t xml:space="preserve">2_ABaOnufQ5e_tnceK8qMxBXlbXg33iqdkOYAFPbCYdtOKVNhkPZI7ERfD9FvHd0ylwe3Nvac</t>
      </text>
    </comment>
    <comment authorId="0" ref="R238">
      <text>
        <t xml:space="preserve">2_ABaOnue27uUhABaTqJwhyBw751EVob_3LMi13QTFUbsPPtXr8-yoB1UpRR_Aa3NzRMv9NHw</t>
      </text>
    </comment>
    <comment authorId="0" ref="T238">
      <text>
        <t xml:space="preserve">2_ABaOnue27uUhABaTqJwhyBw751EVob_3LMi13QTFUbsPPtXr8-yoB1UpRR_Aa3NzRMv9NHw</t>
      </text>
    </comment>
    <comment authorId="0" ref="R239">
      <text>
        <t xml:space="preserve">2_ABaOnue48xFYEEUMObO4u12tyzn_udKvhGuA7AgP91EhTYLLBCt4BBfpatW-n3PuFWyb-Ug</t>
      </text>
    </comment>
    <comment authorId="0" ref="T239">
      <text>
        <t xml:space="preserve">2_ABaOnue48xFYEEUMObO4u12tyzn_udKvhGuA7AgP91EhTYLLBCt4BBfpatW-n3PuFWyb-Ug</t>
      </text>
    </comment>
    <comment authorId="0" ref="R240">
      <text>
        <t xml:space="preserve">2_ABaOnudhFi9MpGkj0ZdxKhgVHIKEo6m36h18614lgx_pBwLji75G6pPL_G8-P4SccqCozK0</t>
      </text>
    </comment>
    <comment authorId="0" ref="T240">
      <text>
        <t xml:space="preserve">2_ABaOnudhFi9MpGkj0ZdxKhgVHIKEo6m36h18614lgx_pBwLji75G6pPL_G8-P4SccqCozK0</t>
      </text>
    </comment>
    <comment authorId="0" ref="R241">
      <text>
        <t xml:space="preserve">2_ABaOnuecBn9TbgkvmslNsF9IaI_DMQNLnc9UMdLsgs_17Wj2o3oI1IYQa7z4L4_J1BwaBhw</t>
      </text>
    </comment>
    <comment authorId="0" ref="T241">
      <text>
        <t xml:space="preserve">2_ABaOnuecBn9TbgkvmslNsF9IaI_DMQNLnc9UMdLsgs_17Wj2o3oI1IYQa7z4L4_J1BwaBhw</t>
      </text>
    </comment>
    <comment authorId="0" ref="R242">
      <text>
        <t xml:space="preserve">2_ABaOnudjAgZokP0iHsPoKX80nWsFY5q7vyhAEMIKU6jmdmpdzJaBVT-QmJB8bTPkjQjP5EQ</t>
      </text>
    </comment>
    <comment authorId="0" ref="T242">
      <text>
        <t xml:space="preserve">2_ABaOnudjAgZokP0iHsPoKX80nWsFY5q7vyhAEMIKU6jmdmpdzJaBVT-QmJB8bTPkjQjP5EQ</t>
      </text>
    </comment>
    <comment authorId="0" ref="R243">
      <text>
        <t xml:space="preserve">2_ABaOnue_XLAzsm3F8wpByZVkYjoa2Thc5ONtwTTKMWTNZR3UTn_uvLqXDPyGRUmKVaNkikE</t>
      </text>
    </comment>
    <comment authorId="0" ref="T243">
      <text>
        <t xml:space="preserve">2_ABaOnue_XLAzsm3F8wpByZVkYjoa2Thc5ONtwTTKMWTNZR3UTn_uvLqXDPyGRUmKVaNkikE</t>
      </text>
    </comment>
    <comment authorId="0" ref="R244">
      <text>
        <t xml:space="preserve">2_ABaOnuerN1WDdN9rsFs6WGyRuF3qWRX2XIfhJdna5gGSnmsUe5QkhV2II7uIWsnG7QjWcXU</t>
      </text>
    </comment>
    <comment authorId="0" ref="T244">
      <text>
        <t xml:space="preserve">2_ABaOnuerN1WDdN9rsFs6WGyRuF3qWRX2XIfhJdna5gGSnmsUe5QkhV2II7uIWsnG7QjWcXU</t>
      </text>
    </comment>
    <comment authorId="0" ref="R245">
      <text>
        <t xml:space="preserve">2_ABaOnuchdG0Vqn44JBi3rtwTmpxzdfUx5JrePXZivmiEHlSrUJ4xzc85eKPlsYl4ki4VHQo</t>
      </text>
    </comment>
    <comment authorId="0" ref="T245">
      <text>
        <t xml:space="preserve">2_ABaOnuchdG0Vqn44JBi3rtwTmpxzdfUx5JrePXZivmiEHlSrUJ4xzc85eKPlsYl4ki4VHQo</t>
      </text>
    </comment>
    <comment authorId="0" ref="R246">
      <text>
        <t xml:space="preserve">2_ABaOnucHyMuZE119xWQLKukLKHQC5FDJRPx6bQnFxd7CvYtemUetgnlm2-4L4LyNkBUSFA0</t>
      </text>
    </comment>
    <comment authorId="0" ref="T246">
      <text>
        <t xml:space="preserve">2_ABaOnucHyMuZE119xWQLKukLKHQC5FDJRPx6bQnFxd7CvYtemUetgnlm2-4L4LyNkBUSFA0</t>
      </text>
    </comment>
    <comment authorId="0" ref="R247">
      <text>
        <t xml:space="preserve">2_ABaOnudjDvJokmaIDT0o6eyRSCqD6xUW0AC7ehVrHP6fVoWhKUPMxWkIqKia9_Gpn3nddUQ</t>
      </text>
    </comment>
    <comment authorId="0" ref="T247">
      <text>
        <t xml:space="preserve">2_ABaOnudjDvJokmaIDT0o6eyRSCqD6xUW0AC7ehVrHP6fVoWhKUPMxWkIqKia9_Gpn3nddUQ</t>
      </text>
    </comment>
    <comment authorId="0" ref="R248">
      <text>
        <t xml:space="preserve">2_ABaOnufTBsoXVJ7tXXiNmXdTuYPIc2jTH07TNbYTw9VwZ66TcPyGpnIld8d0QhkYqc-hgRY</t>
      </text>
    </comment>
    <comment authorId="0" ref="T248">
      <text>
        <t xml:space="preserve">2_ABaOnufTBsoXVJ7tXXiNmXdTuYPIc2jTH07TNbYTw9VwZ66TcPyGpnIld8d0QhkYqc-hgRY</t>
      </text>
    </comment>
    <comment authorId="0" ref="R249">
      <text>
        <t xml:space="preserve">2_ABaOnueLg5lzQUB6IP4IpGUn7cqnRE2dI7r__JGNYSjFp3gy_Hkb5fM_lajHO2iTLtT6_w4</t>
      </text>
    </comment>
    <comment authorId="0" ref="T249">
      <text>
        <t xml:space="preserve">2_ABaOnueLg5lzQUB6IP4IpGUn7cqnRE2dI7r__JGNYSjFp3gy_Hkb5fM_lajHO2iTLtT6_w4</t>
      </text>
    </comment>
    <comment authorId="0" ref="R250">
      <text>
        <t xml:space="preserve">2_ABaOnufVdV9D3fi_MGNyseVUdvl_fRPeBU8g6gYDtXiLkMWpuT9XzvVr3yitoeEKqqWtM5I</t>
      </text>
    </comment>
    <comment authorId="0" ref="T250">
      <text>
        <t xml:space="preserve">2_ABaOnufVdV9D3fi_MGNyseVUdvl_fRPeBU8g6gYDtXiLkMWpuT9XzvVr3yitoeEKqqWtM5I</t>
      </text>
    </comment>
    <comment authorId="0" ref="R251">
      <text>
        <t xml:space="preserve">2_ABaOnucDkEFYi4YIv7bVRkSeNkahWEhwEoUscIFnnhYgTMgLIJQmJQb6gKTW_-sTP7C7zCk</t>
      </text>
    </comment>
    <comment authorId="0" ref="T251">
      <text>
        <t xml:space="preserve">2_ABaOnucDkEFYi4YIv7bVRkSeNkahWEhwEoUscIFnnhYgTMgLIJQmJQb6gKTW_-sTP7C7zCk</t>
      </text>
    </comment>
    <comment authorId="0" ref="R252">
      <text>
        <t xml:space="preserve">2_ABaOnucqr-oLkkdOykz-uCxfAIQkJ4QkAopIl_1khp8jzCXbXcXnRNwWICGDK0g54HUbusk</t>
      </text>
    </comment>
    <comment authorId="0" ref="T252">
      <text>
        <t xml:space="preserve">2_ABaOnucqr-oLkkdOykz-uCxfAIQkJ4QkAopIl_1khp8jzCXbXcXnRNwWICGDK0g54HUbusk</t>
      </text>
    </comment>
    <comment authorId="0" ref="R253">
      <text>
        <t xml:space="preserve">2_ABaOnue4GGgNfriR2GLaxT3ssDi5rWmsVl41cGOlai6rzJ_dVK2xvcjMhT8XIAvgY-nkLJ8</t>
      </text>
    </comment>
    <comment authorId="0" ref="T253">
      <text>
        <t xml:space="preserve">2_ABaOnue4GGgNfriR2GLaxT3ssDi5rWmsVl41cGOlai6rzJ_dVK2xvcjMhT8XIAvgY-nkLJ8</t>
      </text>
    </comment>
    <comment authorId="0" ref="R255">
      <text>
        <t xml:space="preserve">2_ABaOnucrdNCOvD9ikuFlQheGWp5A1jPkntfeAGCbr3vsPY48NuQU3GNnEzPB2bxeLZRkcJc</t>
      </text>
    </comment>
    <comment authorId="0" ref="T255">
      <text>
        <t xml:space="preserve">2_ABaOnucrdNCOvD9ikuFlQheGWp5A1jPkntfeAGCbr3vsPY48NuQU3GNnEzPB2bxeLZRkcJc</t>
      </text>
    </comment>
    <comment authorId="0" ref="R256">
      <text>
        <t xml:space="preserve">2_ABaOnufBwWTC9cf8SinsWegMry9UPh9w-dD5xxiHlaqEPO2GbdBw7WQkqX7D8Nz7cBwZM44</t>
      </text>
    </comment>
    <comment authorId="0" ref="T256">
      <text>
        <t xml:space="preserve">2_ABaOnufBwWTC9cf8SinsWegMry9UPh9w-dD5xxiHlaqEPO2GbdBw7WQkqX7D8Nz7cBwZM44</t>
      </text>
    </comment>
    <comment authorId="0" ref="R257">
      <text>
        <t xml:space="preserve">2_ABaOnueA-J6_iuZoqf01sOF6DqhVCK9NFcICCLmX_94id2SMskNrkn1IhCxKuY5FRfruF_E</t>
      </text>
    </comment>
    <comment authorId="0" ref="T257">
      <text>
        <t xml:space="preserve">2_ABaOnueA-J6_iuZoqf01sOF6DqhVCK9NFcICCLmX_94id2SMskNrkn1IhCxKuY5FRfruF_E</t>
      </text>
    </comment>
    <comment authorId="0" ref="R258">
      <text>
        <t xml:space="preserve">2_ABaOnudh2jEoZNQLHCCnqeO4LegLzIfS2UtIjPjLBXx84hGNfzgndYcm6DMScBRRuQzFzNM</t>
      </text>
    </comment>
    <comment authorId="0" ref="T258">
      <text>
        <t xml:space="preserve">2_ABaOnudh2jEoZNQLHCCnqeO4LegLzIfS2UtIjPjLBXx84hGNfzgndYcm6DMScBRRuQzFzNM</t>
      </text>
    </comment>
    <comment authorId="0" ref="R259">
      <text>
        <t xml:space="preserve">2_ABaOnucRlX3qepe15NJgggDwJL7FAh0eyvme9tNi0U4lNFCIB_Clr5A4-zQSmuqrRW4AViM</t>
      </text>
    </comment>
    <comment authorId="0" ref="T259">
      <text>
        <t xml:space="preserve">2_ABaOnucRlX3qepe15NJgggDwJL7FAh0eyvme9tNi0U4lNFCIB_Clr5A4-zQSmuqrRW4AViM</t>
      </text>
    </comment>
    <comment authorId="0" ref="R260">
      <text>
        <t xml:space="preserve">2_ABaOnuf_LmNrdIgzax4ZozmS8YTr9xnqTVWdJut6oWJ-scT_QF0WBARax5KScGjLNGWPC0E</t>
      </text>
    </comment>
    <comment authorId="0" ref="T260">
      <text>
        <t xml:space="preserve">2_ABaOnuf_LmNrdIgzax4ZozmS8YTr9xnqTVWdJut6oWJ-scT_QF0WBARax5KScGjLNGWPC0E</t>
      </text>
    </comment>
    <comment authorId="0" ref="R261">
      <text>
        <t xml:space="preserve">2_ABaOnufT-TJhaXE9a2-3Iv4t9jSh5ewToXATOrQUjGolAIGiXpYimbZwb_fTs3ZnnwbZTig</t>
      </text>
    </comment>
    <comment authorId="0" ref="T261">
      <text>
        <t xml:space="preserve">2_ABaOnufT-TJhaXE9a2-3Iv4t9jSh5ewToXATOrQUjGolAIGiXpYimbZwb_fTs3ZnnwbZTig</t>
      </text>
    </comment>
    <comment authorId="0" ref="R262">
      <text>
        <t xml:space="preserve">2_ABaOnufZVJ0LK_11xRY0xeB1lE9Fna3IiZiPmMiKpfL9eo3qgA8aolbvg5kjSsiQIw6P8YA</t>
      </text>
    </comment>
    <comment authorId="0" ref="T262">
      <text>
        <t xml:space="preserve">2_ABaOnufZVJ0LK_11xRY0xeB1lE9Fna3IiZiPmMiKpfL9eo3qgA8aolbvg5kjSsiQIw6P8YA</t>
      </text>
    </comment>
    <comment authorId="0" ref="R263">
      <text>
        <t xml:space="preserve">2_ABaOnufip563gvsYpT2cIWbER8ve-h4iB_l-TPCTM2km-3lzXLkFn1iqPKbBsKJgAE17SN0</t>
      </text>
    </comment>
    <comment authorId="0" ref="T263">
      <text>
        <t xml:space="preserve">2_ABaOnufip563gvsYpT2cIWbER8ve-h4iB_l-TPCTM2km-3lzXLkFn1iqPKbBsKJgAE17SN0</t>
      </text>
    </comment>
    <comment authorId="0" ref="R264">
      <text>
        <t xml:space="preserve">2_ABaOnudXM_UfFdBKAy0o1PesliWKSsAsn3DqdqGlr-3LYzb2FqnNLQhXDuKEymvoT1sm0As</t>
      </text>
    </comment>
    <comment authorId="0" ref="T264">
      <text>
        <t xml:space="preserve">2_ABaOnudXM_UfFdBKAy0o1PesliWKSsAsn3DqdqGlr-3LYzb2FqnNLQhXDuKEymvoT1sm0As</t>
      </text>
    </comment>
    <comment authorId="0" ref="R265">
      <text>
        <t xml:space="preserve">2_ABaOnucKwUHuhFsRCXq30AmRQhNkUXfiaPrx35H65-zkHqd3pepyEm7kcuxJkzmE39Gbt30</t>
      </text>
    </comment>
    <comment authorId="0" ref="T265">
      <text>
        <t xml:space="preserve">2_ABaOnucKwUHuhFsRCXq30AmRQhNkUXfiaPrx35H65-zkHqd3pepyEm7kcuxJkzmE39Gbt30</t>
      </text>
    </comment>
    <comment authorId="0" ref="R266">
      <text>
        <t xml:space="preserve">2_ABaOnue_-GJbiLYq4fuqlBfHaDxlzg4hoFluKhaf1nhGcSwgPZqwdA7WQrqIt6f29YvVYVw</t>
      </text>
    </comment>
    <comment authorId="0" ref="T266">
      <text>
        <t xml:space="preserve">2_ABaOnue_-GJbiLYq4fuqlBfHaDxlzg4hoFluKhaf1nhGcSwgPZqwdA7WQrqIt6f29YvVYVw</t>
      </text>
    </comment>
    <comment authorId="0" ref="R267">
      <text>
        <t xml:space="preserve">2_ABaOnufOWxmwoFl3bbs_zbt8mlOmjF8GdhPBI59S-OkqB5yEbtc3Kkwtpjw3BspHI7lr98g</t>
      </text>
    </comment>
    <comment authorId="0" ref="T267">
      <text>
        <t xml:space="preserve">2_ABaOnufOWxmwoFl3bbs_zbt8mlOmjF8GdhPBI59S-OkqB5yEbtc3Kkwtpjw3BspHI7lr98g</t>
      </text>
    </comment>
    <comment authorId="0" ref="R268">
      <text>
        <t xml:space="preserve">2_ABaOnucPEvNOdiE2w-P-WhC1z2UMMfkCZ116cADPw66b16LKbyfhfKzfClMpvvy7HiIMl5E</t>
      </text>
    </comment>
    <comment authorId="0" ref="T268">
      <text>
        <t xml:space="preserve">2_ABaOnucPEvNOdiE2w-P-WhC1z2UMMfkCZ116cADPw66b16LKbyfhfKzfClMpvvy7HiIMl5E</t>
      </text>
    </comment>
    <comment authorId="0" ref="R269">
      <text>
        <t xml:space="preserve">2_ABaOnuci6acxSHBS1LzwTBnjApRrfYR1Vgd5J1vz67GiSYyTOEHX3An54wtRZHzKVEalSLM</t>
      </text>
    </comment>
    <comment authorId="0" ref="T269">
      <text>
        <t xml:space="preserve">2_ABaOnuci6acxSHBS1LzwTBnjApRrfYR1Vgd5J1vz67GiSYyTOEHX3An54wtRZHzKVEalSLM</t>
      </text>
    </comment>
    <comment authorId="0" ref="R270">
      <text>
        <t xml:space="preserve">2_ABaOnuesRtbcf4qoajEXV87-wjNL6yTrOQ-YR5_4fvh54np0CEakmV8zp5nV8DHDFquzbOo</t>
      </text>
    </comment>
    <comment authorId="0" ref="T270">
      <text>
        <t xml:space="preserve">2_ABaOnuesRtbcf4qoajEXV87-wjNL6yTrOQ-YR5_4fvh54np0CEakmV8zp5nV8DHDFquzbOo</t>
      </text>
    </comment>
    <comment authorId="0" ref="R271">
      <text>
        <t xml:space="preserve">2_ABaOnufLaQ1NDGDQlzFB9RtzrnaTGTQLm5cda0jg9-8LKEbRmUkiZFplPPOrbGzpGmyV2J8</t>
      </text>
    </comment>
    <comment authorId="0" ref="T271">
      <text>
        <t xml:space="preserve">2_ABaOnufLaQ1NDGDQlzFB9RtzrnaTGTQLm5cda0jg9-8LKEbRmUkiZFplPPOrbGzpGmyV2J8</t>
      </text>
    </comment>
    <comment authorId="0" ref="R272">
      <text>
        <t xml:space="preserve">2_ABaOnudZ2aDTwd2UgLktG7asOfvKb5NdF92LeCfdD6wzBpUm6MpRjkdfvRpVFNS1sQDjgh4</t>
      </text>
    </comment>
    <comment authorId="0" ref="T272">
      <text>
        <t xml:space="preserve">2_ABaOnudZ2aDTwd2UgLktG7asOfvKb5NdF92LeCfdD6wzBpUm6MpRjkdfvRpVFNS1sQDjgh4</t>
      </text>
    </comment>
    <comment authorId="0" ref="R273">
      <text>
        <t xml:space="preserve">2_ABaOnufmFZ75EwxB5y2FqLPeMvra3pw19DGC625KKZFy08iNzpBvWOHe9jTM4aul-yHYlpE</t>
      </text>
    </comment>
    <comment authorId="0" ref="T273">
      <text>
        <t xml:space="preserve">2_ABaOnufmFZ75EwxB5y2FqLPeMvra3pw19DGC625KKZFy08iNzpBvWOHe9jTM4aul-yHYlpE</t>
      </text>
    </comment>
    <comment authorId="0" ref="R274">
      <text>
        <t xml:space="preserve">2_ABaOnudxO9PYrSrMFkfCzisohU0uQ3_gRnMhTggZOuBE_aWXOUJG1hTT-HimmJrt6_KdRTU</t>
      </text>
    </comment>
    <comment authorId="0" ref="T274">
      <text>
        <t xml:space="preserve">2_ABaOnudxO9PYrSrMFkfCzisohU0uQ3_gRnMhTggZOuBE_aWXOUJG1hTT-HimmJrt6_KdRTU</t>
      </text>
    </comment>
    <comment authorId="0" ref="R275">
      <text>
        <t xml:space="preserve">2_ABaOnuewKR4o2Dlka0dP1yLB0rn6Pc1Mxz2nGnMDGihmb---u2OCjZKkQwkXgWw4cg-ASpw</t>
      </text>
    </comment>
    <comment authorId="0" ref="T275">
      <text>
        <t xml:space="preserve">2_ABaOnuewKR4o2Dlka0dP1yLB0rn6Pc1Mxz2nGnMDGihmb---u2OCjZKkQwkXgWw4cg-ASpw</t>
      </text>
    </comment>
    <comment authorId="0" ref="R276">
      <text>
        <t xml:space="preserve">2_ABaOnueWTac63c6NThPC1NSQBCy4JcddQxthvjjtJvxwA1B1pQu1oselHy3oOFvKIDAnRNI</t>
      </text>
    </comment>
    <comment authorId="0" ref="T276">
      <text>
        <t xml:space="preserve">2_ABaOnueWTac63c6NThPC1NSQBCy4JcddQxthvjjtJvxwA1B1pQu1oselHy3oOFvKIDAnRNI</t>
      </text>
    </comment>
    <comment authorId="0" ref="R277">
      <text>
        <t xml:space="preserve">2_ABaOnudsYJ98RDJhjtJBNkqWjflNN8PLUD4ApFZYMyqBgePaV6sB78gnwhPRdfo8gFku1qs</t>
      </text>
    </comment>
    <comment authorId="0" ref="T277">
      <text>
        <t xml:space="preserve">2_ABaOnudsYJ98RDJhjtJBNkqWjflNN8PLUD4ApFZYMyqBgePaV6sB78gnwhPRdfo8gFku1qs</t>
      </text>
    </comment>
    <comment authorId="0" ref="R278">
      <text>
        <t xml:space="preserve">2_ABaOnue_3g756QAw7jLeP96t2t1JwN16HkbK6dxXXii1_hm9McrVHrsO-cqo4aZKFKXqnuI</t>
      </text>
    </comment>
    <comment authorId="0" ref="T278">
      <text>
        <t xml:space="preserve">2_ABaOnue_3g756QAw7jLeP96t2t1JwN16HkbK6dxXXii1_hm9McrVHrsO-cqo4aZKFKXqnuI</t>
      </text>
    </comment>
    <comment authorId="0" ref="R279">
      <text>
        <t xml:space="preserve">2_ABaOnudQp0dc2F6wg3wiWdVtzSmTR_0KC1a_zgURf0uum_qNObgOeZzRHLF9vjla4qIbRSM</t>
      </text>
    </comment>
    <comment authorId="0" ref="T279">
      <text>
        <t xml:space="preserve">2_ABaOnudQp0dc2F6wg3wiWdVtzSmTR_0KC1a_zgURf0uum_qNObgOeZzRHLF9vjla4qIbRSM</t>
      </text>
    </comment>
    <comment authorId="0" ref="R280">
      <text>
        <t xml:space="preserve">2_ABaOnueAus6ZxLDjB6a3LQrbOSjX3jHJwatH3LEeOSO50811CAokubv4TSWzTdNsKmdHDNI</t>
      </text>
    </comment>
    <comment authorId="0" ref="T280">
      <text>
        <t xml:space="preserve">2_ABaOnueAus6ZxLDjB6a3LQrbOSjX3jHJwatH3LEeOSO50811CAokubv4TSWzTdNsKmdHDNI</t>
      </text>
    </comment>
    <comment authorId="0" ref="R281">
      <text>
        <t xml:space="preserve">2_ABaOnufLtoZqUZQWKgEg16ZZozszznoTiC_VnMTXquyP5MaTUi5gF5veAr4F8_nSwbO6lp8</t>
      </text>
    </comment>
    <comment authorId="0" ref="T281">
      <text>
        <t xml:space="preserve">2_ABaOnufLtoZqUZQWKgEg16ZZozszznoTiC_VnMTXquyP5MaTUi5gF5veAr4F8_nSwbO6lp8</t>
      </text>
    </comment>
    <comment authorId="0" ref="R282">
      <text>
        <t xml:space="preserve">2_ABaOnufK9zxGTdjvfsuZuBO3UQCCnmGU8qLWPbIxxRJ3GZ_R9Bhzz88jNwAKiXn3PRnn8Oo</t>
      </text>
    </comment>
    <comment authorId="0" ref="T282">
      <text>
        <t xml:space="preserve">2_ABaOnufK9zxGTdjvfsuZuBO3UQCCnmGU8qLWPbIxxRJ3GZ_R9Bhzz88jNwAKiXn3PRnn8Oo</t>
      </text>
    </comment>
    <comment authorId="0" ref="R283">
      <text>
        <t xml:space="preserve">2_ABaOnucAWdY2DYTeTeMyYspadiUKfVr4adUWYemKpXZVaMcchn6DCHZqbAy-RkjvrxwilF8</t>
      </text>
    </comment>
    <comment authorId="0" ref="T283">
      <text>
        <t xml:space="preserve">2_ABaOnucAWdY2DYTeTeMyYspadiUKfVr4adUWYemKpXZVaMcchn6DCHZqbAy-RkjvrxwilF8</t>
      </text>
    </comment>
    <comment authorId="0" ref="R284">
      <text>
        <t xml:space="preserve">2_ABaOnucuWx_20crXsPQMsVEk_W1ElvPxsjVhmLApiw8b-lnA7qDTNuUGAFRm0iSUgCyoCNE</t>
      </text>
    </comment>
    <comment authorId="0" ref="T284">
      <text>
        <t xml:space="preserve">2_ABaOnucuWx_20crXsPQMsVEk_W1ElvPxsjVhmLApiw8b-lnA7qDTNuUGAFRm0iSUgCyoCNE</t>
      </text>
    </comment>
    <comment authorId="0" ref="R285">
      <text>
        <t xml:space="preserve">2_ABaOnufwRMSHJlXV3xI4AAUeEwyRj96e_8mhc8uKC-WjGgde-edGEGgbDdDYlu1FKcChySo</t>
      </text>
    </comment>
    <comment authorId="0" ref="T285">
      <text>
        <t xml:space="preserve">2_ABaOnufwRMSHJlXV3xI4AAUeEwyRj96e_8mhc8uKC-WjGgde-edGEGgbDdDYlu1FKcChySo</t>
      </text>
    </comment>
    <comment authorId="0" ref="R286">
      <text>
        <t xml:space="preserve">2_ABaOnueT_U5Zz5VAtrQkN6KONkp9U37SdhGHwIba9YahcoOngFDk1cpo3c7SUo4rpBMq-rI</t>
      </text>
    </comment>
    <comment authorId="0" ref="T286">
      <text>
        <t xml:space="preserve">2_ABaOnueT_U5Zz5VAtrQkN6KONkp9U37SdhGHwIba9YahcoOngFDk1cpo3c7SUo4rpBMq-rI</t>
      </text>
    </comment>
    <comment authorId="0" ref="R287">
      <text>
        <t xml:space="preserve">2_ABaOnueBc0N9Ve5B2vFgAj4D11DaNnOfTN-K11Xk7ofwpqRzWOQc4V61y0g0dzUL_Buvk6Q</t>
      </text>
    </comment>
    <comment authorId="0" ref="T287">
      <text>
        <t xml:space="preserve">2_ABaOnueBc0N9Ve5B2vFgAj4D11DaNnOfTN-K11Xk7ofwpqRzWOQc4V61y0g0dzUL_Buvk6Q</t>
      </text>
    </comment>
    <comment authorId="0" ref="R288">
      <text>
        <t xml:space="preserve">2_ABaOnuchbGmBZHKKJxbLLDIFKPEk0DYTIqQC6ouTk63dyHi6NJrBOSAxAf-G7ci8E3O0bkw</t>
      </text>
    </comment>
    <comment authorId="0" ref="T288">
      <text>
        <t xml:space="preserve">2_ABaOnuchbGmBZHKKJxbLLDIFKPEk0DYTIqQC6ouTk63dyHi6NJrBOSAxAf-G7ci8E3O0bkw</t>
      </text>
    </comment>
    <comment authorId="0" ref="R289">
      <text>
        <t xml:space="preserve">2_ABaOnucLX_7dN88ZSoR-cSE9e6NkrXqRznYV-K6l6NhX1u3STieI9RFE59bW56f5YaQiM_w</t>
      </text>
    </comment>
    <comment authorId="0" ref="T289">
      <text>
        <t xml:space="preserve">2_ABaOnucLX_7dN88ZSoR-cSE9e6NkrXqRznYV-K6l6NhX1u3STieI9RFE59bW56f5YaQiM_w</t>
      </text>
    </comment>
    <comment authorId="0" ref="R290">
      <text>
        <t xml:space="preserve">2_ABaOnueamvkuSt1KSm1FMrD8vmHnqiFvL4-kaWqMw1vk3ahgVlZS1idc3jpzhvmqi6qO2h8</t>
      </text>
    </comment>
    <comment authorId="0" ref="T290">
      <text>
        <t xml:space="preserve">2_ABaOnueamvkuSt1KSm1FMrD8vmHnqiFvL4-kaWqMw1vk3ahgVlZS1idc3jpzhvmqi6qO2h8</t>
      </text>
    </comment>
    <comment authorId="0" ref="R291">
      <text>
        <t xml:space="preserve">2_ABaOnudAY6QOmQZPJreFTLka3MkJ-u1sgLkdOwlWno3qWwOewKQbnjTRLlFqCEpd_xxXlio</t>
      </text>
    </comment>
    <comment authorId="0" ref="T291">
      <text>
        <t xml:space="preserve">2_ABaOnudAY6QOmQZPJreFTLka3MkJ-u1sgLkdOwlWno3qWwOewKQbnjTRLlFqCEpd_xxXlio</t>
      </text>
    </comment>
    <comment authorId="0" ref="R292">
      <text>
        <t xml:space="preserve">2_ABaOnucma85MNKr7ZyMtgpB-1iBuHcf-fuMxrCfcmi9Hs2ZGiBmKBK7v3PRyOqo5nuqJocQ</t>
      </text>
    </comment>
    <comment authorId="0" ref="T292">
      <text>
        <t xml:space="preserve">2_ABaOnucma85MNKr7ZyMtgpB-1iBuHcf-fuMxrCfcmi9Hs2ZGiBmKBK7v3PRyOqo5nuqJocQ</t>
      </text>
    </comment>
    <comment authorId="0" ref="R293">
      <text>
        <t xml:space="preserve">2_ABaOnuczTlGrjiHZXEQI6EVgRjiOMKQUX2C3H-jq97aUoaxQallJl0ik_6sFNe2ZzCrS7rk</t>
      </text>
    </comment>
    <comment authorId="0" ref="T293">
      <text>
        <t xml:space="preserve">2_ABaOnuczTlGrjiHZXEQI6EVgRjiOMKQUX2C3H-jq97aUoaxQallJl0ik_6sFNe2ZzCrS7rk</t>
      </text>
    </comment>
    <comment authorId="0" ref="R294">
      <text>
        <t xml:space="preserve">2_ABaOnuc7S7S4SB1cKs1uTH6sLwXWVDfIeG5zNj9cqTwWFbYDc0n6gwdZJ53tAwRXku1SKm8</t>
      </text>
    </comment>
    <comment authorId="0" ref="T294">
      <text>
        <t xml:space="preserve">2_ABaOnuc7S7S4SB1cKs1uTH6sLwXWVDfIeG5zNj9cqTwWFbYDc0n6gwdZJ53tAwRXku1SKm8</t>
      </text>
    </comment>
    <comment authorId="0" ref="R295">
      <text>
        <t xml:space="preserve">2_ABaOnue8mzGN5fWn86JKPdi-cVdJJTnYLSzVFNheT9EBqfRalf9KfgyhYiHZGrBevOvvP8E</t>
      </text>
    </comment>
    <comment authorId="0" ref="T295">
      <text>
        <t xml:space="preserve">2_ABaOnue8mzGN5fWn86JKPdi-cVdJJTnYLSzVFNheT9EBqfRalf9KfgyhYiHZGrBevOvvP8E</t>
      </text>
    </comment>
    <comment authorId="0" ref="R296">
      <text>
        <t xml:space="preserve">2_ABaOnuceyK4ud4v9fVW1tsLWT39FpHQuAOuzg2e0HHHnVeLl6QeuN1gBh3QWJdlMcuuLgRw</t>
      </text>
    </comment>
    <comment authorId="0" ref="T296">
      <text>
        <t xml:space="preserve">2_ABaOnuceyK4ud4v9fVW1tsLWT39FpHQuAOuzg2e0HHHnVeLl6QeuN1gBh3QWJdlMcuuLgRw</t>
      </text>
    </comment>
    <comment authorId="0" ref="R297">
      <text>
        <t xml:space="preserve">2_ABaOnudmClxlmsG-f8uCUNI8zJdDqmSBZ79fzuPV1HOLq0cdzx45EZLJXP7jdsZ91msw0aI</t>
      </text>
    </comment>
    <comment authorId="0" ref="T297">
      <text>
        <t xml:space="preserve">2_ABaOnudmClxlmsG-f8uCUNI8zJdDqmSBZ79fzuPV1HOLq0cdzx45EZLJXP7jdsZ91msw0aI</t>
      </text>
    </comment>
    <comment authorId="0" ref="R298">
      <text>
        <t xml:space="preserve">2_ABaOnufUsJwV2wOckthQVw1-2qlNltZUxpKnaJ5Ixz76NpVbrmC9qEPZfrlsnx39rKQlaZ4</t>
      </text>
    </comment>
    <comment authorId="0" ref="T298">
      <text>
        <t xml:space="preserve">2_ABaOnufUsJwV2wOckthQVw1-2qlNltZUxpKnaJ5Ixz76NpVbrmC9qEPZfrlsnx39rKQlaZ4</t>
      </text>
    </comment>
    <comment authorId="0" ref="R299">
      <text>
        <t xml:space="preserve">2_ABaOnucja_i_saOL-dU3p_5qbD_WcErnFD10IZLLKL0dXEDPKRXpdcTAyssxpPLYfIx3JXY</t>
      </text>
    </comment>
    <comment authorId="0" ref="T299">
      <text>
        <t xml:space="preserve">2_ABaOnucja_i_saOL-dU3p_5qbD_WcErnFD10IZLLKL0dXEDPKRXpdcTAyssxpPLYfIx3JXY</t>
      </text>
    </comment>
    <comment authorId="0" ref="R300">
      <text>
        <t xml:space="preserve">2_ABaOnufllb1SwOIWPGgF6TsJb09XX7_RkYsuRyexliWdIzo-GLnSrWPaOx4CI4fb5NPFC7w</t>
      </text>
    </comment>
    <comment authorId="0" ref="T300">
      <text>
        <t xml:space="preserve">2_ABaOnufllb1SwOIWPGgF6TsJb09XX7_RkYsuRyexliWdIzo-GLnSrWPaOx4CI4fb5NPFC7w</t>
      </text>
    </comment>
    <comment authorId="0" ref="R301">
      <text>
        <t xml:space="preserve">2_ABaOnueeWweS2pLkb-HdQx5_VtAX5M5qtRRYa6iuH7x2F7iBQke8s3XbVjnbXhM3N-evZas</t>
      </text>
    </comment>
    <comment authorId="0" ref="T301">
      <text>
        <t xml:space="preserve">2_ABaOnueeWweS2pLkb-HdQx5_VtAX5M5qtRRYa6iuH7x2F7iBQke8s3XbVjnbXhM3N-evZas</t>
      </text>
    </comment>
    <comment authorId="0" ref="R302">
      <text>
        <t xml:space="preserve">2_ABaOnucqfAgFAOnz_Tws6_fF673C1PbJf1fRKQV_39FVWor5PwFh-aiK1N0kKv1M3PWc_Io</t>
      </text>
    </comment>
    <comment authorId="0" ref="T302">
      <text>
        <t xml:space="preserve">2_ABaOnucqfAgFAOnz_Tws6_fF673C1PbJf1fRKQV_39FVWor5PwFh-aiK1N0kKv1M3PWc_Io</t>
      </text>
    </comment>
    <comment authorId="0" ref="R303">
      <text>
        <t xml:space="preserve">2_ABaOnucl_afaUoXMXRAR4VD9VU14eFvGdkWyiJFBmgb4YWbl3MZo46-UVkhK_RWhCKh0kZI</t>
      </text>
    </comment>
    <comment authorId="0" ref="T303">
      <text>
        <t xml:space="preserve">2_ABaOnucl_afaUoXMXRAR4VD9VU14eFvGdkWyiJFBmgb4YWbl3MZo46-UVkhK_RWhCKh0kZI</t>
      </text>
    </comment>
    <comment authorId="0" ref="R304">
      <text>
        <t xml:space="preserve">2_ABaOnueAMZ67w1MfryNNLn5Q_DEeaxe-YAl077zkrVrI4bIF_4IOc3zbrURm51QRv5sMzx8</t>
      </text>
    </comment>
    <comment authorId="0" ref="T304">
      <text>
        <t xml:space="preserve">2_ABaOnueAMZ67w1MfryNNLn5Q_DEeaxe-YAl077zkrVrI4bIF_4IOc3zbrURm51QRv5sMzx8</t>
      </text>
    </comment>
    <comment authorId="0" ref="R305">
      <text>
        <t xml:space="preserve">2_ABaOnufqKGt5uCSYau-pbei-aDpQLT4mXjreXGBPVnkGltyJJgoZrxq1qp4_TKzK9Mxo0x8</t>
      </text>
    </comment>
    <comment authorId="0" ref="T305">
      <text>
        <t xml:space="preserve">2_ABaOnufqKGt5uCSYau-pbei-aDpQLT4mXjreXGBPVnkGltyJJgoZrxq1qp4_TKzK9Mxo0x8</t>
      </text>
    </comment>
    <comment authorId="0" ref="R306">
      <text>
        <t xml:space="preserve">2_ABaOnudPI_vxTHJuIXFDA3i78aCHTdSLOdO0ZdnneEhV8bDu3DF7AhaWRaLIHfEnjaq95Bk</t>
      </text>
    </comment>
    <comment authorId="0" ref="T306">
      <text>
        <t xml:space="preserve">2_ABaOnudPI_vxTHJuIXFDA3i78aCHTdSLOdO0ZdnneEhV8bDu3DF7AhaWRaLIHfEnjaq95Bk</t>
      </text>
    </comment>
    <comment authorId="0" ref="R307">
      <text>
        <t xml:space="preserve">2_ABaOnudAsEu6k8vvlzTr6074Tp51WSJHkMip9xb1ALNZVFMP1cTXePC1rsBtSkK1I-d0NFM</t>
      </text>
    </comment>
    <comment authorId="0" ref="T307">
      <text>
        <t xml:space="preserve">2_ABaOnudAsEu6k8vvlzTr6074Tp51WSJHkMip9xb1ALNZVFMP1cTXePC1rsBtSkK1I-d0NFM</t>
      </text>
    </comment>
    <comment authorId="0" ref="R308">
      <text>
        <t xml:space="preserve">2_ABaOnuespeSwsxoWXUdg9ZNzVhGkg7RbF8gwpcpS3ko1rERFdsYR4TTAUNR5wbOm9KFeD5w</t>
      </text>
    </comment>
    <comment authorId="0" ref="T308">
      <text>
        <t xml:space="preserve">2_ABaOnuespeSwsxoWXUdg9ZNzVhGkg7RbF8gwpcpS3ko1rERFdsYR4TTAUNR5wbOm9KFeD5w</t>
      </text>
    </comment>
    <comment authorId="0" ref="R309">
      <text>
        <t xml:space="preserve">2_ABaOnudMN-8ds1exjS7LJr8DD9Cyx22TpbBHYpqaD3mfqZPFYch_IE7_V631k-mULEJhBh8</t>
      </text>
    </comment>
    <comment authorId="0" ref="T309">
      <text>
        <t xml:space="preserve">2_ABaOnudMN-8ds1exjS7LJr8DD9Cyx22TpbBHYpqaD3mfqZPFYch_IE7_V631k-mULEJhBh8</t>
      </text>
    </comment>
    <comment authorId="0" ref="R310">
      <text>
        <t xml:space="preserve">2_ABaOnue7q7Q7E1irA6SQ357CgaA8ImiVFSxuVENAV2uvE51LG1uEXYwTnESzeZEkmqVlqPw</t>
      </text>
    </comment>
    <comment authorId="0" ref="T310">
      <text>
        <t xml:space="preserve">2_ABaOnue7q7Q7E1irA6SQ357CgaA8ImiVFSxuVENAV2uvE51LG1uEXYwTnESzeZEkmqVlqPw</t>
      </text>
    </comment>
    <comment authorId="0" ref="R311">
      <text>
        <t xml:space="preserve">2_ABaOnufq54g7i_NlbCOvZbRORo00vQGL-rBok2E814UE4UNftcmqQOpjY4TxNQXRf1-pS7g</t>
      </text>
    </comment>
    <comment authorId="0" ref="T311">
      <text>
        <t xml:space="preserve">2_ABaOnufq54g7i_NlbCOvZbRORo00vQGL-rBok2E814UE4UNftcmqQOpjY4TxNQXRf1-pS7g</t>
      </text>
    </comment>
    <comment authorId="0" ref="R312">
      <text>
        <t xml:space="preserve">2_ABaOnufsZ8ihLqmjbYWQo-bV8-xa9PFx6Kw6xYLRwjKfQM6ECi-O4_jEOy7nPvMQhknzxeg</t>
      </text>
    </comment>
    <comment authorId="0" ref="T312">
      <text>
        <t xml:space="preserve">2_ABaOnufsZ8ihLqmjbYWQo-bV8-xa9PFx6Kw6xYLRwjKfQM6ECi-O4_jEOy7nPvMQhknzxeg</t>
      </text>
    </comment>
    <comment authorId="0" ref="R313">
      <text>
        <t xml:space="preserve">2_ABaOnudt7yPoY4b2wfZNtZUYkf9apcTqd3pSvUaxBIAmTDY_7EWEYxr5-c2kBxjmbODvmS8</t>
      </text>
    </comment>
    <comment authorId="0" ref="T313">
      <text>
        <t xml:space="preserve">2_ABaOnudt7yPoY4b2wfZNtZUYkf9apcTqd3pSvUaxBIAmTDY_7EWEYxr5-c2kBxjmbODvmS8</t>
      </text>
    </comment>
    <comment authorId="0" ref="R314">
      <text>
        <t xml:space="preserve">2_ABaOnuf2mY0x7DKl_1Htdo8KeS8rbUf3sYvInggW54pmIlosnnzPfCKg908xhGNXlPDnKeI</t>
      </text>
    </comment>
    <comment authorId="0" ref="T314">
      <text>
        <t xml:space="preserve">2_ABaOnuf2mY0x7DKl_1Htdo8KeS8rbUf3sYvInggW54pmIlosnnzPfCKg908xhGNXlPDnKeI</t>
      </text>
    </comment>
    <comment authorId="0" ref="R315">
      <text>
        <t xml:space="preserve">2_ABaOnueJYHUApqV-4xPn8o3IoWxnuFsbPves1OEVeW2npOARJXyNbzZ9sdpIP7tN2aWZhgA</t>
      </text>
    </comment>
    <comment authorId="0" ref="T315">
      <text>
        <t xml:space="preserve">2_ABaOnueJYHUApqV-4xPn8o3IoWxnuFsbPves1OEVeW2npOARJXyNbzZ9sdpIP7tN2aWZhgA</t>
      </text>
    </comment>
    <comment authorId="0" ref="R316">
      <text>
        <t xml:space="preserve">2_ABaOnucv2wM3ZviNcvow4SeaEKqL-QBefCobEzs3ylcbBxhDm-N7c1bjrlZWU6YVfnLs6jw</t>
      </text>
    </comment>
    <comment authorId="0" ref="T316">
      <text>
        <t xml:space="preserve">2_ABaOnucv2wM3ZviNcvow4SeaEKqL-QBefCobEzs3ylcbBxhDm-N7c1bjrlZWU6YVfnLs6jw</t>
      </text>
    </comment>
    <comment authorId="0" ref="R317">
      <text>
        <t xml:space="preserve">2_ABaOnufMdxCbH8Fy5Ecn8dmDz5vRDYmrM7DknqpQ_zwZc2D-CECrSVbNHOztdaVRX_CAdEU</t>
      </text>
    </comment>
    <comment authorId="0" ref="T317">
      <text>
        <t xml:space="preserve">2_ABaOnufMdxCbH8Fy5Ecn8dmDz5vRDYmrM7DknqpQ_zwZc2D-CECrSVbNHOztdaVRX_CAdEU</t>
      </text>
    </comment>
    <comment authorId="0" ref="R318">
      <text>
        <t xml:space="preserve">2_ABaOnufRpPRjS-4LhGGbNS_cOKKmdnuCYOT3iZxlrAFwzkcQlBqgJBKY3S1Vw1j6uivFEFw</t>
      </text>
    </comment>
    <comment authorId="0" ref="T318">
      <text>
        <t xml:space="preserve">2_ABaOnufRpPRjS-4LhGGbNS_cOKKmdnuCYOT3iZxlrAFwzkcQlBqgJBKY3S1Vw1j6uivFEFw</t>
      </text>
    </comment>
    <comment authorId="0" ref="R319">
      <text>
        <t xml:space="preserve">2_ABaOnud7nXxOnrrSj6jgWNplaQONIGjKhAhW92P24EXKu2WYQin0NY8o8T9D96FDNrc-r38</t>
      </text>
    </comment>
    <comment authorId="0" ref="T319">
      <text>
        <t xml:space="preserve">2_ABaOnud7nXxOnrrSj6jgWNplaQONIGjKhAhW92P24EXKu2WYQin0NY8o8T9D96FDNrc-r38</t>
      </text>
    </comment>
    <comment authorId="0" ref="R320">
      <text>
        <t xml:space="preserve">2_ABaOnucAp1obQaLkPU8_FCxDKzbT3BPoW4Wgs_fwxg3r7kzNt6lEOKZkkI84xgJ6V4_weVQ</t>
      </text>
    </comment>
    <comment authorId="0" ref="T320">
      <text>
        <t xml:space="preserve">2_ABaOnucAp1obQaLkPU8_FCxDKzbT3BPoW4Wgs_fwxg3r7kzNt6lEOKZkkI84xgJ6V4_weVQ</t>
      </text>
    </comment>
    <comment authorId="0" ref="R327">
      <text>
        <t xml:space="preserve">2_ABaOnucEqZhwb0zRKo0PwuXRCdVLa8ciPwc_J_x0X2QW_preHt2C6KfhZnSUsA307a9-z2M</t>
      </text>
    </comment>
    <comment authorId="0" ref="T327">
      <text>
        <t xml:space="preserve">2_ABaOnucEqZhwb0zRKo0PwuXRCdVLa8ciPwc_J_x0X2QW_preHt2C6KfhZnSUsA307a9-z2M</t>
      </text>
    </comment>
    <comment authorId="0" ref="R328">
      <text>
        <t xml:space="preserve">2_ABaOnudqG8giLF9wgkOQkCkV5JGkt4mHBbxd4QkdGLS5XetkPqMBDNi1xyzYUAdukF1SPaM</t>
      </text>
    </comment>
    <comment authorId="0" ref="T328">
      <text>
        <t xml:space="preserve">2_ABaOnudqG8giLF9wgkOQkCkV5JGkt4mHBbxd4QkdGLS5XetkPqMBDNi1xyzYUAdukF1SPaM</t>
      </text>
    </comment>
    <comment authorId="0" ref="R329">
      <text>
        <t xml:space="preserve">2_ABaOnuelUlRwkijhxvF6swVeg-KPj0WPAzHU1WiMSZzFKR88wfUQrgGSQmMVZuzA8xBeSjA</t>
      </text>
    </comment>
    <comment authorId="0" ref="T329">
      <text>
        <t xml:space="preserve">2_ABaOnuelUlRwkijhxvF6swVeg-KPj0WPAzHU1WiMSZzFKR88wfUQrgGSQmMVZuzA8xBeSjA</t>
      </text>
    </comment>
    <comment authorId="0" ref="R330">
      <text>
        <t xml:space="preserve">2_ABaOnudItxkew6QwoFB__dV3FmIcoa8x5dGdjImQQnVdDagIaZo-7cFWR1J1tEUfF9kUY6c</t>
      </text>
    </comment>
    <comment authorId="0" ref="T330">
      <text>
        <t xml:space="preserve">2_ABaOnudItxkew6QwoFB__dV3FmIcoa8x5dGdjImQQnVdDagIaZo-7cFWR1J1tEUfF9kUY6c</t>
      </text>
    </comment>
    <comment authorId="0" ref="R331">
      <text>
        <t xml:space="preserve">2_ABaOnudD8LoQnYRq7bsWp_kSajwUdB0ja3lA9d9lAC7RF6IfQmuzGGlPc5m2D2WZtdlSElc</t>
      </text>
    </comment>
    <comment authorId="0" ref="T331">
      <text>
        <t xml:space="preserve">2_ABaOnudD8LoQnYRq7bsWp_kSajwUdB0ja3lA9d9lAC7RF6IfQmuzGGlPc5m2D2WZtdlSElc</t>
      </text>
    </comment>
    <comment authorId="0" ref="R332">
      <text>
        <t xml:space="preserve">2_ABaOnueAn6nDMC5Q0N3keNsTXFd1KgV3vLJtMYzBIwPXh62gcO0467rMhLsi6kt5X8wt1rE</t>
      </text>
    </comment>
    <comment authorId="0" ref="T332">
      <text>
        <t xml:space="preserve">2_ABaOnueAn6nDMC5Q0N3keNsTXFd1KgV3vLJtMYzBIwPXh62gcO0467rMhLsi6kt5X8wt1rE</t>
      </text>
    </comment>
    <comment authorId="0" ref="R333">
      <text>
        <t xml:space="preserve">2_ABaOnuffradpbQJAW-0Y4qtu0MEcsXtzYTUlv4xaHKuKk5lQ0k1C4PBkyssSzNsnDcUABhk</t>
      </text>
    </comment>
    <comment authorId="0" ref="T333">
      <text>
        <t xml:space="preserve">2_ABaOnuffradpbQJAW-0Y4qtu0MEcsXtzYTUlv4xaHKuKk5lQ0k1C4PBkyssSzNsnDcUABhk</t>
      </text>
    </comment>
    <comment authorId="0" ref="R334">
      <text>
        <t xml:space="preserve">2_ABaOnue3sDPXi-KiTArctsuenbKHzHapjnpBtDrH4vtJ762GffkbkFV5zTCf-a5AdtAoUf4</t>
      </text>
    </comment>
    <comment authorId="0" ref="T334">
      <text>
        <t xml:space="preserve">2_ABaOnue3sDPXi-KiTArctsuenbKHzHapjnpBtDrH4vtJ762GffkbkFV5zTCf-a5AdtAoUf4</t>
      </text>
    </comment>
    <comment authorId="0" ref="R335">
      <text>
        <t xml:space="preserve">2_ABaOnucZ3uk5feObfJMTvG-Y2T8kZuw7HzIq03xhY0k7cvDJRYTLBFWPQlztNuteS5kbU7w</t>
      </text>
    </comment>
    <comment authorId="0" ref="T335">
      <text>
        <t xml:space="preserve">2_ABaOnucZ3uk5feObfJMTvG-Y2T8kZuw7HzIq03xhY0k7cvDJRYTLBFWPQlztNuteS5kbU7w</t>
      </text>
    </comment>
    <comment authorId="0" ref="R336">
      <text>
        <t xml:space="preserve">2_ABaOnuchJuhMSsKT3aheZ-jkapmgyMqRLSSnjLupklozOm4V01NI-PeRVJR1yTU9DpmcgQc</t>
      </text>
    </comment>
    <comment authorId="0" ref="T336">
      <text>
        <t xml:space="preserve">2_ABaOnuchJuhMSsKT3aheZ-jkapmgyMqRLSSnjLupklozOm4V01NI-PeRVJR1yTU9DpmcgQc</t>
      </text>
    </comment>
    <comment authorId="0" ref="R337">
      <text>
        <t xml:space="preserve">2_ABaOnueQj8saezHWz-_ENn-U8iqqr15nKnv1oeZBWfQA1vSUQ4fPkPyWwM5-JNY4rIsmfJo</t>
      </text>
    </comment>
    <comment authorId="0" ref="T337">
      <text>
        <t xml:space="preserve">2_ABaOnueQj8saezHWz-_ENn-U8iqqr15nKnv1oeZBWfQA1vSUQ4fPkPyWwM5-JNY4rIsmfJo</t>
      </text>
    </comment>
    <comment authorId="0" ref="R338">
      <text>
        <t xml:space="preserve">2_ABaOnuf8T5fhGV2bkMIaiXxFFIL8PM_UBX4j7l_K_nJhS9t-OXfDKPr3ZtEvx97CPYVrVe8</t>
      </text>
    </comment>
    <comment authorId="0" ref="T338">
      <text>
        <t xml:space="preserve">2_ABaOnuf8T5fhGV2bkMIaiXxFFIL8PM_UBX4j7l_K_nJhS9t-OXfDKPr3ZtEvx97CPYVrVe8</t>
      </text>
    </comment>
    <comment authorId="0" ref="R339">
      <text>
        <t xml:space="preserve">2_ABaOnud8a6hD623JvCmr3Y36XpHkdMkdh5BaAAGQTCPR6yN3ICW93nx-I-T5yoYAmIi4g2E</t>
      </text>
    </comment>
    <comment authorId="0" ref="T339">
      <text>
        <t xml:space="preserve">2_ABaOnud8a6hD623JvCmr3Y36XpHkdMkdh5BaAAGQTCPR6yN3ICW93nx-I-T5yoYAmIi4g2E</t>
      </text>
    </comment>
    <comment authorId="0" ref="R340">
      <text>
        <t xml:space="preserve">2_ABaOnuecs-KrAjFQOI_Ix9MJGztR1ZnIL4ZzOYC8TNKz5xZ3WV7Dk6GEtgTd9qaEFu-7ybo</t>
      </text>
    </comment>
    <comment authorId="0" ref="T340">
      <text>
        <t xml:space="preserve">2_ABaOnuecs-KrAjFQOI_Ix9MJGztR1ZnIL4ZzOYC8TNKz5xZ3WV7Dk6GEtgTd9qaEFu-7ybo</t>
      </text>
    </comment>
    <comment authorId="0" ref="R341">
      <text>
        <t xml:space="preserve">2_ABaOnueKvzfEZWWFnnxm0AxbyGexXHQqM6jTHPsk8ZoucdgAzA0mm7i0uuap1TUbwiv-4_A</t>
      </text>
    </comment>
    <comment authorId="0" ref="T341">
      <text>
        <t xml:space="preserve">2_ABaOnueKvzfEZWWFnnxm0AxbyGexXHQqM6jTHPsk8ZoucdgAzA0mm7i0uuap1TUbwiv-4_A</t>
      </text>
    </comment>
    <comment authorId="0" ref="R342">
      <text>
        <t xml:space="preserve">2_ABaOnuc8phkXjhT-ZL2OZjQNysVIPcf2R8j3ElJNx18d0RGT9xw6N61KleKTHAgeIOnRaVc</t>
      </text>
    </comment>
    <comment authorId="0" ref="T342">
      <text>
        <t xml:space="preserve">2_ABaOnuc8phkXjhT-ZL2OZjQNysVIPcf2R8j3ElJNx18d0RGT9xw6N61KleKTHAgeIOnRaVc</t>
      </text>
    </comment>
    <comment authorId="0" ref="R343">
      <text>
        <t xml:space="preserve">2_ABaOnudPRZA2hYoBnhXIcmjhZXdDubyAR6LQLWAqE9fLEc-I_20Tpr84vCIQ8vGQE9Ityzo</t>
      </text>
    </comment>
    <comment authorId="0" ref="T343">
      <text>
        <t xml:space="preserve">2_ABaOnudPRZA2hYoBnhXIcmjhZXdDubyAR6LQLWAqE9fLEc-I_20Tpr84vCIQ8vGQE9Ityzo</t>
      </text>
    </comment>
    <comment authorId="0" ref="R344">
      <text>
        <t xml:space="preserve">2_ABaOnufjQ_aRVAXEtN2nZFhFxNpAC0WZ6UBt0REhEB1xcDEWY1Kq6-yqMSKwewGFo4exgdE</t>
      </text>
    </comment>
    <comment authorId="0" ref="T344">
      <text>
        <t xml:space="preserve">2_ABaOnufjQ_aRVAXEtN2nZFhFxNpAC0WZ6UBt0REhEB1xcDEWY1Kq6-yqMSKwewGFo4exgdE</t>
      </text>
    </comment>
    <comment authorId="0" ref="R345">
      <text>
        <t xml:space="preserve">2_ABaOnuchtNCGI3j8PH4TK0qCP8hYbvKQ19qKpqqWfyD_uHhaWAR_34aeyx1trAA5291fi_Y</t>
      </text>
    </comment>
    <comment authorId="0" ref="T345">
      <text>
        <t xml:space="preserve">2_ABaOnuchtNCGI3j8PH4TK0qCP8hYbvKQ19qKpqqWfyD_uHhaWAR_34aeyx1trAA5291fi_Y</t>
      </text>
    </comment>
    <comment authorId="0" ref="R346">
      <text>
        <t xml:space="preserve">2_ABaOnucNQnUhVOC06ajg4hf4x4n-2XLi4hndIEPMb3Ih_H_yQ90LgdqLBPm7K3swvMlem9o</t>
      </text>
    </comment>
    <comment authorId="0" ref="T346">
      <text>
        <t xml:space="preserve">2_ABaOnucNQnUhVOC06ajg4hf4x4n-2XLi4hndIEPMb3Ih_H_yQ90LgdqLBPm7K3swvMlem9o</t>
      </text>
    </comment>
    <comment authorId="0" ref="R347">
      <text>
        <t xml:space="preserve">2_ABaOnudv1Qccduy870a3dTr_5EbYsFunl-hb6S5C8-hqksIGPNIaEVu6-YxCFiHNDq_q_vI</t>
      </text>
    </comment>
    <comment authorId="0" ref="T347">
      <text>
        <t xml:space="preserve">2_ABaOnudv1Qccduy870a3dTr_5EbYsFunl-hb6S5C8-hqksIGPNIaEVu6-YxCFiHNDq_q_vI</t>
      </text>
    </comment>
    <comment authorId="0" ref="R348">
      <text>
        <t xml:space="preserve">2_ABaOnufotDccKBijyI1y5kkBzTKiFoCgp-SQhKFafKgb8iDMHVzS4qzA-aUOLxiZrBNr_8w</t>
      </text>
    </comment>
    <comment authorId="0" ref="T348">
      <text>
        <t xml:space="preserve">2_ABaOnufotDccKBijyI1y5kkBzTKiFoCgp-SQhKFafKgb8iDMHVzS4qzA-aUOLxiZrBNr_8w</t>
      </text>
    </comment>
    <comment authorId="0" ref="R349">
      <text>
        <t xml:space="preserve">2_ABaOnucV3vExelZr8pTLWzg99pz-nGC5TT2sRvNKdjPchGkNVzpmvu7uCvk9aeK9XxWm82U</t>
      </text>
    </comment>
    <comment authorId="0" ref="T349">
      <text>
        <t xml:space="preserve">2_ABaOnucV3vExelZr8pTLWzg99pz-nGC5TT2sRvNKdjPchGkNVzpmvu7uCvk9aeK9XxWm82U</t>
      </text>
    </comment>
    <comment authorId="0" ref="R350">
      <text>
        <t xml:space="preserve">2_ABaOnue7XBmDyCU4qGj61PRe0O_rEuDdiyG-Qg69XaOc8AJeWSAY2-DxgdcaoAcaufZRInU</t>
      </text>
    </comment>
    <comment authorId="0" ref="T350">
      <text>
        <t xml:space="preserve">2_ABaOnue7XBmDyCU4qGj61PRe0O_rEuDdiyG-Qg69XaOc8AJeWSAY2-DxgdcaoAcaufZRInU</t>
      </text>
    </comment>
    <comment authorId="0" ref="R351">
      <text>
        <t xml:space="preserve">2_ABaOnucHJuRxQE53gsi9YONm9d7SqIdxG67Th8giq0VoBN9eCnE5wLVq59629lk244Bo3sk</t>
      </text>
    </comment>
    <comment authorId="0" ref="T351">
      <text>
        <t xml:space="preserve">2_ABaOnucHJuRxQE53gsi9YONm9d7SqIdxG67Th8giq0VoBN9eCnE5wLVq59629lk244Bo3sk</t>
      </text>
    </comment>
    <comment authorId="0" ref="R352">
      <text>
        <t xml:space="preserve">2_ABaOnue6u1bor8S_1htx0X7WauBI7kAjS61AGxt0Fxl2-yNrOR4hhYWDU-UMD70AytNMVLM</t>
      </text>
    </comment>
    <comment authorId="0" ref="T352">
      <text>
        <t xml:space="preserve">2_ABaOnue6u1bor8S_1htx0X7WauBI7kAjS61AGxt0Fxl2-yNrOR4hhYWDU-UMD70AytNMVLM</t>
      </text>
    </comment>
    <comment authorId="0" ref="R353">
      <text>
        <t xml:space="preserve">2_ABaOnudu0e-K-4V_MHQfPdGi7H2lbIlXfEhkfb37NJuAATj_j9tXFsxYpWlnVoLEnmPphEg</t>
      </text>
    </comment>
    <comment authorId="0" ref="T353">
      <text>
        <t xml:space="preserve">2_ABaOnudu0e-K-4V_MHQfPdGi7H2lbIlXfEhkfb37NJuAATj_j9tXFsxYpWlnVoLEnmPphEg</t>
      </text>
    </comment>
    <comment authorId="0" ref="R354">
      <text>
        <t xml:space="preserve">2_ABaOnudAFCB280yhLGl5H-Q8AuwY4Xcvuxk_5bxZdjAUhRXq-Q5AU2xnknfPK-Su6eyafQc</t>
      </text>
    </comment>
    <comment authorId="0" ref="T354">
      <text>
        <t xml:space="preserve">2_ABaOnudAFCB280yhLGl5H-Q8AuwY4Xcvuxk_5bxZdjAUhRXq-Q5AU2xnknfPK-Su6eyafQc</t>
      </text>
    </comment>
    <comment authorId="0" ref="R355">
      <text>
        <t xml:space="preserve">2_ABaOnucQx07XPUoJTql_blIlXRBEcAXewF3VLeXmOo9eMgO9Kje-ovDBRHTRAeP6IILqDWo</t>
      </text>
    </comment>
    <comment authorId="0" ref="T355">
      <text>
        <t xml:space="preserve">2_ABaOnucQx07XPUoJTql_blIlXRBEcAXewF3VLeXmOo9eMgO9Kje-ovDBRHTRAeP6IILqDWo</t>
      </text>
    </comment>
    <comment authorId="0" ref="R356">
      <text>
        <t xml:space="preserve">2_ABaOnucbPgJFQt_sQ4XggvvmY_3tdfAQ3paaNgukVLIPrvkGRh9Rbdwbn95AayqkTqlgS0E</t>
      </text>
    </comment>
    <comment authorId="0" ref="T356">
      <text>
        <t xml:space="preserve">2_ABaOnucbPgJFQt_sQ4XggvvmY_3tdfAQ3paaNgukVLIPrvkGRh9Rbdwbn95AayqkTqlgS0E</t>
      </text>
    </comment>
    <comment authorId="0" ref="R357">
      <text>
        <t xml:space="preserve">2_ABaOnufd4P_cEPTtTBNLd0DdVN2OPqfXpD5-KSXn_-Wsecw03cXu7TJsDadU5C9GmJywxUk</t>
      </text>
    </comment>
    <comment authorId="0" ref="T357">
      <text>
        <t xml:space="preserve">2_ABaOnufd4P_cEPTtTBNLd0DdVN2OPqfXpD5-KSXn_-Wsecw03cXu7TJsDadU5C9GmJywxUk</t>
      </text>
    </comment>
    <comment authorId="0" ref="R358">
      <text>
        <t xml:space="preserve">2_ABaOnucE1gIE1uCSe5Rnoc8kQ3nBuKT9XVX2cBb1eLOsIyY4CrvDx1JcvxsW-Sj4BiMFdAg</t>
      </text>
    </comment>
    <comment authorId="0" ref="T358">
      <text>
        <t xml:space="preserve">2_ABaOnucE1gIE1uCSe5Rnoc8kQ3nBuKT9XVX2cBb1eLOsIyY4CrvDx1JcvxsW-Sj4BiMFdAg</t>
      </text>
    </comment>
    <comment authorId="0" ref="R359">
      <text>
        <t xml:space="preserve">2_ABaOnudkTLsZQH_S-9y7ECRlKqiwFy77t9ZEbTDgVlWKEXMSkFpYXFJixjGtaIRcEBOAeMw</t>
      </text>
    </comment>
    <comment authorId="0" ref="T359">
      <text>
        <t xml:space="preserve">2_ABaOnudkTLsZQH_S-9y7ECRlKqiwFy77t9ZEbTDgVlWKEXMSkFpYXFJixjGtaIRcEBOAeMw</t>
      </text>
    </comment>
    <comment authorId="0" ref="R360">
      <text>
        <t xml:space="preserve">2_ABaOnufyexYQVWp-ns8UR-SYHZRlqPg76_eOAIy-nd4wrpV1FyLDOiU7GfmCQ6nzqzBJEQ4</t>
      </text>
    </comment>
    <comment authorId="0" ref="T360">
      <text>
        <t xml:space="preserve">2_ABaOnufyexYQVWp-ns8UR-SYHZRlqPg76_eOAIy-nd4wrpV1FyLDOiU7GfmCQ6nzqzBJEQ4</t>
      </text>
    </comment>
    <comment authorId="0" ref="R361">
      <text>
        <t xml:space="preserve">2_ABaOnuerWuJeaIzT6AC5_RisT70sQ550YdCB_3D0xylgqDn6tdIcGyamU4oFNn7RzejigZE</t>
      </text>
    </comment>
    <comment authorId="0" ref="T361">
      <text>
        <t xml:space="preserve">2_ABaOnuerWuJeaIzT6AC5_RisT70sQ550YdCB_3D0xylgqDn6tdIcGyamU4oFNn7RzejigZE</t>
      </text>
    </comment>
    <comment authorId="0" ref="R362">
      <text>
        <t xml:space="preserve">2_ABaOnufg6CRhJyQQmD8h63I1vZGI_B3tWg7i01TYywZXVgU5-i83XBZHLrdlgt9nM_0UdcU</t>
      </text>
    </comment>
    <comment authorId="0" ref="T362">
      <text>
        <t xml:space="preserve">2_ABaOnufg6CRhJyQQmD8h63I1vZGI_B3tWg7i01TYywZXVgU5-i83XBZHLrdlgt9nM_0UdcU</t>
      </text>
    </comment>
    <comment authorId="0" ref="R363">
      <text>
        <t xml:space="preserve">2_ABaOnuevx7hUXhCJOc_WNH95XDSMzyUYjVX3hj2W5RNgQvuA4Zh-YfPEILwwmtWEkQdMaIc</t>
      </text>
    </comment>
    <comment authorId="0" ref="T363">
      <text>
        <t xml:space="preserve">2_ABaOnuevx7hUXhCJOc_WNH95XDSMzyUYjVX3hj2W5RNgQvuA4Zh-YfPEILwwmtWEkQdMaIc</t>
      </text>
    </comment>
    <comment authorId="0" ref="R364">
      <text>
        <t xml:space="preserve">2_ABaOnuf5mgHFNWMdLHLxKW6CZMiOpPINGxyC0E4eF3uYpT4htwe3CQJdfsSPmm2SZeyCF6E</t>
      </text>
    </comment>
    <comment authorId="0" ref="T364">
      <text>
        <t xml:space="preserve">2_ABaOnuf5mgHFNWMdLHLxKW6CZMiOpPINGxyC0E4eF3uYpT4htwe3CQJdfsSPmm2SZeyCF6E</t>
      </text>
    </comment>
    <comment authorId="0" ref="R365">
      <text>
        <t xml:space="preserve">2_ABaOnuesC0AkAZMclb1_n6AyS28S-jv9I0heZ8NpJoPE-NsXBkJZUcBSP83fNmYsRsH_Wlw</t>
      </text>
    </comment>
    <comment authorId="0" ref="T365">
      <text>
        <t xml:space="preserve">2_ABaOnuesC0AkAZMclb1_n6AyS28S-jv9I0heZ8NpJoPE-NsXBkJZUcBSP83fNmYsRsH_Wlw</t>
      </text>
    </comment>
    <comment authorId="0" ref="R366">
      <text>
        <t xml:space="preserve">2_ABaOnufA3mLclg1dxT_dYo5k-h1JptJliV6qx_Bd91EddPlEd4y1i7LK1r00RiSKphR9KJA</t>
      </text>
    </comment>
    <comment authorId="0" ref="T366">
      <text>
        <t xml:space="preserve">2_ABaOnufA3mLclg1dxT_dYo5k-h1JptJliV6qx_Bd91EddPlEd4y1i7LK1r00RiSKphR9KJA</t>
      </text>
    </comment>
    <comment authorId="0" ref="R367">
      <text>
        <t xml:space="preserve">2_ABaOnucfE8eLFmD8ZyKAlUU12l83WNUgdNLo8Ch_IASaF-fkb95OB0mBkLl1TYyvL1IXimk</t>
      </text>
    </comment>
    <comment authorId="0" ref="T367">
      <text>
        <t xml:space="preserve">2_ABaOnucfE8eLFmD8ZyKAlUU12l83WNUgdNLo8Ch_IASaF-fkb95OB0mBkLl1TYyvL1IXimk</t>
      </text>
    </comment>
    <comment authorId="0" ref="R368">
      <text>
        <t xml:space="preserve">2_ABaOnuf1FQInLVC-N2pYn90s1-6KtllGYTZlIJd1GJlKbXJwQY_zDDnN4y6sMEfjI38kp18</t>
      </text>
    </comment>
    <comment authorId="0" ref="T368">
      <text>
        <t xml:space="preserve">2_ABaOnuf1FQInLVC-N2pYn90s1-6KtllGYTZlIJd1GJlKbXJwQY_zDDnN4y6sMEfjI38kp18</t>
      </text>
    </comment>
    <comment authorId="0" ref="R369">
      <text>
        <t xml:space="preserve">2_ABaOnufIdDvMD-NFcNcfHisx8aAbcg4u3lxIlNjUG8KORwkI_k57nR0xfQr7ppSelcl_2gI</t>
      </text>
    </comment>
    <comment authorId="0" ref="T369">
      <text>
        <t xml:space="preserve">2_ABaOnufIdDvMD-NFcNcfHisx8aAbcg4u3lxIlNjUG8KORwkI_k57nR0xfQr7ppSelcl_2gI</t>
      </text>
    </comment>
    <comment authorId="0" ref="R370">
      <text>
        <t xml:space="preserve">2_ABaOnucF-uxFCE8SGCG-_B39tbPrPBsdZ8jpfiQTiuxTfQ1bJBfKE1Pc_wsPHt28a1W_KVA</t>
      </text>
    </comment>
    <comment authorId="0" ref="T370">
      <text>
        <t xml:space="preserve">2_ABaOnucF-uxFCE8SGCG-_B39tbPrPBsdZ8jpfiQTiuxTfQ1bJBfKE1Pc_wsPHt28a1W_KVA</t>
      </text>
    </comment>
    <comment authorId="0" ref="R371">
      <text>
        <t xml:space="preserve">2_ABaOnufHLwjxLNsSLS_VCMskVPZs8O7D7xNirl-0C6-RbuAn7X6m6r7C73_0EEBz57x3hzU</t>
      </text>
    </comment>
    <comment authorId="0" ref="T371">
      <text>
        <t xml:space="preserve">2_ABaOnufHLwjxLNsSLS_VCMskVPZs8O7D7xNirl-0C6-RbuAn7X6m6r7C73_0EEBz57x3hzU</t>
      </text>
    </comment>
    <comment authorId="0" ref="R372">
      <text>
        <t xml:space="preserve">2_ABaOnudYaMd4rKb9oO9RrJdSE_HohwRv5LBuz8fyF5aAfGp0Y7M3mf29OfyKx1HUWqBevVQ</t>
      </text>
    </comment>
    <comment authorId="0" ref="T372">
      <text>
        <t xml:space="preserve">2_ABaOnudYaMd4rKb9oO9RrJdSE_HohwRv5LBuz8fyF5aAfGp0Y7M3mf29OfyKx1HUWqBevVQ</t>
      </text>
    </comment>
    <comment authorId="0" ref="R373">
      <text>
        <t xml:space="preserve">2_ABaOnudCOSvElyCr2CBHPvSGTzzY3UcgtgtqlCRfrB--AAw39CafvM5t5sUg32-UqorqpjU</t>
      </text>
    </comment>
    <comment authorId="0" ref="T373">
      <text>
        <t xml:space="preserve">2_ABaOnudCOSvElyCr2CBHPvSGTzzY3UcgtgtqlCRfrB--AAw39CafvM5t5sUg32-UqorqpjU</t>
      </text>
    </comment>
    <comment authorId="0" ref="R374">
      <text>
        <t xml:space="preserve">2_ABaOnueJ2UeH8ALEHLDv7Uw3mArgGX4N8hTZivT-Dbs_f69RfSiwoUjO0OIDst-1e9cdpAY</t>
      </text>
    </comment>
    <comment authorId="0" ref="T374">
      <text>
        <t xml:space="preserve">2_ABaOnueJ2UeH8ALEHLDv7Uw3mArgGX4N8hTZivT-Dbs_f69RfSiwoUjO0OIDst-1e9cdpAY</t>
      </text>
    </comment>
    <comment authorId="0" ref="R375">
      <text>
        <t xml:space="preserve">2_ABaOnuf_o65GT8heGM2as0dFm-AbDEA8yrSDMvfIcgMtetARv7C5gUGsf4iU78BdpbfQ1DU</t>
      </text>
    </comment>
    <comment authorId="0" ref="T375">
      <text>
        <t xml:space="preserve">2_ABaOnuf_o65GT8heGM2as0dFm-AbDEA8yrSDMvfIcgMtetARv7C5gUGsf4iU78BdpbfQ1DU</t>
      </text>
    </comment>
    <comment authorId="0" ref="R376">
      <text>
        <t xml:space="preserve">2_ABaOnucoR6WoxfAm30UE6O9BDplv7VRld-qs_kESYQw9oAg7zDsLJTKmWHvupBp87Eksric</t>
      </text>
    </comment>
    <comment authorId="0" ref="T376">
      <text>
        <t xml:space="preserve">2_ABaOnucoR6WoxfAm30UE6O9BDplv7VRld-qs_kESYQw9oAg7zDsLJTKmWHvupBp87Eksric</t>
      </text>
    </comment>
    <comment authorId="0" ref="R377">
      <text>
        <t xml:space="preserve">2_ABaOnucxwqBZShzISEl5TdoG5U-mFL4fNQFlV6zI5np_Vo1_ugxX72b5KkjON0Z-300Lxnw</t>
      </text>
    </comment>
    <comment authorId="0" ref="T377">
      <text>
        <t xml:space="preserve">2_ABaOnucxwqBZShzISEl5TdoG5U-mFL4fNQFlV6zI5np_Vo1_ugxX72b5KkjON0Z-300Lxnw</t>
      </text>
    </comment>
    <comment authorId="0" ref="R378">
      <text>
        <t xml:space="preserve">2_ABaOnucJzr6j0uvAAKmNVfzxAunFj9N5P-qN7oL75_GukbOeNibc7I8WUdx-uPGv92VZvGQ</t>
      </text>
    </comment>
    <comment authorId="0" ref="T378">
      <text>
        <t xml:space="preserve">2_ABaOnucJzr6j0uvAAKmNVfzxAunFj9N5P-qN7oL75_GukbOeNibc7I8WUdx-uPGv92VZvGQ</t>
      </text>
    </comment>
    <comment authorId="0" ref="R379">
      <text>
        <t xml:space="preserve">2_ABaOnufKW5QiI084SP-6p3wGKjBamUMVOa3bK9uH4--iu4saw1_dD6ZlbFF-WgRab_m-sjE</t>
      </text>
    </comment>
    <comment authorId="0" ref="T379">
      <text>
        <t xml:space="preserve">2_ABaOnufKW5QiI084SP-6p3wGKjBamUMVOa3bK9uH4--iu4saw1_dD6ZlbFF-WgRab_m-sjE</t>
      </text>
    </comment>
    <comment authorId="0" ref="R380">
      <text>
        <t xml:space="preserve">2_ABaOnud7wBcSWGoAYO7c6gzzFP5IgaW69reWtvsCFhnYNBgidhAlWvw8UOP270B3jEp3-qg</t>
      </text>
    </comment>
    <comment authorId="0" ref="T380">
      <text>
        <t xml:space="preserve">2_ABaOnud7wBcSWGoAYO7c6gzzFP5IgaW69reWtvsCFhnYNBgidhAlWvw8UOP270B3jEp3-qg</t>
      </text>
    </comment>
    <comment authorId="0" ref="R381">
      <text>
        <t xml:space="preserve">2_ABaOnufAyA-08TAAQfYkVhLejKCtqeDXXa2SXfZJPXtNoPSQ68ztXRSeRQiqiAKkqKtNi1k</t>
      </text>
    </comment>
    <comment authorId="0" ref="T381">
      <text>
        <t xml:space="preserve">2_ABaOnufAyA-08TAAQfYkVhLejKCtqeDXXa2SXfZJPXtNoPSQ68ztXRSeRQiqiAKkqKtNi1k</t>
      </text>
    </comment>
    <comment authorId="0" ref="R382">
      <text>
        <t xml:space="preserve">2_ABaOnudEBH7Ody5otwhIbd1HbGChrxDAUcDXHDlA4rvpjbFIgJA07ebFSnKAE6tEGy9oMa8</t>
      </text>
    </comment>
    <comment authorId="0" ref="T382">
      <text>
        <t xml:space="preserve">2_ABaOnudEBH7Ody5otwhIbd1HbGChrxDAUcDXHDlA4rvpjbFIgJA07ebFSnKAE6tEGy9oMa8</t>
      </text>
    </comment>
    <comment authorId="0" ref="R383">
      <text>
        <t xml:space="preserve">2_ABaOnueb7qb9GfpgU8QAM0pWkR94ycvKxV1zQK6wNWC5LMbgPTvpnQbT_AJGEcWFrkJf77U</t>
      </text>
    </comment>
    <comment authorId="0" ref="T383">
      <text>
        <t xml:space="preserve">2_ABaOnueb7qb9GfpgU8QAM0pWkR94ycvKxV1zQK6wNWC5LMbgPTvpnQbT_AJGEcWFrkJf77U</t>
      </text>
    </comment>
    <comment authorId="0" ref="R384">
      <text>
        <t xml:space="preserve">2_ABaOnud49r3B-4Aybx7jiwbWIqBKdaKfEmvDv4He152cJ9qHICPvID1wz1AvdgntyLH9Ciw</t>
      </text>
    </comment>
    <comment authorId="0" ref="T384">
      <text>
        <t xml:space="preserve">2_ABaOnud49r3B-4Aybx7jiwbWIqBKdaKfEmvDv4He152cJ9qHICPvID1wz1AvdgntyLH9Ciw</t>
      </text>
    </comment>
    <comment authorId="0" ref="R385">
      <text>
        <t xml:space="preserve">2_ABaOnucx0I6x2wz8n9Z126F243RST7ULUWtRZShfM-DEGfe9Sxyujcfh0iZquLvom4GGVLc</t>
      </text>
    </comment>
    <comment authorId="0" ref="T385">
      <text>
        <t xml:space="preserve">2_ABaOnucx0I6x2wz8n9Z126F243RST7ULUWtRZShfM-DEGfe9Sxyujcfh0iZquLvom4GGVLc</t>
      </text>
    </comment>
    <comment authorId="0" ref="R386">
      <text>
        <t xml:space="preserve">2_ABaOnudeumT9omIOgNCpZJi5s6zAeHuprBbDCuMyXEqQ0doGNy30AFFRlOX3OAnt3rYsGxc</t>
      </text>
    </comment>
    <comment authorId="0" ref="T386">
      <text>
        <t xml:space="preserve">2_ABaOnudeumT9omIOgNCpZJi5s6zAeHuprBbDCuMyXEqQ0doGNy30AFFRlOX3OAnt3rYsGxc</t>
      </text>
    </comment>
    <comment authorId="0" ref="R387">
      <text>
        <t xml:space="preserve">2_ABaOnudB1v1vyjHr_DozFQn4bOWPO7bciHqz4ZqW6FUKDGew7wd54aCNtal1Apf4zUMdp1U</t>
      </text>
    </comment>
    <comment authorId="0" ref="T387">
      <text>
        <t xml:space="preserve">2_ABaOnudB1v1vyjHr_DozFQn4bOWPO7bciHqz4ZqW6FUKDGew7wd54aCNtal1Apf4zUMdp1U</t>
      </text>
    </comment>
    <comment authorId="0" ref="R388">
      <text>
        <t xml:space="preserve">2_ABaOnuePibw8a-3nuNO9xbF2HGZNhQmBNmg9VEMp6pOkJG4jnWNb5XP5wQhiWb4ti7TiYSw</t>
      </text>
    </comment>
    <comment authorId="0" ref="T388">
      <text>
        <t xml:space="preserve">2_ABaOnuePibw8a-3nuNO9xbF2HGZNhQmBNmg9VEMp6pOkJG4jnWNb5XP5wQhiWb4ti7TiYSw</t>
      </text>
    </comment>
    <comment authorId="0" ref="R389">
      <text>
        <t xml:space="preserve">2_ABaOnueNDW87flHVUfjEFMQvqjfJvid1TkiFv5PLczUqKhRby7UJvxhN9srFb_Pvq63kOP8</t>
      </text>
    </comment>
    <comment authorId="0" ref="T389">
      <text>
        <t xml:space="preserve">2_ABaOnueNDW87flHVUfjEFMQvqjfJvid1TkiFv5PLczUqKhRby7UJvxhN9srFb_Pvq63kOP8</t>
      </text>
    </comment>
    <comment authorId="0" ref="R390">
      <text>
        <t xml:space="preserve">2_ABaOnucMZ0wHQVYk1bds38tnhNKOAKFwyCel0j-AWNBpxTi3H1fi_bvZRkEJT1mCOrOW0PI</t>
      </text>
    </comment>
    <comment authorId="0" ref="T390">
      <text>
        <t xml:space="preserve">2_ABaOnucMZ0wHQVYk1bds38tnhNKOAKFwyCel0j-AWNBpxTi3H1fi_bvZRkEJT1mCOrOW0PI</t>
      </text>
    </comment>
    <comment authorId="0" ref="R391">
      <text>
        <t xml:space="preserve">2_ABaOnuexFpKoZkaeeLYcrvQRq94kfrjGUQKXrMZjjBSFj2LWvNkqWT03Msb3fRagoSKPz-w</t>
      </text>
    </comment>
    <comment authorId="0" ref="T391">
      <text>
        <t xml:space="preserve">2_ABaOnuexFpKoZkaeeLYcrvQRq94kfrjGUQKXrMZjjBSFj2LWvNkqWT03Msb3fRagoSKPz-w</t>
      </text>
    </comment>
    <comment authorId="0" ref="R392">
      <text>
        <t xml:space="preserve">2_ABaOnueDbzROFgU5knTaBxFDUyAxyysa8SJ39YitWJDM2hfWj-toqQvFXmap3_WRn1EUSn0</t>
      </text>
    </comment>
    <comment authorId="0" ref="T392">
      <text>
        <t xml:space="preserve">2_ABaOnueDbzROFgU5knTaBxFDUyAxyysa8SJ39YitWJDM2hfWj-toqQvFXmap3_WRn1EUSn0</t>
      </text>
    </comment>
    <comment authorId="0" ref="R393">
      <text>
        <t xml:space="preserve">2_ABaOnuc8n8hgSnuC7-YbbWEqiQrGdXG-kaARk0h8qv9oUEMNDvFxCeBY_cQNf-C0ieJZnOk</t>
      </text>
    </comment>
    <comment authorId="0" ref="T393">
      <text>
        <t xml:space="preserve">2_ABaOnuc8n8hgSnuC7-YbbWEqiQrGdXG-kaARk0h8qv9oUEMNDvFxCeBY_cQNf-C0ieJZnOk</t>
      </text>
    </comment>
    <comment authorId="0" ref="R394">
      <text>
        <t xml:space="preserve">2_ABaOnucKKYfO4RtJgrJ94MqUVDYmKz0tqke6ad0r_EKlYW2LYUX5P2w1a26HLJ7r2uE33TE</t>
      </text>
    </comment>
    <comment authorId="0" ref="T394">
      <text>
        <t xml:space="preserve">2_ABaOnucKKYfO4RtJgrJ94MqUVDYmKz0tqke6ad0r_EKlYW2LYUX5P2w1a26HLJ7r2uE33TE</t>
      </text>
    </comment>
    <comment authorId="0" ref="R395">
      <text>
        <t xml:space="preserve">2_ABaOnucVhF4iYfn7hoDfF3-QDaPvR2pT4dcZ2Qk20NKr95AlP-4d-Vph2EoXcIM_Zx0sjPw</t>
      </text>
    </comment>
    <comment authorId="0" ref="T395">
      <text>
        <t xml:space="preserve">2_ABaOnucVhF4iYfn7hoDfF3-QDaPvR2pT4dcZ2Qk20NKr95AlP-4d-Vph2EoXcIM_Zx0sjPw</t>
      </text>
    </comment>
    <comment authorId="0" ref="R396">
      <text>
        <t xml:space="preserve">2_ABaOnudCdlbVlrm1oPXd59TsZJ5tgRxdczVugiIjc7bPP_0mkBTcxM_SFLbBYozn-y8_pqA</t>
      </text>
    </comment>
    <comment authorId="0" ref="T396">
      <text>
        <t xml:space="preserve">2_ABaOnudCdlbVlrm1oPXd59TsZJ5tgRxdczVugiIjc7bPP_0mkBTcxM_SFLbBYozn-y8_pqA</t>
      </text>
    </comment>
    <comment authorId="0" ref="R397">
      <text>
        <t xml:space="preserve">2_ABaOnudDcxEB-h_QpUvXs2OZeBsa9JG6M3QtRdAkyHArAU0AyE3V67J8XDNBbADD7FNmWtg</t>
      </text>
    </comment>
    <comment authorId="0" ref="T397">
      <text>
        <t xml:space="preserve">2_ABaOnudDcxEB-h_QpUvXs2OZeBsa9JG6M3QtRdAkyHArAU0AyE3V67J8XDNBbADD7FNmWtg</t>
      </text>
    </comment>
    <comment authorId="0" ref="R398">
      <text>
        <t xml:space="preserve">2_ABaOnudZgVeDIoicqF7uU505vpWUuE4uxM599D0RbNQaIgwLekxlCoKg3sDQDDfXkZ-bGiU</t>
      </text>
    </comment>
    <comment authorId="0" ref="T398">
      <text>
        <t xml:space="preserve">2_ABaOnudZgVeDIoicqF7uU505vpWUuE4uxM599D0RbNQaIgwLekxlCoKg3sDQDDfXkZ-bGiU</t>
      </text>
    </comment>
    <comment authorId="0" ref="R399">
      <text>
        <t xml:space="preserve">2_ABaOnue9iH7cK_ID8-cjvsRGU0MQINR21TAFy_MVqp-9V9-n4wED4iWwU2rcOcsWZOBdvJY</t>
      </text>
    </comment>
    <comment authorId="0" ref="T399">
      <text>
        <t xml:space="preserve">2_ABaOnue9iH7cK_ID8-cjvsRGU0MQINR21TAFy_MVqp-9V9-n4wED4iWwU2rcOcsWZOBdvJY</t>
      </text>
    </comment>
    <comment authorId="0" ref="R400">
      <text>
        <t xml:space="preserve">2_ABaOnufTXQfRaDE1FthJeQ9YFKIZ3nGkiBU7i67jQO6zShdg0j6L-_51PlcU3S5X6WnpNk0</t>
      </text>
    </comment>
    <comment authorId="0" ref="T400">
      <text>
        <t xml:space="preserve">2_ABaOnufTXQfRaDE1FthJeQ9YFKIZ3nGkiBU7i67jQO6zShdg0j6L-_51PlcU3S5X6WnpNk0</t>
      </text>
    </comment>
    <comment authorId="0" ref="R401">
      <text>
        <t xml:space="preserve">2_ABaOnucgoQHLS4xagrpuYn9FRZnOjiggwvSLQqbo1KJLQk0gy8yC1u-QGQNbjoNAkz76vfI</t>
      </text>
    </comment>
    <comment authorId="0" ref="T401">
      <text>
        <t xml:space="preserve">2_ABaOnucgoQHLS4xagrpuYn9FRZnOjiggwvSLQqbo1KJLQk0gy8yC1u-QGQNbjoNAkz76vfI</t>
      </text>
    </comment>
    <comment authorId="0" ref="R402">
      <text>
        <t xml:space="preserve">2_ABaOnufw7Wqu1BDEel6eu8HZI4bAA2SZCsCmN9z-Kx7DIF5UhQw2h6pJfK5pQMUYfLaZw5Q</t>
      </text>
    </comment>
    <comment authorId="0" ref="T402">
      <text>
        <t xml:space="preserve">2_ABaOnufw7Wqu1BDEel6eu8HZI4bAA2SZCsCmN9z-Kx7DIF5UhQw2h6pJfK5pQMUYfLaZw5Q</t>
      </text>
    </comment>
    <comment authorId="0" ref="R403">
      <text>
        <t xml:space="preserve">2_ABaOnufu2wwn6CdhXwpihPOF7z5LgRaFQUmCByXAU0OE1U_2pXVxshTYB7hTNHdSn9EZXvw</t>
      </text>
    </comment>
    <comment authorId="0" ref="T403">
      <text>
        <t xml:space="preserve">2_ABaOnufu2wwn6CdhXwpihPOF7z5LgRaFQUmCByXAU0OE1U_2pXVxshTYB7hTNHdSn9EZXvw</t>
      </text>
    </comment>
    <comment authorId="0" ref="R404">
      <text>
        <t xml:space="preserve">2_ABaOnueNoftjAI70F7UT02summqz6z7FRsgPybkBn4WtpQCktZHyeuPXWhRkXf-Cbb_ED5Q</t>
      </text>
    </comment>
    <comment authorId="0" ref="T404">
      <text>
        <t xml:space="preserve">2_ABaOnueNoftjAI70F7UT02summqz6z7FRsgPybkBn4WtpQCktZHyeuPXWhRkXf-Cbb_ED5Q</t>
      </text>
    </comment>
    <comment authorId="0" ref="R405">
      <text>
        <t xml:space="preserve">2_ABaOnufO_hu-gTkZCHoWntr0dPN48t0qhoysUFfE4EG_n8NvOdLYLrBM9nQHtJYVuS68wns</t>
      </text>
    </comment>
    <comment authorId="0" ref="T405">
      <text>
        <t xml:space="preserve">2_ABaOnufO_hu-gTkZCHoWntr0dPN48t0qhoysUFfE4EG_n8NvOdLYLrBM9nQHtJYVuS68wns</t>
      </text>
    </comment>
    <comment authorId="0" ref="R406">
      <text>
        <t xml:space="preserve">2_ABaOnuefpuvC65rTKRPEQRHjr-VKVVfkwC7xBVpdK2fdzvqaJ2BhO5kNfeGRPI8MpFaszCU</t>
      </text>
    </comment>
    <comment authorId="0" ref="T406">
      <text>
        <t xml:space="preserve">2_ABaOnuefpuvC65rTKRPEQRHjr-VKVVfkwC7xBVpdK2fdzvqaJ2BhO5kNfeGRPI8MpFaszCU</t>
      </text>
    </comment>
    <comment authorId="0" ref="R407">
      <text>
        <t xml:space="preserve">2_ABaOnucJQqtl4JjDhkwkqKFuorJ3e_6e1zcIFBzOt-LJDpJ_mQNrAfSjc6N6lwGqpVzgigk</t>
      </text>
    </comment>
    <comment authorId="0" ref="T407">
      <text>
        <t xml:space="preserve">2_ABaOnucJQqtl4JjDhkwkqKFuorJ3e_6e1zcIFBzOt-LJDpJ_mQNrAfSjc6N6lwGqpVzgigk</t>
      </text>
    </comment>
    <comment authorId="0" ref="R408">
      <text>
        <t xml:space="preserve">2_ABaOnud_KrgLm1fNTXiG3GF_P5uCYH5PTMJJUzclsqxoRx4MGQGMC97XQujFsgj6FuqJJ1A</t>
      </text>
    </comment>
    <comment authorId="0" ref="T408">
      <text>
        <t xml:space="preserve">2_ABaOnud_KrgLm1fNTXiG3GF_P5uCYH5PTMJJUzclsqxoRx4MGQGMC97XQujFsgj6FuqJJ1A</t>
      </text>
    </comment>
    <comment authorId="0" ref="R409">
      <text>
        <t xml:space="preserve">2_ABaOnudcPUybamSBheXjAXKZXmZTK3e37QnIEZYODjyuYMfaFQliSAnSCeilgVCIdsVXVEI</t>
      </text>
    </comment>
    <comment authorId="0" ref="T409">
      <text>
        <t xml:space="preserve">2_ABaOnudcPUybamSBheXjAXKZXmZTK3e37QnIEZYODjyuYMfaFQliSAnSCeilgVCIdsVXVEI</t>
      </text>
    </comment>
    <comment authorId="0" ref="R410">
      <text>
        <t xml:space="preserve">2_ABaOnufoEMtt6D5jBiogtNoalluwU5p-h22GN8eUTACFTaHSxgwx0uNhe-Z7o-RfTv_3J9Q</t>
      </text>
    </comment>
    <comment authorId="0" ref="T410">
      <text>
        <t xml:space="preserve">2_ABaOnufoEMtt6D5jBiogtNoalluwU5p-h22GN8eUTACFTaHSxgwx0uNhe-Z7o-RfTv_3J9Q</t>
      </text>
    </comment>
    <comment authorId="0" ref="R411">
      <text>
        <t xml:space="preserve">2_ABaOnucgtcb5-AcHrt9MMdGz_H3GIPus11No2RUn-862s2zVLYsS-NwYr4lA4NtQcH-RXzI</t>
      </text>
    </comment>
    <comment authorId="0" ref="T411">
      <text>
        <t xml:space="preserve">2_ABaOnucgtcb5-AcHrt9MMdGz_H3GIPus11No2RUn-862s2zVLYsS-NwYr4lA4NtQcH-RXzI</t>
      </text>
    </comment>
    <comment authorId="0" ref="R412">
      <text>
        <t xml:space="preserve">2_ABaOnueEZ7A2T4uy7g1EjMcfxEOIc9DhptEfoslkW2vSTSnJSTRDkZyRjqQAn2fAQG939AM</t>
      </text>
    </comment>
    <comment authorId="0" ref="T412">
      <text>
        <t xml:space="preserve">2_ABaOnueEZ7A2T4uy7g1EjMcfxEOIc9DhptEfoslkW2vSTSnJSTRDkZyRjqQAn2fAQG939AM</t>
      </text>
    </comment>
    <comment authorId="0" ref="R413">
      <text>
        <t xml:space="preserve">2_ABaOnuepdqUWItGlWeU4DdVUMoJL5XRv3NkfulsmhD9DFpdeYg7cIO9EG69TXZCvtpPftFg</t>
      </text>
    </comment>
    <comment authorId="0" ref="T413">
      <text>
        <t xml:space="preserve">2_ABaOnuepdqUWItGlWeU4DdVUMoJL5XRv3NkfulsmhD9DFpdeYg7cIO9EG69TXZCvtpPftFg</t>
      </text>
    </comment>
    <comment authorId="0" ref="R414">
      <text>
        <t xml:space="preserve">2_ABaOnucoQ-oGbh41Giq3M1ajZVpKlMoDvTuuDoOmQTjVUtORlUHFLJPlb1lai50K_nbpOYM</t>
      </text>
    </comment>
    <comment authorId="0" ref="T414">
      <text>
        <t xml:space="preserve">2_ABaOnucoQ-oGbh41Giq3M1ajZVpKlMoDvTuuDoOmQTjVUtORlUHFLJPlb1lai50K_nbpOYM</t>
      </text>
    </comment>
    <comment authorId="0" ref="R415">
      <text>
        <t xml:space="preserve">2_ABaOnuftQvdOOG69L3ZH8Nr8-OJ--CvsDzIsGyCpf-CzEgxMgKccc_A5TpIHVGWebjP9Qf4</t>
      </text>
    </comment>
    <comment authorId="0" ref="T415">
      <text>
        <t xml:space="preserve">2_ABaOnuftQvdOOG69L3ZH8Nr8-OJ--CvsDzIsGyCpf-CzEgxMgKccc_A5TpIHVGWebjP9Qf4</t>
      </text>
    </comment>
    <comment authorId="0" ref="R416">
      <text>
        <t xml:space="preserve">2_ABaOnuczamQmNHEHfi-5AGk7ogwbNWYe8uHJmZEC1XAd7Q4_hDpuvo5Ph3d4E5BFm2yZHYQ</t>
      </text>
    </comment>
    <comment authorId="0" ref="T416">
      <text>
        <t xml:space="preserve">2_ABaOnuczamQmNHEHfi-5AGk7ogwbNWYe8uHJmZEC1XAd7Q4_hDpuvo5Ph3d4E5BFm2yZHYQ</t>
      </text>
    </comment>
    <comment authorId="0" ref="R417">
      <text>
        <t xml:space="preserve">2_ABaOnuc6KkkNQKRVVR1nkQakjrk_RhwZ3eGceGE-2wd1aJwkCeKQXE4eQ8dTFr28vShi3lk</t>
      </text>
    </comment>
    <comment authorId="0" ref="T417">
      <text>
        <t xml:space="preserve">2_ABaOnuc6KkkNQKRVVR1nkQakjrk_RhwZ3eGceGE-2wd1aJwkCeKQXE4eQ8dTFr28vShi3lk</t>
      </text>
    </comment>
    <comment authorId="0" ref="R418">
      <text>
        <t xml:space="preserve">2_ABaOnuehkSx695dwe-vhzeULe4XQbWc4kiKAd-CYDTYMYvBvp2yuR_AlhDzx6Am6nthh-W4</t>
      </text>
    </comment>
    <comment authorId="0" ref="T418">
      <text>
        <t xml:space="preserve">2_ABaOnuehkSx695dwe-vhzeULe4XQbWc4kiKAd-CYDTYMYvBvp2yuR_AlhDzx6Am6nthh-W4</t>
      </text>
    </comment>
    <comment authorId="0" ref="R419">
      <text>
        <t xml:space="preserve">2_ABaOnudUnHj6js2-9_wVOZcAGaYxHXuBKwLESir-9kEgifgMUVfDp3x7G3j9s5E5VWcOexI</t>
      </text>
    </comment>
    <comment authorId="0" ref="T419">
      <text>
        <t xml:space="preserve">2_ABaOnudUnHj6js2-9_wVOZcAGaYxHXuBKwLESir-9kEgifgMUVfDp3x7G3j9s5E5VWcOexI</t>
      </text>
    </comment>
    <comment authorId="0" ref="R420">
      <text>
        <t xml:space="preserve">2_ABaOnudbEaEdrckwEOaFhZSGLs7Os49i5nOtx1VyorsHjvitM03UMWn2QJoJ6-5LtX0kvxo</t>
      </text>
    </comment>
    <comment authorId="0" ref="T420">
      <text>
        <t xml:space="preserve">2_ABaOnudbEaEdrckwEOaFhZSGLs7Os49i5nOtx1VyorsHjvitM03UMWn2QJoJ6-5LtX0kvxo</t>
      </text>
    </comment>
    <comment authorId="0" ref="R421">
      <text>
        <t xml:space="preserve">2_ABaOnufLal0DxJQr8g6fmyoTyx6ZDgm_Xz3j6pmjxk9xgcCD9DwCWfg76iBSNaRBEBcpdDA</t>
      </text>
    </comment>
    <comment authorId="0" ref="T421">
      <text>
        <t xml:space="preserve">2_ABaOnufLal0DxJQr8g6fmyoTyx6ZDgm_Xz3j6pmjxk9xgcCD9DwCWfg76iBSNaRBEBcpdDA</t>
      </text>
    </comment>
    <comment authorId="0" ref="R422">
      <text>
        <t xml:space="preserve">2_ABaOnue8icX3VocicHx3lwhGLnPwjLeuVWecabnwl5cEloVUCoa0E5kx4cKDT-yQauEXcoY</t>
      </text>
    </comment>
    <comment authorId="0" ref="T422">
      <text>
        <t xml:space="preserve">2_ABaOnue8icX3VocicHx3lwhGLnPwjLeuVWecabnwl5cEloVUCoa0E5kx4cKDT-yQauEXcoY</t>
      </text>
    </comment>
    <comment authorId="0" ref="R423">
      <text>
        <t xml:space="preserve">2_ABaOnucX2sRzK-jcKANgBfRxTYymydkuld9QSWuA2UD4ZbLc5JFrtAT2jDLuxYkl41ZiDFI</t>
      </text>
    </comment>
    <comment authorId="0" ref="T423">
      <text>
        <t xml:space="preserve">2_ABaOnucX2sRzK-jcKANgBfRxTYymydkuld9QSWuA2UD4ZbLc5JFrtAT2jDLuxYkl41ZiDFI</t>
      </text>
    </comment>
    <comment authorId="0" ref="R424">
      <text>
        <t xml:space="preserve">2_ABaOnudPa4C3TZ9vJn5uTGzGUUH3UnNHRmAb_Z7C6Px5avYwHKfygAip1HTv4lyGkUnN-Gg</t>
      </text>
    </comment>
    <comment authorId="0" ref="T424">
      <text>
        <t xml:space="preserve">2_ABaOnudPa4C3TZ9vJn5uTGzGUUH3UnNHRmAb_Z7C6Px5avYwHKfygAip1HTv4lyGkUnN-Gg</t>
      </text>
    </comment>
    <comment authorId="0" ref="R425">
      <text>
        <t xml:space="preserve">2_ABaOnufIRQGnDxIjVGzPSg-fhTadPvou42Bo14Noj2okMlNKKZ2V7-W3h_HAfiGEQgPBm_8</t>
      </text>
    </comment>
    <comment authorId="0" ref="T425">
      <text>
        <t xml:space="preserve">2_ABaOnufIRQGnDxIjVGzPSg-fhTadPvou42Bo14Noj2okMlNKKZ2V7-W3h_HAfiGEQgPBm_8</t>
      </text>
    </comment>
    <comment authorId="0" ref="R426">
      <text>
        <t xml:space="preserve">2_ABaOnufiPSZ9rxZdN5J8XQICpZZmOffeYINDqMmDj4CJ1AKbn63jdYZ7EYUQtKxyAObZpMA</t>
      </text>
    </comment>
    <comment authorId="0" ref="T426">
      <text>
        <t xml:space="preserve">2_ABaOnufiPSZ9rxZdN5J8XQICpZZmOffeYINDqMmDj4CJ1AKbn63jdYZ7EYUQtKxyAObZpMA</t>
      </text>
    </comment>
    <comment authorId="0" ref="R427">
      <text>
        <t xml:space="preserve">2_ABaOnufbEhDu_KjhMTsfnRDfzolpSBO9wIHD8_CZXzXVLmqUlSsHkM1Wa0fvV0SYkNUcMo0</t>
      </text>
    </comment>
    <comment authorId="0" ref="T427">
      <text>
        <t xml:space="preserve">2_ABaOnufbEhDu_KjhMTsfnRDfzolpSBO9wIHD8_CZXzXVLmqUlSsHkM1Wa0fvV0SYkNUcMo0</t>
      </text>
    </comment>
    <comment authorId="0" ref="R428">
      <text>
        <t xml:space="preserve">2_ABaOnuftUPG12do5WpUSPuwK62G0CdVjufyWC8n3KWe9KIi96bnf8MkZbjXvIR5R2Ma7eNk</t>
      </text>
    </comment>
    <comment authorId="0" ref="T428">
      <text>
        <t xml:space="preserve">2_ABaOnuftUPG12do5WpUSPuwK62G0CdVjufyWC8n3KWe9KIi96bnf8MkZbjXvIR5R2Ma7eNk</t>
      </text>
    </comment>
    <comment authorId="0" ref="R429">
      <text>
        <t xml:space="preserve">2_ABaOnudLPDTa1uD1inpdBOpH1jfuTZF7Cxl6zmcstZpMpEPoEJK9SNypLqvvKNq_l1umFcw</t>
      </text>
    </comment>
    <comment authorId="0" ref="T429">
      <text>
        <t xml:space="preserve">2_ABaOnudLPDTa1uD1inpdBOpH1jfuTZF7Cxl6zmcstZpMpEPoEJK9SNypLqvvKNq_l1umFcw</t>
      </text>
    </comment>
    <comment authorId="0" ref="R430">
      <text>
        <t xml:space="preserve">2_ABaOnufzwcmyN2fi6D6-Dji8S2EUhKftAZYTe4dNTzd4SxwzK21YCkcDaVH6klg77Z1AV84</t>
      </text>
    </comment>
    <comment authorId="0" ref="T430">
      <text>
        <t xml:space="preserve">2_ABaOnufzwcmyN2fi6D6-Dji8S2EUhKftAZYTe4dNTzd4SxwzK21YCkcDaVH6klg77Z1AV84</t>
      </text>
    </comment>
    <comment authorId="0" ref="R431">
      <text>
        <t xml:space="preserve">2_ABaOnufj-Qz7LP84zFdPC717Ahg-JuBvd64TSJvSl8NkD_QY89ywfrl0veRdhGZbvUguyGo</t>
      </text>
    </comment>
    <comment authorId="0" ref="T431">
      <text>
        <t xml:space="preserve">2_ABaOnufj-Qz7LP84zFdPC717Ahg-JuBvd64TSJvSl8NkD_QY89ywfrl0veRdhGZbvUguyGo</t>
      </text>
    </comment>
    <comment authorId="0" ref="R432">
      <text>
        <t xml:space="preserve">2_ABaOnud7QpgxQwpbtYrS_YEvKQopXDgjBbhSwQkgKCV-o03zmbV1pd0cp9PxGuqQlYm6QIM</t>
      </text>
    </comment>
    <comment authorId="0" ref="T432">
      <text>
        <t xml:space="preserve">2_ABaOnud7QpgxQwpbtYrS_YEvKQopXDgjBbhSwQkgKCV-o03zmbV1pd0cp9PxGuqQlYm6QIM</t>
      </text>
    </comment>
    <comment authorId="0" ref="R433">
      <text>
        <t xml:space="preserve">2_ABaOnuc7biVy-lRqKG-p9_nrZyUO-J6Mt8MHbHcmHqfJZP7LD6IHe9iz-aybrLCw56WoXy4</t>
      </text>
    </comment>
    <comment authorId="0" ref="T433">
      <text>
        <t xml:space="preserve">2_ABaOnuc7biVy-lRqKG-p9_nrZyUO-J6Mt8MHbHcmHqfJZP7LD6IHe9iz-aybrLCw56WoXy4</t>
      </text>
    </comment>
    <comment authorId="0" ref="R434">
      <text>
        <t xml:space="preserve">2_ABaOnue3Qz-vYCE1PYRR8es2MCXKiZ5eoJF17A2PpMCMo_pvZyq-ZQqVF1UIxB389TVjLDc</t>
      </text>
    </comment>
    <comment authorId="0" ref="T434">
      <text>
        <t xml:space="preserve">2_ABaOnue3Qz-vYCE1PYRR8es2MCXKiZ5eoJF17A2PpMCMo_pvZyq-ZQqVF1UIxB389TVjLDc</t>
      </text>
    </comment>
    <comment authorId="0" ref="R435">
      <text>
        <t xml:space="preserve">2_ABaOnudhwBQh_Be6RgYXEqMeRc7F1oYqcGNcI0tzQcfbb_54rKOzFsnWraUE4mbslhmDI3M</t>
      </text>
    </comment>
    <comment authorId="0" ref="T435">
      <text>
        <t xml:space="preserve">2_ABaOnudhwBQh_Be6RgYXEqMeRc7F1oYqcGNcI0tzQcfbb_54rKOzFsnWraUE4mbslhmDI3M</t>
      </text>
    </comment>
    <comment authorId="0" ref="R436">
      <text>
        <t xml:space="preserve">2_ABaOnufjM0hOHjqR44tSyLLUKtnlMOZ0StIYsa6qpheDuhjcGqR9dmIa0q8VsNRuV_mx4co</t>
      </text>
    </comment>
    <comment authorId="0" ref="T436">
      <text>
        <t xml:space="preserve">2_ABaOnufjM0hOHjqR44tSyLLUKtnlMOZ0StIYsa6qpheDuhjcGqR9dmIa0q8VsNRuV_mx4co</t>
      </text>
    </comment>
    <comment authorId="0" ref="R437">
      <text>
        <t xml:space="preserve">2_ABaOnudgjMkEYR9jN6Z64VZ_7246o2av-45cB_-uqUA4eU6T3yDUOTKe902M8510PAPR-pw</t>
      </text>
    </comment>
    <comment authorId="0" ref="T437">
      <text>
        <t xml:space="preserve">2_ABaOnudgjMkEYR9jN6Z64VZ_7246o2av-45cB_-uqUA4eU6T3yDUOTKe902M8510PAPR-pw</t>
      </text>
    </comment>
    <comment authorId="0" ref="R438">
      <text>
        <t xml:space="preserve">2_ABaOnueGgnjJiU8AABWLbXwM-D0zFh0104qW2Dir5r9171n69DY0lv3DflGEAwFClw6-7sw</t>
      </text>
    </comment>
    <comment authorId="0" ref="T438">
      <text>
        <t xml:space="preserve">2_ABaOnueGgnjJiU8AABWLbXwM-D0zFh0104qW2Dir5r9171n69DY0lv3DflGEAwFClw6-7sw</t>
      </text>
    </comment>
    <comment authorId="0" ref="R439">
      <text>
        <t xml:space="preserve">2_ABaOnuc_NRhfF1SCOYpzO6utZsZqv_v6HTMUv8oPS2cbErIRFguUjT72zGnQB0OFOBk6Zrs</t>
      </text>
    </comment>
    <comment authorId="0" ref="T439">
      <text>
        <t xml:space="preserve">2_ABaOnuc_NRhfF1SCOYpzO6utZsZqv_v6HTMUv8oPS2cbErIRFguUjT72zGnQB0OFOBk6Zrs</t>
      </text>
    </comment>
    <comment authorId="0" ref="R440">
      <text>
        <t xml:space="preserve">2_ABaOnudG3oZ2Iv1eNSXLdKIx33hqi8SXVbSAem5PUwZiSasSbQpa3xOZyphyjAZf1PCloLo</t>
      </text>
    </comment>
    <comment authorId="0" ref="T440">
      <text>
        <t xml:space="preserve">2_ABaOnudG3oZ2Iv1eNSXLdKIx33hqi8SXVbSAem5PUwZiSasSbQpa3xOZyphyjAZf1PCloLo</t>
      </text>
    </comment>
    <comment authorId="0" ref="R441">
      <text>
        <t xml:space="preserve">2_ABaOnudcYe6njXSDAS0D1CE86YAd_uO93WcPP3X2SmYIevXn7skdctUJ9S-0YJw62jB5DIk</t>
      </text>
    </comment>
    <comment authorId="0" ref="T441">
      <text>
        <t xml:space="preserve">2_ABaOnudcYe6njXSDAS0D1CE86YAd_uO93WcPP3X2SmYIevXn7skdctUJ9S-0YJw62jB5DIk</t>
      </text>
    </comment>
    <comment authorId="0" ref="R442">
      <text>
        <t xml:space="preserve">2_ABaOnueXLpo671bQFRzJeXYB83ikAZ9vVEJjlAJzHh-52wW24uAlYyx83aCROVx1kJb2Nqc</t>
      </text>
    </comment>
    <comment authorId="0" ref="T442">
      <text>
        <t xml:space="preserve">2_ABaOnueXLpo671bQFRzJeXYB83ikAZ9vVEJjlAJzHh-52wW24uAlYyx83aCROVx1kJb2Nqc</t>
      </text>
    </comment>
    <comment authorId="0" ref="R443">
      <text>
        <t xml:space="preserve">2_ABaOnuenvzqQpK4jv7S9Rm2V3WKVmaYU5dLtXKXOryir2gC0js4qVVM4XvkMJdFHU73K8x8</t>
      </text>
    </comment>
    <comment authorId="0" ref="T443">
      <text>
        <t xml:space="preserve">2_ABaOnuenvzqQpK4jv7S9Rm2V3WKVmaYU5dLtXKXOryir2gC0js4qVVM4XvkMJdFHU73K8x8</t>
      </text>
    </comment>
    <comment authorId="0" ref="R444">
      <text>
        <t xml:space="preserve">2_ABaOnufgf1wvhde3Kn5iYZx9yPYPjvBJAF-UkNtQrQJ9lacESWypRQi8YN3uAlFkZbqsedQ</t>
      </text>
    </comment>
    <comment authorId="0" ref="T444">
      <text>
        <t xml:space="preserve">2_ABaOnufgf1wvhde3Kn5iYZx9yPYPjvBJAF-UkNtQrQJ9lacESWypRQi8YN3uAlFkZbqsedQ</t>
      </text>
    </comment>
    <comment authorId="0" ref="R445">
      <text>
        <t xml:space="preserve">2_ABaOnudk_sZFHgoiV--RvV94S4ygu7FpwOHhW_jDiDyPcG7W8iDnTn-H_wUawMpxqy-Og4s</t>
      </text>
    </comment>
    <comment authorId="0" ref="T445">
      <text>
        <t xml:space="preserve">2_ABaOnudk_sZFHgoiV--RvV94S4ygu7FpwOHhW_jDiDyPcG7W8iDnTn-H_wUawMpxqy-Og4s</t>
      </text>
    </comment>
    <comment authorId="0" ref="R446">
      <text>
        <t xml:space="preserve">2_ABaOnudNU9bonS1fxnxGUcfVTNQVCDeo_KUomdRe61iKreApJJnK-uQMVbjuodE7-InObug</t>
      </text>
    </comment>
    <comment authorId="0" ref="T446">
      <text>
        <t xml:space="preserve">2_ABaOnudNU9bonS1fxnxGUcfVTNQVCDeo_KUomdRe61iKreApJJnK-uQMVbjuodE7-InObug</t>
      </text>
    </comment>
    <comment authorId="0" ref="R447">
      <text>
        <t xml:space="preserve">2_ABaOnudUFnc8KLLerbDP8LGOdDPZzsHuvb5H36wzgvJASvFfWUm4cDoCEZFtAZ-avr5NnFs</t>
      </text>
    </comment>
    <comment authorId="0" ref="T447">
      <text>
        <t xml:space="preserve">2_ABaOnudUFnc8KLLerbDP8LGOdDPZzsHuvb5H36wzgvJASvFfWUm4cDoCEZFtAZ-avr5NnFs</t>
      </text>
    </comment>
    <comment authorId="0" ref="R448">
      <text>
        <t xml:space="preserve">2_ABaOnudqrVIvAjADYBTdrX3RkXf7PFc8ELua9rDpLIExDMyXHcIb4A9VrQNac6FldJzFjGo</t>
      </text>
    </comment>
    <comment authorId="0" ref="T448">
      <text>
        <t xml:space="preserve">2_ABaOnudqrVIvAjADYBTdrX3RkXf7PFc8ELua9rDpLIExDMyXHcIb4A9VrQNac6FldJzFjGo</t>
      </text>
    </comment>
    <comment authorId="0" ref="R449">
      <text>
        <t xml:space="preserve">2_ABaOnud0dPS13-FfIWARs6Z9Dgu9LhWYK-FljshcXnbxIuTBAVc3qKrZJCuSvV1fAvV-42I</t>
      </text>
    </comment>
    <comment authorId="0" ref="T449">
      <text>
        <t xml:space="preserve">2_ABaOnud0dPS13-FfIWARs6Z9Dgu9LhWYK-FljshcXnbxIuTBAVc3qKrZJCuSvV1fAvV-42I</t>
      </text>
    </comment>
    <comment authorId="0" ref="R450">
      <text>
        <t xml:space="preserve">2_ABaOnuc6cYpjrLhmDDN081hkWTyGO4vhQP7ehCt-Y7hYZLadpsuNrWBI7A2FOYBCJMS8Pec</t>
      </text>
    </comment>
    <comment authorId="0" ref="T450">
      <text>
        <t xml:space="preserve">2_ABaOnuc6cYpjrLhmDDN081hkWTyGO4vhQP7ehCt-Y7hYZLadpsuNrWBI7A2FOYBCJMS8Pec</t>
      </text>
    </comment>
    <comment authorId="0" ref="R451">
      <text>
        <t xml:space="preserve">2_ABaOnudZgRJ0wuZdnr_Zkt2qMsGLyrefNBKuDvvRELekUly8PfPaHZ0rYgrUyL2Yo1-SKLs</t>
      </text>
    </comment>
    <comment authorId="0" ref="T451">
      <text>
        <t xml:space="preserve">2_ABaOnudZgRJ0wuZdnr_Zkt2qMsGLyrefNBKuDvvRELekUly8PfPaHZ0rYgrUyL2Yo1-SKLs</t>
      </text>
    </comment>
    <comment authorId="0" ref="R452">
      <text>
        <t xml:space="preserve">2_ABaOnucbeu9YG3yS-GZw5RfjX430tgOWQHef-xYhUD_hnXSQ5AtiiJiZ3m7SnPYXVvdIJQU</t>
      </text>
    </comment>
    <comment authorId="0" ref="T452">
      <text>
        <t xml:space="preserve">2_ABaOnucbeu9YG3yS-GZw5RfjX430tgOWQHef-xYhUD_hnXSQ5AtiiJiZ3m7SnPYXVvdIJQU</t>
      </text>
    </comment>
    <comment authorId="0" ref="R453">
      <text>
        <t xml:space="preserve">2_ABaOnueJXsYLdvN0m43rKcTEW1L2H0yQRw7SWxDe-Ms7_s8aUSY5yAjhKUbM5SHJgIxE61Q</t>
      </text>
    </comment>
    <comment authorId="0" ref="T453">
      <text>
        <t xml:space="preserve">2_ABaOnueJXsYLdvN0m43rKcTEW1L2H0yQRw7SWxDe-Ms7_s8aUSY5yAjhKUbM5SHJgIxE61Q</t>
      </text>
    </comment>
    <comment authorId="0" ref="R454">
      <text>
        <t xml:space="preserve">2_ABaOnueoggdnoVbIzgoLb3lMaBuGPbPAkW4pRQv7wOfod5bLMbkApAvjbJDV2vgecXy9VlM</t>
      </text>
    </comment>
    <comment authorId="0" ref="T454">
      <text>
        <t xml:space="preserve">2_ABaOnueoggdnoVbIzgoLb3lMaBuGPbPAkW4pRQv7wOfod5bLMbkApAvjbJDV2vgecXy9VlM</t>
      </text>
    </comment>
    <comment authorId="0" ref="R455">
      <text>
        <t xml:space="preserve">2_ABaOnufXUKQb0qDEausPvdvgOVUGnz-UAtHXbVGXVIAxl_FEsfwoTxdjYihLIzyccbF8QAw</t>
      </text>
    </comment>
    <comment authorId="0" ref="T455">
      <text>
        <t xml:space="preserve">2_ABaOnufXUKQb0qDEausPvdvgOVUGnz-UAtHXbVGXVIAxl_FEsfwoTxdjYihLIzyccbF8QAw</t>
      </text>
    </comment>
    <comment authorId="0" ref="R456">
      <text>
        <t xml:space="preserve">2_ABaOnud_lgWn6jRW1QKFVQiRSynzasqDnvZuCqPxKsPJMzxW3a_w-NI70OmwK2fk9ijPaa4</t>
      </text>
    </comment>
    <comment authorId="0" ref="T456">
      <text>
        <t xml:space="preserve">2_ABaOnud_lgWn6jRW1QKFVQiRSynzasqDnvZuCqPxKsPJMzxW3a_w-NI70OmwK2fk9ijPaa4</t>
      </text>
    </comment>
    <comment authorId="0" ref="R457">
      <text>
        <t xml:space="preserve">2_ABaOnucGgDj1rditSrX2k0NXJPdy4dCn496pZgswcfgrAESwcy_UtOTGXTFS67nPk1JS0QE</t>
      </text>
    </comment>
    <comment authorId="0" ref="T457">
      <text>
        <t xml:space="preserve">2_ABaOnucGgDj1rditSrX2k0NXJPdy4dCn496pZgswcfgrAESwcy_UtOTGXTFS67nPk1JS0QE</t>
      </text>
    </comment>
    <comment authorId="0" ref="R458">
      <text>
        <t xml:space="preserve">2_ABaOnuenMXFn2113FBBjA-WT5gcALsFV94MtqieGOgh6ufnR6Lg9uM8jTL2fu_FTQcGZl14</t>
      </text>
    </comment>
    <comment authorId="0" ref="T458">
      <text>
        <t xml:space="preserve">2_ABaOnuenMXFn2113FBBjA-WT5gcALsFV94MtqieGOgh6ufnR6Lg9uM8jTL2fu_FTQcGZl14</t>
      </text>
    </comment>
    <comment authorId="0" ref="R459">
      <text>
        <t xml:space="preserve">2_ABaOnue8gHnqpAMDR3UkikDaQRrrOEsjlXW3gmA7WMdz_X-idWovfex3URXrlYcXblzU0h8</t>
      </text>
    </comment>
    <comment authorId="0" ref="T459">
      <text>
        <t xml:space="preserve">2_ABaOnue8gHnqpAMDR3UkikDaQRrrOEsjlXW3gmA7WMdz_X-idWovfex3URXrlYcXblzU0h8</t>
      </text>
    </comment>
    <comment authorId="0" ref="R460">
      <text>
        <t xml:space="preserve">2_ABaOnuekvnsW3HE8JlonF-8OMqLygOM0Td1KmzEPiHIRrqKZp76S9xIanYsBTwveKGG3mT4</t>
      </text>
    </comment>
    <comment authorId="0" ref="T460">
      <text>
        <t xml:space="preserve">2_ABaOnuekvnsW3HE8JlonF-8OMqLygOM0Td1KmzEPiHIRrqKZp76S9xIanYsBTwveKGG3mT4</t>
      </text>
    </comment>
    <comment authorId="0" ref="R461">
      <text>
        <t xml:space="preserve">2_ABaOnuf605fktAgdfWYXLbNRzXkAZeizlL-2KVi0phqYiwjqEt4v1POgva0-0vvxVxLt5I8</t>
      </text>
    </comment>
    <comment authorId="0" ref="T461">
      <text>
        <t xml:space="preserve">2_ABaOnuf605fktAgdfWYXLbNRzXkAZeizlL-2KVi0phqYiwjqEt4v1POgva0-0vvxVxLt5I8</t>
      </text>
    </comment>
    <comment authorId="0" ref="R462">
      <text>
        <t xml:space="preserve">2_ABaOnuebiT11148HcqWg0nE_rG_r5oRu4m8F47e0xw5f2_ViUgQXDYPAcyPbY_8px0rtMbY</t>
      </text>
    </comment>
    <comment authorId="0" ref="T462">
      <text>
        <t xml:space="preserve">2_ABaOnuebiT11148HcqWg0nE_rG_r5oRu4m8F47e0xw5f2_ViUgQXDYPAcyPbY_8px0rtMbY</t>
      </text>
    </comment>
    <comment authorId="0" ref="R463">
      <text>
        <t xml:space="preserve">2_ABaOnuc78zbpKxp_r29GHMtrcZGk0Az0Cpfq87lJJY8IfEoBkWSk1Ih-g_CM1GmwV3ELiik</t>
      </text>
    </comment>
    <comment authorId="0" ref="T463">
      <text>
        <t xml:space="preserve">2_ABaOnuc78zbpKxp_r29GHMtrcZGk0Az0Cpfq87lJJY8IfEoBkWSk1Ih-g_CM1GmwV3ELiik</t>
      </text>
    </comment>
    <comment authorId="0" ref="R464">
      <text>
        <t xml:space="preserve">2_ABaOnueNrRt5cwWf71lrzhH2I7NtKIUSpQ6IpktG3hKhZNn_2QZ02uNVN_5hLJZTLU5rBnQ</t>
      </text>
    </comment>
    <comment authorId="0" ref="T464">
      <text>
        <t xml:space="preserve">2_ABaOnueNrRt5cwWf71lrzhH2I7NtKIUSpQ6IpktG3hKhZNn_2QZ02uNVN_5hLJZTLU5rBnQ</t>
      </text>
    </comment>
    <comment authorId="0" ref="R465">
      <text>
        <t xml:space="preserve">2_ABaOnufgPDFmu13D3uScWYllsORKChw-zeXnyVFpEqL5AWr1al-by_7DI8BMm52ES-ZbrXQ</t>
      </text>
    </comment>
    <comment authorId="0" ref="T465">
      <text>
        <t xml:space="preserve">2_ABaOnufgPDFmu13D3uScWYllsORKChw-zeXnyVFpEqL5AWr1al-by_7DI8BMm52ES-ZbrXQ</t>
      </text>
    </comment>
    <comment authorId="0" ref="R466">
      <text>
        <t xml:space="preserve">2_ABaOnucn7HlGoXZHHI9Fkw_RDHL4NhzO9QU1sIZ1WNMiJGtKtYFnM-sK1WYuFmlUd28Awv8</t>
      </text>
    </comment>
    <comment authorId="0" ref="T466">
      <text>
        <t xml:space="preserve">2_ABaOnucn7HlGoXZHHI9Fkw_RDHL4NhzO9QU1sIZ1WNMiJGtKtYFnM-sK1WYuFmlUd28Awv8</t>
      </text>
    </comment>
    <comment authorId="0" ref="R467">
      <text>
        <t xml:space="preserve">2_ABaOnudhT-q7kwT3iO6YKU6K5dYGyE5hVKGKj_lw-5VhBrkGTDJQK4tO44fiq3ZEW6AsbJQ</t>
      </text>
    </comment>
    <comment authorId="0" ref="T467">
      <text>
        <t xml:space="preserve">2_ABaOnudhT-q7kwT3iO6YKU6K5dYGyE5hVKGKj_lw-5VhBrkGTDJQK4tO44fiq3ZEW6AsbJQ</t>
      </text>
    </comment>
    <comment authorId="0" ref="R468">
      <text>
        <t xml:space="preserve">2_ABaOnudPKAh-1o9H-B8tYbwI4I2SkljFqshh42eYj7Yhn2zNkOuinTQuz1nx0n-7z8uFwlw</t>
      </text>
    </comment>
    <comment authorId="0" ref="T468">
      <text>
        <t xml:space="preserve">2_ABaOnudPKAh-1o9H-B8tYbwI4I2SkljFqshh42eYj7Yhn2zNkOuinTQuz1nx0n-7z8uFwlw</t>
      </text>
    </comment>
    <comment authorId="0" ref="R469">
      <text>
        <t xml:space="preserve">2_ABaOnucaTprdF1sboaC_4fC39wl960VvvJD20fjWsCU1ROoW_CStQZoYZ1INwbQ7tMJRs3c</t>
      </text>
    </comment>
    <comment authorId="0" ref="T469">
      <text>
        <t xml:space="preserve">2_ABaOnucaTprdF1sboaC_4fC39wl960VvvJD20fjWsCU1ROoW_CStQZoYZ1INwbQ7tMJRs3c</t>
      </text>
    </comment>
    <comment authorId="0" ref="R470">
      <text>
        <t xml:space="preserve">2_ABaOnud9B4I360rpakPiwiVvWOaF9u68CjXvgYGlpmxsm6YDddqa3_DaeYLV4TgLBK84oPI</t>
      </text>
    </comment>
    <comment authorId="0" ref="T470">
      <text>
        <t xml:space="preserve">2_ABaOnud9B4I360rpakPiwiVvWOaF9u68CjXvgYGlpmxsm6YDddqa3_DaeYLV4TgLBK84oPI</t>
      </text>
    </comment>
    <comment authorId="0" ref="R471">
      <text>
        <t xml:space="preserve">2_ABaOnuc7gbJ4cAmD2p38w5w3OlwPWPhyBT2bxn_kMZqtl6swqyRpcAY9xgwbgPidbhEjjvM</t>
      </text>
    </comment>
    <comment authorId="0" ref="T471">
      <text>
        <t xml:space="preserve">2_ABaOnuc7gbJ4cAmD2p38w5w3OlwPWPhyBT2bxn_kMZqtl6swqyRpcAY9xgwbgPidbhEjjvM</t>
      </text>
    </comment>
    <comment authorId="0" ref="R472">
      <text>
        <t xml:space="preserve">2_ABaOnue0CFa1AY-4nGpN_5f-k2icWXmoEGwq6OuAMXLSOaEcDqXV4vidj90jDfA4XzvkO2s</t>
      </text>
    </comment>
    <comment authorId="0" ref="T472">
      <text>
        <t xml:space="preserve">2_ABaOnue0CFa1AY-4nGpN_5f-k2icWXmoEGwq6OuAMXLSOaEcDqXV4vidj90jDfA4XzvkO2s</t>
      </text>
    </comment>
    <comment authorId="0" ref="R473">
      <text>
        <t xml:space="preserve">2_ABaOnufR2iWlwrbkAns0OR7LxnDXMVRSGiptcXNYGlc7Tf2tOrzAj8s5ixEuviivzQNtLG8</t>
      </text>
    </comment>
    <comment authorId="0" ref="T473">
      <text>
        <t xml:space="preserve">2_ABaOnufR2iWlwrbkAns0OR7LxnDXMVRSGiptcXNYGlc7Tf2tOrzAj8s5ixEuviivzQNtLG8</t>
      </text>
    </comment>
    <comment authorId="0" ref="R474">
      <text>
        <t xml:space="preserve">2_ABaOnudrJJXURBukEsrOujmpQNldcSWvWMRYUQVkrPqAfcPYAqroTT1wxsGU5mleCK3t4V0</t>
      </text>
    </comment>
    <comment authorId="0" ref="T474">
      <text>
        <t xml:space="preserve">2_ABaOnudrJJXURBukEsrOujmpQNldcSWvWMRYUQVkrPqAfcPYAqroTT1wxsGU5mleCK3t4V0</t>
      </text>
    </comment>
    <comment authorId="0" ref="R475">
      <text>
        <t xml:space="preserve">2_ABaOnudaq7ABEiO55wdmvOWrmck0uWfhYQKzbXrBknRyg2Ii5WtysOz_M2L0f76qCzfDC1U</t>
      </text>
    </comment>
    <comment authorId="0" ref="T475">
      <text>
        <t xml:space="preserve">2_ABaOnudaq7ABEiO55wdmvOWrmck0uWfhYQKzbXrBknRyg2Ii5WtysOz_M2L0f76qCzfDC1U</t>
      </text>
    </comment>
    <comment authorId="0" ref="R476">
      <text>
        <t xml:space="preserve">2_ABaOnucvjO2q-PKaPkpBa9LLSqODetYFMfAUiJ1CGdbhSS3Q93Pj3AHo5Osndq7iCshlPKU</t>
      </text>
    </comment>
    <comment authorId="0" ref="T476">
      <text>
        <t xml:space="preserve">2_ABaOnucvjO2q-PKaPkpBa9LLSqODetYFMfAUiJ1CGdbhSS3Q93Pj3AHo5Osndq7iCshlPKU</t>
      </text>
    </comment>
    <comment authorId="0" ref="R477">
      <text>
        <t xml:space="preserve">2_ABaOnufD79IAMN6vAGgMxEWrIkuNGY6TfKqBPd1XYvdQ9FAapF0wLIOd6jn_RdiCo0kQlW8</t>
      </text>
    </comment>
    <comment authorId="0" ref="T477">
      <text>
        <t xml:space="preserve">2_ABaOnufD79IAMN6vAGgMxEWrIkuNGY6TfKqBPd1XYvdQ9FAapF0wLIOd6jn_RdiCo0kQlW8</t>
      </text>
    </comment>
    <comment authorId="0" ref="R478">
      <text>
        <t xml:space="preserve">2_ABaOnuf1cfPVuikqkvXPMZxvUF_mzvUAwC4alA5DcAHk-tRp4gWYDg9OmEqRe8PbIQ4XVEU</t>
      </text>
    </comment>
    <comment authorId="0" ref="T478">
      <text>
        <t xml:space="preserve">2_ABaOnuf1cfPVuikqkvXPMZxvUF_mzvUAwC4alA5DcAHk-tRp4gWYDg9OmEqRe8PbIQ4XVEU</t>
      </text>
    </comment>
    <comment authorId="0" ref="R479">
      <text>
        <t xml:space="preserve">2_ABaOnuf2ZXX5GEMSHglCnUKw04LVG_hhEXTAmyzz8V8rW9JU-CI0tL7RTPVvbJBdgtTJ5H0</t>
      </text>
    </comment>
    <comment authorId="0" ref="T479">
      <text>
        <t xml:space="preserve">2_ABaOnuf2ZXX5GEMSHglCnUKw04LVG_hhEXTAmyzz8V8rW9JU-CI0tL7RTPVvbJBdgtTJ5H0</t>
      </text>
    </comment>
    <comment authorId="0" ref="R480">
      <text>
        <t xml:space="preserve">2_ABaOnufvlIohhTQvwkveKOlzw7ByLStYBBrqW1IhuN8U2j_Sy4piLYsttcKuxfnGdajAh3w</t>
      </text>
    </comment>
    <comment authorId="0" ref="T480">
      <text>
        <t xml:space="preserve">2_ABaOnufvlIohhTQvwkveKOlzw7ByLStYBBrqW1IhuN8U2j_Sy4piLYsttcKuxfnGdajAh3w</t>
      </text>
    </comment>
    <comment authorId="0" ref="R481">
      <text>
        <t xml:space="preserve">2_ABaOnue3X-1bo_xrZtohbW_q20ryqI38WoUXEV-yjmbzUmeWgRSAtRdFqylW2rPpNR2_E2E</t>
      </text>
    </comment>
    <comment authorId="0" ref="T481">
      <text>
        <t xml:space="preserve">2_ABaOnue3X-1bo_xrZtohbW_q20ryqI38WoUXEV-yjmbzUmeWgRSAtRdFqylW2rPpNR2_E2E</t>
      </text>
    </comment>
    <comment authorId="0" ref="R482">
      <text>
        <t xml:space="preserve">2_ABaOnudtvSx0BwfNdFMl5ja7AKLNf232RWMxIb4AUyDcDwGQ4VzR5B9xOnq4qlsmn2kdxqU</t>
      </text>
    </comment>
    <comment authorId="0" ref="T482">
      <text>
        <t xml:space="preserve">2_ABaOnudtvSx0BwfNdFMl5ja7AKLNf232RWMxIb4AUyDcDwGQ4VzR5B9xOnq4qlsmn2kdxqU</t>
      </text>
    </comment>
    <comment authorId="0" ref="R483">
      <text>
        <t xml:space="preserve">2_ABaOnucsHu3qY-s-AcnX5-tvIm6ANfa3B2KDoGAIeHsh2_szDOL4NHVIl4M4ijM0HOS1iZM</t>
      </text>
    </comment>
    <comment authorId="0" ref="T483">
      <text>
        <t xml:space="preserve">2_ABaOnucsHu3qY-s-AcnX5-tvIm6ANfa3B2KDoGAIeHsh2_szDOL4NHVIl4M4ijM0HOS1iZM</t>
      </text>
    </comment>
    <comment authorId="0" ref="R484">
      <text>
        <t xml:space="preserve">2_ABaOnucE1uX22XUxfO9FUUFbscXCf1uSJLAdXPX979MM10A8TRIrFLXkBOiup7NrRUUkcQ0</t>
      </text>
    </comment>
    <comment authorId="0" ref="T484">
      <text>
        <t xml:space="preserve">2_ABaOnucE1uX22XUxfO9FUUFbscXCf1uSJLAdXPX979MM10A8TRIrFLXkBOiup7NrRUUkcQ0</t>
      </text>
    </comment>
    <comment authorId="0" ref="R485">
      <text>
        <t xml:space="preserve">2_ABaOnufE4CA0HUT8buD0XTqDJmXhe8iSgvyo3MJUzXg0kOkiEBEPbKmjm0EdrQjQRds7dSM</t>
      </text>
    </comment>
    <comment authorId="0" ref="T485">
      <text>
        <t xml:space="preserve">2_ABaOnufE4CA0HUT8buD0XTqDJmXhe8iSgvyo3MJUzXg0kOkiEBEPbKmjm0EdrQjQRds7dSM</t>
      </text>
    </comment>
    <comment authorId="0" ref="R486">
      <text>
        <t xml:space="preserve">2_ABaOnudhmR--1KYFOawSXNubiAB5i5VZqgiuIzxM6a6i3xJ7DGb2N-w_6tW4UfMyrxMDRhw</t>
      </text>
    </comment>
    <comment authorId="0" ref="T486">
      <text>
        <t xml:space="preserve">2_ABaOnudhmR--1KYFOawSXNubiAB5i5VZqgiuIzxM6a6i3xJ7DGb2N-w_6tW4UfMyrxMDRhw</t>
      </text>
    </comment>
    <comment authorId="0" ref="R487">
      <text>
        <t xml:space="preserve">2_ABaOnufZU6iumAE1gmoCz1jKQF9mIz4JSSG8FE41gNI6du4GjoDu9lzQGO3bqY7QPYcVE0g</t>
      </text>
    </comment>
    <comment authorId="0" ref="T487">
      <text>
        <t xml:space="preserve">2_ABaOnufZU6iumAE1gmoCz1jKQF9mIz4JSSG8FE41gNI6du4GjoDu9lzQGO3bqY7QPYcVE0g</t>
      </text>
    </comment>
    <comment authorId="0" ref="R488">
      <text>
        <t xml:space="preserve">2_ABaOnufzJhc6md928yVQoQf4ZZEQoh7wcI5cskIq3nKhLnpDOqMFcM_K2ZGpJ-asCuOLuGg</t>
      </text>
    </comment>
    <comment authorId="0" ref="T488">
      <text>
        <t xml:space="preserve">2_ABaOnufzJhc6md928yVQoQf4ZZEQoh7wcI5cskIq3nKhLnpDOqMFcM_K2ZGpJ-asCuOLuGg</t>
      </text>
    </comment>
    <comment authorId="0" ref="R489">
      <text>
        <t xml:space="preserve">2_ABaOnucnbiE1jHn5414C7smA2ockGVlyphKMXzQN-G55lCC1XL7SXhiTAQ68-2838LXTPlY</t>
      </text>
    </comment>
    <comment authorId="0" ref="T489">
      <text>
        <t xml:space="preserve">2_ABaOnucnbiE1jHn5414C7smA2ockGVlyphKMXzQN-G55lCC1XL7SXhiTAQ68-2838LXTPlY</t>
      </text>
    </comment>
    <comment authorId="0" ref="R490">
      <text>
        <t xml:space="preserve">2_ABaOnufz7JIZdU-s8y26S82jds4oIIxluvZO9aJwKVwmQq9JYsjqyz_lau0kspxmWzW4SLo</t>
      </text>
    </comment>
    <comment authorId="0" ref="T490">
      <text>
        <t xml:space="preserve">2_ABaOnufz7JIZdU-s8y26S82jds4oIIxluvZO9aJwKVwmQq9JYsjqyz_lau0kspxmWzW4SLo</t>
      </text>
    </comment>
    <comment authorId="0" ref="R491">
      <text>
        <t xml:space="preserve">2_ABaOnufvoW4rUXvt59Ju2LOo9TcNcRctQ3KArxYBuKhtORtb2VEsgaGK8J4vCRNDN4SqGso</t>
      </text>
    </comment>
    <comment authorId="0" ref="T491">
      <text>
        <t xml:space="preserve">2_ABaOnufvoW4rUXvt59Ju2LOo9TcNcRctQ3KArxYBuKhtORtb2VEsgaGK8J4vCRNDN4SqGso</t>
      </text>
    </comment>
    <comment authorId="0" ref="R492">
      <text>
        <t xml:space="preserve">2_ABaOnufpHNQpKNLVIaqSYtGjZGR7ZeJzFYfzZeaQxTSoIwsT6Ct5YsZ8YXlHHn3-LvbO8Cw</t>
      </text>
    </comment>
    <comment authorId="0" ref="T492">
      <text>
        <t xml:space="preserve">2_ABaOnufpHNQpKNLVIaqSYtGjZGR7ZeJzFYfzZeaQxTSoIwsT6Ct5YsZ8YXlHHn3-LvbO8Cw</t>
      </text>
    </comment>
    <comment authorId="0" ref="R493">
      <text>
        <t xml:space="preserve">2_ABaOnufLcDCy8j0gMAhCFYkeKrUHZsMURsGUkT3yTNx27CVes_eEVdHChyEm3htlcW25ODc</t>
      </text>
    </comment>
    <comment authorId="0" ref="T493">
      <text>
        <t xml:space="preserve">2_ABaOnufLcDCy8j0gMAhCFYkeKrUHZsMURsGUkT3yTNx27CVes_eEVdHChyEm3htlcW25ODc</t>
      </text>
    </comment>
    <comment authorId="0" ref="R494">
      <text>
        <t xml:space="preserve">2_ABaOnuettsCOUTbpA5bOhUiZiQTp_IjC9llkBk4RFdUzi9sgWQxActEq_q-6BUuxzFTRTQo</t>
      </text>
    </comment>
    <comment authorId="0" ref="T494">
      <text>
        <t xml:space="preserve">2_ABaOnuettsCOUTbpA5bOhUiZiQTp_IjC9llkBk4RFdUzi9sgWQxActEq_q-6BUuxzFTRTQo</t>
      </text>
    </comment>
    <comment authorId="0" ref="R495">
      <text>
        <t xml:space="preserve">2_ABaOnudMyUyjqtKBgHMPVTQPlqphlzCM3c8HhT-MDF21ljdPX841wCm2vh2J_v22wPTi3pM</t>
      </text>
    </comment>
    <comment authorId="0" ref="T495">
      <text>
        <t xml:space="preserve">2_ABaOnudMyUyjqtKBgHMPVTQPlqphlzCM3c8HhT-MDF21ljdPX841wCm2vh2J_v22wPTi3pM</t>
      </text>
    </comment>
    <comment authorId="0" ref="R496">
      <text>
        <t xml:space="preserve">2_ABaOnucgLfPHSfE-NCLZdZQL2YEXpNVXnA3MvYVRWR9t5wCmvjSnXZkjbixl8KTcGv7CgqQ</t>
      </text>
    </comment>
    <comment authorId="0" ref="T496">
      <text>
        <t xml:space="preserve">2_ABaOnucgLfPHSfE-NCLZdZQL2YEXpNVXnA3MvYVRWR9t5wCmvjSnXZkjbixl8KTcGv7CgqQ</t>
      </text>
    </comment>
    <comment authorId="0" ref="R497">
      <text>
        <t xml:space="preserve">2_ABaOnufMkSq_-9ptvdPxaEDj0OH8cSoAjlcpOS4WxeY7__l_zPgG_Vc-uw9hRN9E8t6GWyU</t>
      </text>
    </comment>
    <comment authorId="0" ref="T497">
      <text>
        <t xml:space="preserve">2_ABaOnufMkSq_-9ptvdPxaEDj0OH8cSoAjlcpOS4WxeY7__l_zPgG_Vc-uw9hRN9E8t6GWyU</t>
      </text>
    </comment>
    <comment authorId="0" ref="R498">
      <text>
        <t xml:space="preserve">2_ABaOnuebgzOOdlhHiofVzAILu9ht6n5Fexp8v49Qt5VEo7Yx3JXlABLDS7M5SgM1xQ1Rih4</t>
      </text>
    </comment>
    <comment authorId="0" ref="T498">
      <text>
        <t xml:space="preserve">2_ABaOnuebgzOOdlhHiofVzAILu9ht6n5Fexp8v49Qt5VEo7Yx3JXlABLDS7M5SgM1xQ1Rih4</t>
      </text>
    </comment>
    <comment authorId="0" ref="R499">
      <text>
        <t xml:space="preserve">2_ABaOnueKoVZo09LYSe4OpvxHv6wWaQrNgFRGAhLWBXBZ1QiG2n1zSC07sz27f9p36jvjnOc</t>
      </text>
    </comment>
    <comment authorId="0" ref="T499">
      <text>
        <t xml:space="preserve">2_ABaOnueKoVZo09LYSe4OpvxHv6wWaQrNgFRGAhLWBXBZ1QiG2n1zSC07sz27f9p36jvjnOc</t>
      </text>
    </comment>
    <comment authorId="0" ref="R500">
      <text>
        <t xml:space="preserve">2_ABaOnueDy10s07jyxY2NbEL6hgP9o5bs-hab7GLmLDvu8ntrrV-LYIzuis6T3Epe71IH4A0</t>
      </text>
    </comment>
    <comment authorId="0" ref="T500">
      <text>
        <t xml:space="preserve">2_ABaOnueDy10s07jyxY2NbEL6hgP9o5bs-hab7GLmLDvu8ntrrV-LYIzuis6T3Epe71IH4A0</t>
      </text>
    </comment>
    <comment authorId="0" ref="R501">
      <text>
        <t xml:space="preserve">2_ABaOnudiC6zLEBH2U8L80hTFscjDNgAFJIEAAHjuu9gVR6FjK90Efq0JZh5OJ_kjr0kXBsk</t>
      </text>
    </comment>
    <comment authorId="0" ref="T501">
      <text>
        <t xml:space="preserve">2_ABaOnudiC6zLEBH2U8L80hTFscjDNgAFJIEAAHjuu9gVR6FjK90Efq0JZh5OJ_kjr0kXBsk</t>
      </text>
    </comment>
    <comment authorId="0" ref="R502">
      <text>
        <t xml:space="preserve">2_ABaOnue81yc0Hx_hD4p4eA3BIJw8G0hT3ZVnCtR0glMvvbpy1mZisJFxqZhbvmBi5GZAe1g</t>
      </text>
    </comment>
    <comment authorId="0" ref="T502">
      <text>
        <t xml:space="preserve">2_ABaOnue81yc0Hx_hD4p4eA3BIJw8G0hT3ZVnCtR0glMvvbpy1mZisJFxqZhbvmBi5GZAe1g</t>
      </text>
    </comment>
    <comment authorId="0" ref="R503">
      <text>
        <t xml:space="preserve">2_ABaOnufWjwbNmngF8gZSue2zR2EjbLmS9NBST18jDMc6dX6t5mytmkwZKzf9yaJ6UcE8n9k</t>
      </text>
    </comment>
    <comment authorId="0" ref="T503">
      <text>
        <t xml:space="preserve">2_ABaOnufWjwbNmngF8gZSue2zR2EjbLmS9NBST18jDMc6dX6t5mytmkwZKzf9yaJ6UcE8n9k</t>
      </text>
    </comment>
    <comment authorId="0" ref="R504">
      <text>
        <t xml:space="preserve">2_ABaOnuc6fpe7Wg8XCxfMSXRegZXOxi0qOY16Cv_dcJ0wKkgbXazJiQSpbkFNJ9x__zLqtrE</t>
      </text>
    </comment>
    <comment authorId="0" ref="T504">
      <text>
        <t xml:space="preserve">2_ABaOnuc6fpe7Wg8XCxfMSXRegZXOxi0qOY16Cv_dcJ0wKkgbXazJiQSpbkFNJ9x__zLqtrE</t>
      </text>
    </comment>
    <comment authorId="0" ref="R505">
      <text>
        <t xml:space="preserve">2_ABaOnuduppT4kl4YlKFplR5bEmoMX8KobLRlW5XV0Y5pWRr0cW3faMFlYwpaknP8KiPOgyI</t>
      </text>
    </comment>
    <comment authorId="0" ref="T505">
      <text>
        <t xml:space="preserve">2_ABaOnuduppT4kl4YlKFplR5bEmoMX8KobLRlW5XV0Y5pWRr0cW3faMFlYwpaknP8KiPOgyI</t>
      </text>
    </comment>
    <comment authorId="0" ref="R506">
      <text>
        <t xml:space="preserve">2_ABaOnue7poq3a9DqwC4FXaOKi8rysVJ03GpOjUrbSU_6EoSoenNJqPfSNcFf3C_AD6cM-Mo</t>
      </text>
    </comment>
    <comment authorId="0" ref="T506">
      <text>
        <t xml:space="preserve">2_ABaOnue7poq3a9DqwC4FXaOKi8rysVJ03GpOjUrbSU_6EoSoenNJqPfSNcFf3C_AD6cM-Mo</t>
      </text>
    </comment>
    <comment authorId="0" ref="R507">
      <text>
        <t xml:space="preserve">2_ABaOnuetGHFJLeM4783JDKS5XAEFTGM4mTE5ljGPvg2kWd92uGfMRWaIIOpQyN1dnjziH4s</t>
      </text>
    </comment>
    <comment authorId="0" ref="T507">
      <text>
        <t xml:space="preserve">2_ABaOnuetGHFJLeM4783JDKS5XAEFTGM4mTE5ljGPvg2kWd92uGfMRWaIIOpQyN1dnjziH4s</t>
      </text>
    </comment>
    <comment authorId="0" ref="R508">
      <text>
        <t xml:space="preserve">2_ABaOnufnMTlTtPI6VDKqLO-VqgK-pZ38fipzYTtLka3Szj9MMJ4wTY49p4XiYUXnhEu8KYw</t>
      </text>
    </comment>
    <comment authorId="0" ref="T508">
      <text>
        <t xml:space="preserve">2_ABaOnufnMTlTtPI6VDKqLO-VqgK-pZ38fipzYTtLka3Szj9MMJ4wTY49p4XiYUXnhEu8KYw</t>
      </text>
    </comment>
    <comment authorId="0" ref="R509">
      <text>
        <t xml:space="preserve">2_ABaOnudC7SmuYgyBtgZx-5LLeLzrhgthALPfF4CP7ULAuzjPI56ej74rUF03i8ExoXaW0P0</t>
      </text>
    </comment>
    <comment authorId="0" ref="T509">
      <text>
        <t xml:space="preserve">2_ABaOnudC7SmuYgyBtgZx-5LLeLzrhgthALPfF4CP7ULAuzjPI56ej74rUF03i8ExoXaW0P0</t>
      </text>
    </comment>
    <comment authorId="0" ref="R510">
      <text>
        <t xml:space="preserve">2_ABaOnueYX165oMjbRm6pbGN0U5owbp9e11q30BWigXRQ8hh8xIHatHQWgVE4JJHesDeHWG8</t>
      </text>
    </comment>
    <comment authorId="0" ref="T510">
      <text>
        <t xml:space="preserve">2_ABaOnueYX165oMjbRm6pbGN0U5owbp9e11q30BWigXRQ8hh8xIHatHQWgVE4JJHesDeHWG8</t>
      </text>
    </comment>
    <comment authorId="0" ref="R511">
      <text>
        <t xml:space="preserve">2_ABaOnucz0VbzZhfOnrcbriw_Ez9MqWFqp4K_Q_SyX6dQ3zynMx42i1E32bvJStKt63rfrgA</t>
      </text>
    </comment>
    <comment authorId="0" ref="T511">
      <text>
        <t xml:space="preserve">2_ABaOnucz0VbzZhfOnrcbriw_Ez9MqWFqp4K_Q_SyX6dQ3zynMx42i1E32bvJStKt63rfrgA</t>
      </text>
    </comment>
    <comment authorId="0" ref="R512">
      <text>
        <t xml:space="preserve">2_ABaOnuc9Qo0nEQyyy1Lt44NDVgIvORZ0j1Y2kk5tK3Es3DsyrQbM5-ee7SrDF7aEaIlQ23Q</t>
      </text>
    </comment>
    <comment authorId="0" ref="T512">
      <text>
        <t xml:space="preserve">2_ABaOnuc9Qo0nEQyyy1Lt44NDVgIvORZ0j1Y2kk5tK3Es3DsyrQbM5-ee7SrDF7aEaIlQ23Q</t>
      </text>
    </comment>
    <comment authorId="0" ref="R513">
      <text>
        <t xml:space="preserve">2_ABaOnuf_cQNlGpbrjzd_EXaNqSoO6s0gwq9rJFBryHrtXhU_oU56ES66WAnCvJx4bKQMAbQ</t>
      </text>
    </comment>
    <comment authorId="0" ref="T513">
      <text>
        <t xml:space="preserve">2_ABaOnuf_cQNlGpbrjzd_EXaNqSoO6s0gwq9rJFBryHrtXhU_oU56ES66WAnCvJx4bKQMAbQ</t>
      </text>
    </comment>
    <comment authorId="0" ref="R514">
      <text>
        <t xml:space="preserve">2_ABaOnuckxmZ90_FENvqsE8p9_R3Fze3nTaZNjAWKB3XaKyVn_jDQhT_S9zW2eulhB0-cVtA</t>
      </text>
    </comment>
    <comment authorId="0" ref="T514">
      <text>
        <t xml:space="preserve">2_ABaOnuckxmZ90_FENvqsE8p9_R3Fze3nTaZNjAWKB3XaKyVn_jDQhT_S9zW2eulhB0-cVtA</t>
      </text>
    </comment>
    <comment authorId="0" ref="R515">
      <text>
        <t xml:space="preserve">2_ABaOnucJE6_cPp8f3rIBG457WkVYwnZEvEnn6qCbncecoMsbhvEfCP22pJRmi2jmzjCLlAw</t>
      </text>
    </comment>
    <comment authorId="0" ref="T515">
      <text>
        <t xml:space="preserve">2_ABaOnucJE6_cPp8f3rIBG457WkVYwnZEvEnn6qCbncecoMsbhvEfCP22pJRmi2jmzjCLlAw</t>
      </text>
    </comment>
    <comment authorId="0" ref="R516">
      <text>
        <t xml:space="preserve">2_ABaOnucuaM89AvyieugG4nIbmgZ0-3222VoinDIEhtvTKYDkxgXJtr3ffDuNxagzkFtRhWg</t>
      </text>
    </comment>
    <comment authorId="0" ref="T516">
      <text>
        <t xml:space="preserve">2_ABaOnucuaM89AvyieugG4nIbmgZ0-3222VoinDIEhtvTKYDkxgXJtr3ffDuNxagzkFtRhWg</t>
      </text>
    </comment>
    <comment authorId="0" ref="R517">
      <text>
        <t xml:space="preserve">2_ABaOnuc0BDdc52CWKusnzF_qJV__O4aDjbufC-V4bL1jDAfVtTqlv4UXpZiKvYAPIfZkZiw</t>
      </text>
    </comment>
    <comment authorId="0" ref="T517">
      <text>
        <t xml:space="preserve">2_ABaOnuc0BDdc52CWKusnzF_qJV__O4aDjbufC-V4bL1jDAfVtTqlv4UXpZiKvYAPIfZkZiw</t>
      </text>
    </comment>
    <comment authorId="0" ref="R518">
      <text>
        <t xml:space="preserve">2_ABaOnueMFpWIPiOiGFS9-IFVvMYdep2cfs0LY4ZQylVWqaUfyiZDWAV9up_LiyP0JpQ_Q6w</t>
      </text>
    </comment>
    <comment authorId="0" ref="T518">
      <text>
        <t xml:space="preserve">2_ABaOnueMFpWIPiOiGFS9-IFVvMYdep2cfs0LY4ZQylVWqaUfyiZDWAV9up_LiyP0JpQ_Q6w</t>
      </text>
    </comment>
    <comment authorId="0" ref="R519">
      <text>
        <t xml:space="preserve">2_ABaOnudkNJBpxgRCmrkFlEwckoIzbWT1etKwXQ-KQN8m9JChtvrqB4Fn1Gzqu54SslFN_GA</t>
      </text>
    </comment>
    <comment authorId="0" ref="T519">
      <text>
        <t xml:space="preserve">2_ABaOnudkNJBpxgRCmrkFlEwckoIzbWT1etKwXQ-KQN8m9JChtvrqB4Fn1Gzqu54SslFN_GA</t>
      </text>
    </comment>
    <comment authorId="0" ref="R520">
      <text>
        <t xml:space="preserve">2_ABaOnudtaPM6NGDa032ANGXs6FjvCBCR85LXJcBxp1jsUxC2LA2sA_fgZh5HqyCgTykYxbg</t>
      </text>
    </comment>
    <comment authorId="0" ref="T520">
      <text>
        <t xml:space="preserve">2_ABaOnudtaPM6NGDa032ANGXs6FjvCBCR85LXJcBxp1jsUxC2LA2sA_fgZh5HqyCgTykYxbg</t>
      </text>
    </comment>
    <comment authorId="0" ref="R521">
      <text>
        <t xml:space="preserve">2_ABaOnud16vzWtRKgnbyDy23V84zAJ3Ex5cAzAj2HYgOrnnAlPObJK4v3uIUnKbTpQr5vWzg</t>
      </text>
    </comment>
    <comment authorId="0" ref="T521">
      <text>
        <t xml:space="preserve">2_ABaOnud16vzWtRKgnbyDy23V84zAJ3Ex5cAzAj2HYgOrnnAlPObJK4v3uIUnKbTpQr5vWzg</t>
      </text>
    </comment>
    <comment authorId="0" ref="R522">
      <text>
        <t xml:space="preserve">2_ABaOnufFEEUxGn1M7SdISvDnR4CXwEH8PvHmMiefXj3rwXZZSHuc8S8OmticGnOkuDHlPWE</t>
      </text>
    </comment>
    <comment authorId="0" ref="T522">
      <text>
        <t xml:space="preserve">2_ABaOnufFEEUxGn1M7SdISvDnR4CXwEH8PvHmMiefXj3rwXZZSHuc8S8OmticGnOkuDHlPWE</t>
      </text>
    </comment>
    <comment authorId="0" ref="R523">
      <text>
        <t xml:space="preserve">2_ABaOnueBrGaJptO3457e57ijC4G6UNSdkA60DGII3woFNJg3rXswFHjLUyyrosBuXLHJJ64</t>
      </text>
    </comment>
    <comment authorId="0" ref="T523">
      <text>
        <t xml:space="preserve">2_ABaOnueBrGaJptO3457e57ijC4G6UNSdkA60DGII3woFNJg3rXswFHjLUyyrosBuXLHJJ64</t>
      </text>
    </comment>
    <comment authorId="0" ref="R524">
      <text>
        <t xml:space="preserve">2_ABaOnueeWMTxZYtIDJ9031OksxWt1Weqx8R109UdIV_Y0_8uQNheIvA1VBM5Pu_G_uHGKsM</t>
      </text>
    </comment>
    <comment authorId="0" ref="T524">
      <text>
        <t xml:space="preserve">2_ABaOnueeWMTxZYtIDJ9031OksxWt1Weqx8R109UdIV_Y0_8uQNheIvA1VBM5Pu_G_uHGKsM</t>
      </text>
    </comment>
    <comment authorId="0" ref="R525">
      <text>
        <t xml:space="preserve">2_ABaOnud9f_9SbZJCKpCII9Tvi6LLATl7FuyhoreGGvveRyA0MBDFyOV_83Tnxu4SpJqYbSo</t>
      </text>
    </comment>
    <comment authorId="0" ref="T525">
      <text>
        <t xml:space="preserve">2_ABaOnud9f_9SbZJCKpCII9Tvi6LLATl7FuyhoreGGvveRyA0MBDFyOV_83Tnxu4SpJqYbSo</t>
      </text>
    </comment>
    <comment authorId="0" ref="R526">
      <text>
        <t xml:space="preserve">2_ABaOnudGTd0dgoFZgYgLOmhbkF7kPiG7ISCENH8Jnt9jIWQtb1qB3Jtt348iRAd16zJraR4</t>
      </text>
    </comment>
    <comment authorId="0" ref="T526">
      <text>
        <t xml:space="preserve">2_ABaOnudGTd0dgoFZgYgLOmhbkF7kPiG7ISCENH8Jnt9jIWQtb1qB3Jtt348iRAd16zJraR4</t>
      </text>
    </comment>
    <comment authorId="0" ref="R527">
      <text>
        <t xml:space="preserve">2_ABaOnudPZdhYdaHPkpo2kPH-tTUZck9WZ90cFF5JmDwrICFrx-Bi2lAkZXKhYMpCPvUnWYs</t>
      </text>
    </comment>
    <comment authorId="0" ref="T527">
      <text>
        <t xml:space="preserve">2_ABaOnudPZdhYdaHPkpo2kPH-tTUZck9WZ90cFF5JmDwrICFrx-Bi2lAkZXKhYMpCPvUnWYs</t>
      </text>
    </comment>
    <comment authorId="0" ref="R528">
      <text>
        <t xml:space="preserve">2_ABaOnuddCe6Bccsg9fXtBSc_VFGIz118bpcDdNtRoxvzMCdzHX1pr-IQ8xjl5sfvcY34208</t>
      </text>
    </comment>
    <comment authorId="0" ref="T528">
      <text>
        <t xml:space="preserve">2_ABaOnuddCe6Bccsg9fXtBSc_VFGIz118bpcDdNtRoxvzMCdzHX1pr-IQ8xjl5sfvcY34208</t>
      </text>
    </comment>
    <comment authorId="0" ref="R529">
      <text>
        <t xml:space="preserve">2_ABaOnud7Nx0shEMy_GnPQ-XJoLGAx_B-SSQ1oaoJlg2sguUnIcGQCqExsl8K4EC1jj6bTDw</t>
      </text>
    </comment>
    <comment authorId="0" ref="T529">
      <text>
        <t xml:space="preserve">2_ABaOnud7Nx0shEMy_GnPQ-XJoLGAx_B-SSQ1oaoJlg2sguUnIcGQCqExsl8K4EC1jj6bTDw</t>
      </text>
    </comment>
    <comment authorId="0" ref="R530">
      <text>
        <t xml:space="preserve">2_ABaOnueFQmqpqYk8KGW_D-YCKQzLEHh0XrBOipo9Mo2lbJEhwExw0jrE_uBRBP8QiJ5JlgE</t>
      </text>
    </comment>
    <comment authorId="0" ref="T530">
      <text>
        <t xml:space="preserve">2_ABaOnueFQmqpqYk8KGW_D-YCKQzLEHh0XrBOipo9Mo2lbJEhwExw0jrE_uBRBP8QiJ5JlgE</t>
      </text>
    </comment>
    <comment authorId="0" ref="R531">
      <text>
        <t xml:space="preserve">2_ABaOnufki2dEwR6TXsbgBuCtyv1jOlrziFAtvMVmKHT95feEU2VbtbTEipByJu6gPxTVBwk</t>
      </text>
    </comment>
    <comment authorId="0" ref="T531">
      <text>
        <t xml:space="preserve">2_ABaOnufki2dEwR6TXsbgBuCtyv1jOlrziFAtvMVmKHT95feEU2VbtbTEipByJu6gPxTVBwk</t>
      </text>
    </comment>
    <comment authorId="0" ref="R532">
      <text>
        <t xml:space="preserve">2_ABaOnuf8DUIvq3tBxvlhFzi8kq3eO3zyKluzc7Xx1iFDwVQ4P-wLaNp5DQadxGbtLH4vJn4</t>
      </text>
    </comment>
    <comment authorId="0" ref="T532">
      <text>
        <t xml:space="preserve">2_ABaOnuf8DUIvq3tBxvlhFzi8kq3eO3zyKluzc7Xx1iFDwVQ4P-wLaNp5DQadxGbtLH4vJn4</t>
      </text>
    </comment>
    <comment authorId="0" ref="R533">
      <text>
        <t xml:space="preserve">2_ABaOnuezTqjCS3MzQ7mmMj1P7Hfyh1W6_OKSd5QpTTJFrCoKJENKjH0azoEyRJ9JB3eBm8o</t>
      </text>
    </comment>
    <comment authorId="0" ref="T533">
      <text>
        <t xml:space="preserve">2_ABaOnuezTqjCS3MzQ7mmMj1P7Hfyh1W6_OKSd5QpTTJFrCoKJENKjH0azoEyRJ9JB3eBm8o</t>
      </text>
    </comment>
    <comment authorId="0" ref="R534">
      <text>
        <t xml:space="preserve">2_ABaOnuesZ5kmRYwGGRss5aN_IQuXJ6czIIXckpp7Y1mmlgak_JejSw5i4_Nj8qgHeQ1qM0w</t>
      </text>
    </comment>
    <comment authorId="0" ref="T534">
      <text>
        <t xml:space="preserve">2_ABaOnuesZ5kmRYwGGRss5aN_IQuXJ6czIIXckpp7Y1mmlgak_JejSw5i4_Nj8qgHeQ1qM0w</t>
      </text>
    </comment>
    <comment authorId="0" ref="R535">
      <text>
        <t xml:space="preserve">2_ABaOnufGUTuX7fwI3nxUcSMRFwMkufv_GGgpHeF_GmNfCPbR2ZCScSpF_qQyZ3rsM-NJxe0</t>
      </text>
    </comment>
    <comment authorId="0" ref="T535">
      <text>
        <t xml:space="preserve">2_ABaOnufGUTuX7fwI3nxUcSMRFwMkufv_GGgpHeF_GmNfCPbR2ZCScSpF_qQyZ3rsM-NJxe0</t>
      </text>
    </comment>
    <comment authorId="0" ref="R536">
      <text>
        <t xml:space="preserve">2_ABaOnucRoCDVet7g0GC1T7izvh6IxKIDArGHV1RpXwl3WaWUk_0oZUAXC_Lrn5FrN9BCdVw</t>
      </text>
    </comment>
    <comment authorId="0" ref="T536">
      <text>
        <t xml:space="preserve">2_ABaOnucRoCDVet7g0GC1T7izvh6IxKIDArGHV1RpXwl3WaWUk_0oZUAXC_Lrn5FrN9BCdVw</t>
      </text>
    </comment>
    <comment authorId="0" ref="R537">
      <text>
        <t xml:space="preserve">2_ABaOnuetyWTWOrn9k6md0iykNd4_KIKlFL-FWkJu_NYnoXZJ7MV7BbqI5XtN7RUQUi6RU4Y</t>
      </text>
    </comment>
    <comment authorId="0" ref="T537">
      <text>
        <t xml:space="preserve">2_ABaOnuetyWTWOrn9k6md0iykNd4_KIKlFL-FWkJu_NYnoXZJ7MV7BbqI5XtN7RUQUi6RU4Y</t>
      </text>
    </comment>
    <comment authorId="0" ref="R538">
      <text>
        <t xml:space="preserve">2_ABaOnueZ8Ijavr75W37Fo-p71xzyGmfCzDK7-38amwSPq1qEcr6dYH2M1xVt_Z0KgicVGLI</t>
      </text>
    </comment>
    <comment authorId="0" ref="T538">
      <text>
        <t xml:space="preserve">2_ABaOnueZ8Ijavr75W37Fo-p71xzyGmfCzDK7-38amwSPq1qEcr6dYH2M1xVt_Z0KgicVGLI</t>
      </text>
    </comment>
    <comment authorId="0" ref="R539">
      <text>
        <t xml:space="preserve">2_ABaOnuf3N2rrzDVunyYsl5yHcK_YbKHaDfhdeok0V6NcPjML4ipPd7z3T_dgd10adGKBpaw</t>
      </text>
    </comment>
    <comment authorId="0" ref="T539">
      <text>
        <t xml:space="preserve">2_ABaOnuf3N2rrzDVunyYsl5yHcK_YbKHaDfhdeok0V6NcPjML4ipPd7z3T_dgd10adGKBpaw</t>
      </text>
    </comment>
    <comment authorId="0" ref="R540">
      <text>
        <t xml:space="preserve">2_ABaOnufPp2fhMraEUi2GGNRGnUXqkPWc-TcUqzzWIHrYuclXE4hYS_gMNQhV9Aav2XLWTtY</t>
      </text>
    </comment>
    <comment authorId="0" ref="T540">
      <text>
        <t xml:space="preserve">2_ABaOnufPp2fhMraEUi2GGNRGnUXqkPWc-TcUqzzWIHrYuclXE4hYS_gMNQhV9Aav2XLWTtY</t>
      </text>
    </comment>
    <comment authorId="0" ref="R541">
      <text>
        <t xml:space="preserve">2_ABaOnue2tjFCxlC7lt-2XkZu7onW6vgNP6COJjXDRRKLwQiizE_WSf14BTFq6zMIQVhPPF8</t>
      </text>
    </comment>
    <comment authorId="0" ref="T541">
      <text>
        <t xml:space="preserve">2_ABaOnue2tjFCxlC7lt-2XkZu7onW6vgNP6COJjXDRRKLwQiizE_WSf14BTFq6zMIQVhPPF8</t>
      </text>
    </comment>
    <comment authorId="0" ref="R542">
      <text>
        <t xml:space="preserve">2_ABaOnuddHvnnt5f8UPnUpuQAv5PXskazBPEWf-cI2IZtMkft4nh77V03AsIZ-jv-rtk8KiM</t>
      </text>
    </comment>
    <comment authorId="0" ref="T542">
      <text>
        <t xml:space="preserve">2_ABaOnuddHvnnt5f8UPnUpuQAv5PXskazBPEWf-cI2IZtMkft4nh77V03AsIZ-jv-rtk8KiM</t>
      </text>
    </comment>
    <comment authorId="0" ref="R543">
      <text>
        <t xml:space="preserve">2_ABaOnuc5AGefoNv5DXXhO_FEzBTAUUPrwA8UFajAuwqlrcY53wI8yazHUY86wGRaWcQVNvE</t>
      </text>
    </comment>
    <comment authorId="0" ref="T543">
      <text>
        <t xml:space="preserve">2_ABaOnuc5AGefoNv5DXXhO_FEzBTAUUPrwA8UFajAuwqlrcY53wI8yazHUY86wGRaWcQVNvE</t>
      </text>
    </comment>
    <comment authorId="0" ref="R544">
      <text>
        <t xml:space="preserve">2_ABaOnucEPoYOeewROgg3tXpx2aSWW2PYOq1QrSurR2X7K2u2JftsA7miNwJTyCwy7Zk-Pks</t>
      </text>
    </comment>
    <comment authorId="0" ref="T544">
      <text>
        <t xml:space="preserve">2_ABaOnucEPoYOeewROgg3tXpx2aSWW2PYOq1QrSurR2X7K2u2JftsA7miNwJTyCwy7Zk-Pks</t>
      </text>
    </comment>
    <comment authorId="0" ref="R545">
      <text>
        <t xml:space="preserve">2_ABaOnucgOQecJqRwG8gH2b2JL67iRuaxlCCDgZmIwODwl1lTkqZyiBzZbwmLQaYc1z-t7lU</t>
      </text>
    </comment>
    <comment authorId="0" ref="T545">
      <text>
        <t xml:space="preserve">2_ABaOnucgOQecJqRwG8gH2b2JL67iRuaxlCCDgZmIwODwl1lTkqZyiBzZbwmLQaYc1z-t7lU</t>
      </text>
    </comment>
    <comment authorId="0" ref="R546">
      <text>
        <t xml:space="preserve">2_ABaOnue3IJaoHnSy_-fz2e7wmzb7aSzJMsONzI9WWbchIWLmhul3BbyuYWuskD6gJKICZgA</t>
      </text>
    </comment>
    <comment authorId="0" ref="T546">
      <text>
        <t xml:space="preserve">2_ABaOnue3IJaoHnSy_-fz2e7wmzb7aSzJMsONzI9WWbchIWLmhul3BbyuYWuskD6gJKICZgA</t>
      </text>
    </comment>
    <comment authorId="0" ref="R547">
      <text>
        <t xml:space="preserve">2_ABaOnudzIO4Y87jb4025XF34fCXJ8XPsSPKDGtP79_hbIHbB9SYAspyvxGLW_DiGcKWsULQ</t>
      </text>
    </comment>
    <comment authorId="0" ref="T547">
      <text>
        <t xml:space="preserve">2_ABaOnudzIO4Y87jb4025XF34fCXJ8XPsSPKDGtP79_hbIHbB9SYAspyvxGLW_DiGcKWsULQ</t>
      </text>
    </comment>
    <comment authorId="0" ref="R548">
      <text>
        <t xml:space="preserve">2_ABaOnufmhff6cfPeXh0N0RFW6MHWO4YbG7ehBRcwmg3l8x2hOUqDhPTpRA6LF8pVL2UBi-k</t>
      </text>
    </comment>
    <comment authorId="0" ref="T548">
      <text>
        <t xml:space="preserve">2_ABaOnufmhff6cfPeXh0N0RFW6MHWO4YbG7ehBRcwmg3l8x2hOUqDhPTpRA6LF8pVL2UBi-k</t>
      </text>
    </comment>
    <comment authorId="0" ref="R549">
      <text>
        <t xml:space="preserve">2_ABaOnudCzFAY6dFlfBkjNm93TydkAbgn5V-R8ewNUebR4qU8TBWEQoPAvB2wOaSZfN3RaUo</t>
      </text>
    </comment>
    <comment authorId="0" ref="T549">
      <text>
        <t xml:space="preserve">2_ABaOnudCzFAY6dFlfBkjNm93TydkAbgn5V-R8ewNUebR4qU8TBWEQoPAvB2wOaSZfN3RaUo</t>
      </text>
    </comment>
    <comment authorId="0" ref="R550">
      <text>
        <t xml:space="preserve">2_ABaOnuf5TYeqBikjOY8NO4MaILwIIL7JJczTKSM5o8y2JZnMgbshFrKydNaRFN9o4y1wKsQ</t>
      </text>
    </comment>
    <comment authorId="0" ref="T550">
      <text>
        <t xml:space="preserve">2_ABaOnuf5TYeqBikjOY8NO4MaILwIIL7JJczTKSM5o8y2JZnMgbshFrKydNaRFN9o4y1wKsQ</t>
      </text>
    </comment>
    <comment authorId="0" ref="R551">
      <text>
        <t xml:space="preserve">2_ABaOnue7k3-u_IYC8fB8c3NJGLOkde5X7tibIiSlD5D1lYqeDOJLp6AqijIsyscUP7Z5C-U</t>
      </text>
    </comment>
    <comment authorId="0" ref="T551">
      <text>
        <t xml:space="preserve">2_ABaOnue7k3-u_IYC8fB8c3NJGLOkde5X7tibIiSlD5D1lYqeDOJLp6AqijIsyscUP7Z5C-U</t>
      </text>
    </comment>
    <comment authorId="0" ref="R552">
      <text>
        <t xml:space="preserve">2_ABaOnueT2q8BHx2ksrvCUgX0hUBJMBtrVAw47BJG81YHEvDOXiR-NB5_Yc21mqaSrOQzeY0</t>
      </text>
    </comment>
    <comment authorId="0" ref="T552">
      <text>
        <t xml:space="preserve">2_ABaOnueT2q8BHx2ksrvCUgX0hUBJMBtrVAw47BJG81YHEvDOXiR-NB5_Yc21mqaSrOQzeY0</t>
      </text>
    </comment>
    <comment authorId="0" ref="R553">
      <text>
        <t xml:space="preserve">2_ABaOnudF8tnkQXx3zr6zms9KaT3bW4qJrDoj6I5XVnpZ3ywcu--DUYF2rhuAK0e6OyJMYX8</t>
      </text>
    </comment>
    <comment authorId="0" ref="T553">
      <text>
        <t xml:space="preserve">2_ABaOnudF8tnkQXx3zr6zms9KaT3bW4qJrDoj6I5XVnpZ3ywcu--DUYF2rhuAK0e6OyJMYX8</t>
      </text>
    </comment>
    <comment authorId="0" ref="R554">
      <text>
        <t xml:space="preserve">2_ABaOnueWFRhy21FN4sg4RZS-D_bAwFWHtyJZ_P2tBlGP8jkllPJcerY4JSNytuirkIz_6CI</t>
      </text>
    </comment>
    <comment authorId="0" ref="T554">
      <text>
        <t xml:space="preserve">2_ABaOnueWFRhy21FN4sg4RZS-D_bAwFWHtyJZ_P2tBlGP8jkllPJcerY4JSNytuirkIz_6CI</t>
      </text>
    </comment>
    <comment authorId="0" ref="R555">
      <text>
        <t xml:space="preserve">2_ABaOnudNJM3GUS2aCJkGTaXcs5OmFX40y5iHRIP0FOUylDRAzUA1hKNGuejRmrgUQ4wDdAw</t>
      </text>
    </comment>
    <comment authorId="0" ref="T555">
      <text>
        <t xml:space="preserve">2_ABaOnudNJM3GUS2aCJkGTaXcs5OmFX40y5iHRIP0FOUylDRAzUA1hKNGuejRmrgUQ4wDdAw</t>
      </text>
    </comment>
    <comment authorId="0" ref="R556">
      <text>
        <t xml:space="preserve">2_ABaOnudOpZwU9I0ojb-UHJaLbhi2Nz-JJQZ1oQRUGP_HiPBcORp3G9S81Gu66-3MgbFszXU</t>
      </text>
    </comment>
    <comment authorId="0" ref="T556">
      <text>
        <t xml:space="preserve">2_ABaOnudOpZwU9I0ojb-UHJaLbhi2Nz-JJQZ1oQRUGP_HiPBcORp3G9S81Gu66-3MgbFszXU</t>
      </text>
    </comment>
    <comment authorId="0" ref="R557">
      <text>
        <t xml:space="preserve">2_ABaOnufwlHhvQ983HX8GjCeiM5pA5DCSl5cUuO2k69V6tvigykz3uIMPjFn3blacwhEnAoI</t>
      </text>
    </comment>
    <comment authorId="0" ref="T557">
      <text>
        <t xml:space="preserve">2_ABaOnufwlHhvQ983HX8GjCeiM5pA5DCSl5cUuO2k69V6tvigykz3uIMPjFn3blacwhEnAoI</t>
      </text>
    </comment>
    <comment authorId="0" ref="R558">
      <text>
        <t xml:space="preserve">2_ABaOnucf9BIKi_aTaWfdqzKv60ZqHS2vhDynrRP2oxo3e0o8jppRpoM_OebI0OxCDRXZhkA</t>
      </text>
    </comment>
    <comment authorId="0" ref="T558">
      <text>
        <t xml:space="preserve">2_ABaOnucf9BIKi_aTaWfdqzKv60ZqHS2vhDynrRP2oxo3e0o8jppRpoM_OebI0OxCDRXZhkA</t>
      </text>
    </comment>
    <comment authorId="0" ref="R559">
      <text>
        <t xml:space="preserve">2_ABaOnudymcL6f7H98J_d4teKRZOZI4LHdFmXicwhII09ANQIEPUwyawdl2Q_knG1UulaO1U</t>
      </text>
    </comment>
    <comment authorId="0" ref="T559">
      <text>
        <t xml:space="preserve">2_ABaOnudymcL6f7H98J_d4teKRZOZI4LHdFmXicwhII09ANQIEPUwyawdl2Q_knG1UulaO1U</t>
      </text>
    </comment>
    <comment authorId="0" ref="R560">
      <text>
        <t xml:space="preserve">2_ABaOnudZne6zgkQUejX3G8xqfMX1d_VClHdNHhLBOo1x6699lKOErdCyGEXeJ_byYQkNLIM</t>
      </text>
    </comment>
    <comment authorId="0" ref="T560">
      <text>
        <t xml:space="preserve">2_ABaOnudZne6zgkQUejX3G8xqfMX1d_VClHdNHhLBOo1x6699lKOErdCyGEXeJ_byYQkNLIM</t>
      </text>
    </comment>
    <comment authorId="0" ref="R561">
      <text>
        <t xml:space="preserve">2_ABaOnucMaEhHUm8t19LBhSbTNQrcWKdX9-ZlWLLJR5bgk0x7bhl8mXH--EchraXoCpHGzNE</t>
      </text>
    </comment>
    <comment authorId="0" ref="T561">
      <text>
        <t xml:space="preserve">2_ABaOnucMaEhHUm8t19LBhSbTNQrcWKdX9-ZlWLLJR5bgk0x7bhl8mXH--EchraXoCpHGzNE</t>
      </text>
    </comment>
    <comment authorId="0" ref="R562">
      <text>
        <t xml:space="preserve">2_ABaOnud-MlTDJS6xswaqLSf4wZZulplpgiqJciMTfh2yQKhfbMoQvAmWK0FJa3XAQ-ynOXw</t>
      </text>
    </comment>
    <comment authorId="0" ref="T562">
      <text>
        <t xml:space="preserve">2_ABaOnud-MlTDJS6xswaqLSf4wZZulplpgiqJciMTfh2yQKhfbMoQvAmWK0FJa3XAQ-ynOXw</t>
      </text>
    </comment>
    <comment authorId="0" ref="R563">
      <text>
        <t xml:space="preserve">2_ABaOnucOFsQRRBSfrex7jyWnSb5w5ms74O8Ymp4B3L7nDWN0QnW120FZAWOSTiqS5s5Tpa4</t>
      </text>
    </comment>
    <comment authorId="0" ref="T563">
      <text>
        <t xml:space="preserve">2_ABaOnucOFsQRRBSfrex7jyWnSb5w5ms74O8Ymp4B3L7nDWN0QnW120FZAWOSTiqS5s5Tpa4</t>
      </text>
    </comment>
    <comment authorId="0" ref="R564">
      <text>
        <t xml:space="preserve">2_ABaOnufe4W9N8vRBL9eSujLKTvFwWNbgpTLU-JHF9vc7YvkjD22_blwHr7cqGx__W_2vddk</t>
      </text>
    </comment>
    <comment authorId="0" ref="T564">
      <text>
        <t xml:space="preserve">2_ABaOnufe4W9N8vRBL9eSujLKTvFwWNbgpTLU-JHF9vc7YvkjD22_blwHr7cqGx__W_2vddk</t>
      </text>
    </comment>
    <comment authorId="0" ref="R565">
      <text>
        <t xml:space="preserve">2_ABaOnucwH8BlsI5K6WxEcYHdYB3XpdL5FtwhO1QwluOKHyGg1VHnJSj_g6PdoHDEspn5I-c</t>
      </text>
    </comment>
    <comment authorId="0" ref="T565">
      <text>
        <t xml:space="preserve">2_ABaOnucwH8BlsI5K6WxEcYHdYB3XpdL5FtwhO1QwluOKHyGg1VHnJSj_g6PdoHDEspn5I-c</t>
      </text>
    </comment>
    <comment authorId="0" ref="R566">
      <text>
        <t xml:space="preserve">2_ABaOnufO4BG3j7-l0nQzHmvzSkC_c-YIFJoL0oFa04Ln-mcxX7tM7jtwOwaW8HnC7Y-Frug</t>
      </text>
    </comment>
    <comment authorId="0" ref="T566">
      <text>
        <t xml:space="preserve">2_ABaOnufO4BG3j7-l0nQzHmvzSkC_c-YIFJoL0oFa04Ln-mcxX7tM7jtwOwaW8HnC7Y-Frug</t>
      </text>
    </comment>
    <comment authorId="0" ref="R567">
      <text>
        <t xml:space="preserve">2_ABaOnudyaW8MTTSn7rWrY3LSHoN9SaHh7rAlNli6bDIvi72oKmdU_YJOgJVj98uYHqpv6PA</t>
      </text>
    </comment>
    <comment authorId="0" ref="T567">
      <text>
        <t xml:space="preserve">2_ABaOnudyaW8MTTSn7rWrY3LSHoN9SaHh7rAlNli6bDIvi72oKmdU_YJOgJVj98uYHqpv6PA</t>
      </text>
    </comment>
    <comment authorId="0" ref="R568">
      <text>
        <t xml:space="preserve">2_ABaOnucCKP7TUa3amw-xzzhnzw-Q49R0ZnlAf4fX_5Jr8HwYtYU-7l6gRbUtIojKSAIaMfg</t>
      </text>
    </comment>
    <comment authorId="0" ref="T568">
      <text>
        <t xml:space="preserve">2_ABaOnucCKP7TUa3amw-xzzhnzw-Q49R0ZnlAf4fX_5Jr8HwYtYU-7l6gRbUtIojKSAIaMfg</t>
      </text>
    </comment>
    <comment authorId="0" ref="R569">
      <text>
        <t xml:space="preserve">2_ABaOnufalyJtkvKzffsWEtUv7DwlvFm8YsemJ0AHNpZHEiidzvpo-5r-kPmAguM92SKlnbw</t>
      </text>
    </comment>
    <comment authorId="0" ref="T569">
      <text>
        <t xml:space="preserve">2_ABaOnufalyJtkvKzffsWEtUv7DwlvFm8YsemJ0AHNpZHEiidzvpo-5r-kPmAguM92SKlnbw</t>
      </text>
    </comment>
    <comment authorId="0" ref="R570">
      <text>
        <t xml:space="preserve">2_ABaOnucWxE53myvfkdsZ18YFk6HZmDJdPJ4Ulf2F_KLDDwjD7wScEV5833TBfItBc-_BZcM</t>
      </text>
    </comment>
    <comment authorId="0" ref="T570">
      <text>
        <t xml:space="preserve">2_ABaOnucWxE53myvfkdsZ18YFk6HZmDJdPJ4Ulf2F_KLDDwjD7wScEV5833TBfItBc-_BZcM</t>
      </text>
    </comment>
    <comment authorId="0" ref="R571">
      <text>
        <t xml:space="preserve">2_ABaOnucAOb85Ni0oAL-HcvShMrggcN0jaaOLsCqROpQjmtckNB2xtw2rfMGlpD1wNBOiecI</t>
      </text>
    </comment>
    <comment authorId="0" ref="T571">
      <text>
        <t xml:space="preserve">2_ABaOnucAOb85Ni0oAL-HcvShMrggcN0jaaOLsCqROpQjmtckNB2xtw2rfMGlpD1wNBOiecI</t>
      </text>
    </comment>
    <comment authorId="0" ref="R572">
      <text>
        <t xml:space="preserve">2_ABaOnucpEDVWsGFgk3DKIKtD1m0rdj2p5Trr8oU6UPBbSAdpBEVq1nch6Pq1_h5kjSwTHV4</t>
      </text>
    </comment>
    <comment authorId="0" ref="T572">
      <text>
        <t xml:space="preserve">2_ABaOnucpEDVWsGFgk3DKIKtD1m0rdj2p5Trr8oU6UPBbSAdpBEVq1nch6Pq1_h5kjSwTHV4</t>
      </text>
    </comment>
    <comment authorId="0" ref="R573">
      <text>
        <t xml:space="preserve">2_ABaOnuesboiSiupjpK7TxR8YTfkQTVWJm0c0NbJi7Q5z6IS-mL6g_pATjN5dIjYKl0AxDOM</t>
      </text>
    </comment>
    <comment authorId="0" ref="T573">
      <text>
        <t xml:space="preserve">2_ABaOnuesboiSiupjpK7TxR8YTfkQTVWJm0c0NbJi7Q5z6IS-mL6g_pATjN5dIjYKl0AxDOM</t>
      </text>
    </comment>
    <comment authorId="0" ref="R574">
      <text>
        <t xml:space="preserve">2_ABaOnuf4SabuBLmMNCKSS2_eAYFkAR2Q544AIJJdfpuhq6BXuoRG92iSNKQ6_uXXuQ7iBUQ</t>
      </text>
    </comment>
    <comment authorId="0" ref="T574">
      <text>
        <t xml:space="preserve">2_ABaOnuf4SabuBLmMNCKSS2_eAYFkAR2Q544AIJJdfpuhq6BXuoRG92iSNKQ6_uXXuQ7iBUQ</t>
      </text>
    </comment>
    <comment authorId="0" ref="R575">
      <text>
        <t xml:space="preserve">2_ABaOnuc625NBxsyZ4mkpQ0lgo9q9Ao6iDCi5VKa5Pqb_vKZQif35n9otQkbU_Q3WVkRCzvI</t>
      </text>
    </comment>
    <comment authorId="0" ref="T575">
      <text>
        <t xml:space="preserve">2_ABaOnuc625NBxsyZ4mkpQ0lgo9q9Ao6iDCi5VKa5Pqb_vKZQif35n9otQkbU_Q3WVkRCzvI</t>
      </text>
    </comment>
    <comment authorId="0" ref="R576">
      <text>
        <t xml:space="preserve">2_ABaOnuckyPkCSnLhmARMqLr6Wu7G78YVfhXqlfLQIDjTUU4FE6yRvP6rgayLAEqrk_fFVqE</t>
      </text>
    </comment>
    <comment authorId="0" ref="T576">
      <text>
        <t xml:space="preserve">2_ABaOnuckyPkCSnLhmARMqLr6Wu7G78YVfhXqlfLQIDjTUU4FE6yRvP6rgayLAEqrk_fFVqE</t>
      </text>
    </comment>
    <comment authorId="0" ref="R577">
      <text>
        <t xml:space="preserve">2_ABaOnueSFY9LchmmixWviM138cXaw11VlN4ryz9hlCLKp2uK7DlmusAENE6IakFUCPVJUdk</t>
      </text>
    </comment>
    <comment authorId="0" ref="T577">
      <text>
        <t xml:space="preserve">2_ABaOnueSFY9LchmmixWviM138cXaw11VlN4ryz9hlCLKp2uK7DlmusAENE6IakFUCPVJUdk</t>
      </text>
    </comment>
    <comment authorId="0" ref="R578">
      <text>
        <t xml:space="preserve">2_ABaOnufKv-Er3BfmX0xsu7Xc378GqMprJ_QS9KtfvYsela16llLcfgXdF7SAq23vBDrJRpg</t>
      </text>
    </comment>
    <comment authorId="0" ref="T578">
      <text>
        <t xml:space="preserve">2_ABaOnufKv-Er3BfmX0xsu7Xc378GqMprJ_QS9KtfvYsela16llLcfgXdF7SAq23vBDrJRpg</t>
      </text>
    </comment>
    <comment authorId="0" ref="R579">
      <text>
        <t xml:space="preserve">2_ABaOnufS7GMh51OX9aEOpWE-0z0jJOUmHO1h8H8a3tuno0IZHQprUafneJsO1aHvXN41NF4</t>
      </text>
    </comment>
    <comment authorId="0" ref="T579">
      <text>
        <t xml:space="preserve">2_ABaOnufS7GMh51OX9aEOpWE-0z0jJOUmHO1h8H8a3tuno0IZHQprUafneJsO1aHvXN41NF4</t>
      </text>
    </comment>
    <comment authorId="0" ref="R580">
      <text>
        <t xml:space="preserve">2_ABaOnucft88IHnlpXr3LSOSKD2wWOFWzr8H4xx91cdzyAVENL2fkF-KM8erhiS56GEEEi3Y</t>
      </text>
    </comment>
    <comment authorId="0" ref="T580">
      <text>
        <t xml:space="preserve">2_ABaOnucft88IHnlpXr3LSOSKD2wWOFWzr8H4xx91cdzyAVENL2fkF-KM8erhiS56GEEEi3Y</t>
      </text>
    </comment>
    <comment authorId="0" ref="R581">
      <text>
        <t xml:space="preserve">2_ABaOnudwd8UfXaAV1l5OXNZEVcdhKiIKA46cAdNqal1NtpLlgy7joMOeLFyEFjNNfUfCbpY</t>
      </text>
    </comment>
    <comment authorId="0" ref="T581">
      <text>
        <t xml:space="preserve">2_ABaOnudwd8UfXaAV1l5OXNZEVcdhKiIKA46cAdNqal1NtpLlgy7joMOeLFyEFjNNfUfCbpY</t>
      </text>
    </comment>
    <comment authorId="0" ref="R582">
      <text>
        <t xml:space="preserve">2_ABaOnueqnoiTGzi-dohj89ybMIwWoYx9nZqs_GwJI-GpZhEwHiFvKkdTB4Z6KsfmuIy7hDI</t>
      </text>
    </comment>
    <comment authorId="0" ref="T582">
      <text>
        <t xml:space="preserve">2_ABaOnueqnoiTGzi-dohj89ybMIwWoYx9nZqs_GwJI-GpZhEwHiFvKkdTB4Z6KsfmuIy7hDI</t>
      </text>
    </comment>
    <comment authorId="0" ref="R583">
      <text>
        <t xml:space="preserve">2_ABaOnudZCYcz3MgiCO_USZVDOE7zPc_RdL6_YvJFjRM5U7_nUhk_kWx6dtobB6OL2nynnjM</t>
      </text>
    </comment>
    <comment authorId="0" ref="T583">
      <text>
        <t xml:space="preserve">2_ABaOnudZCYcz3MgiCO_USZVDOE7zPc_RdL6_YvJFjRM5U7_nUhk_kWx6dtobB6OL2nynnjM</t>
      </text>
    </comment>
    <comment authorId="0" ref="R584">
      <text>
        <t xml:space="preserve">2_ABaOnuc36OhRYaDOJRlrfkvpNwGkJBOlUkBwf_z6Uaaw3zxCLAjeRnn5D9AUz8ffnYYJHSI</t>
      </text>
    </comment>
    <comment authorId="0" ref="T584">
      <text>
        <t xml:space="preserve">2_ABaOnuc36OhRYaDOJRlrfkvpNwGkJBOlUkBwf_z6Uaaw3zxCLAjeRnn5D9AUz8ffnYYJHSI</t>
      </text>
    </comment>
    <comment authorId="0" ref="R585">
      <text>
        <t xml:space="preserve">2_ABaOnufWfu4K2kw2etp2JtyAMxDowHYB6LHA--N30ofWZbCRwAIS2tU8ip9-y9c2OTLF8N8</t>
      </text>
    </comment>
    <comment authorId="0" ref="T585">
      <text>
        <t xml:space="preserve">2_ABaOnufWfu4K2kw2etp2JtyAMxDowHYB6LHA--N30ofWZbCRwAIS2tU8ip9-y9c2OTLF8N8</t>
      </text>
    </comment>
    <comment authorId="0" ref="R586">
      <text>
        <t xml:space="preserve">2_ABaOnuewGz9X6hSShhNvXyYYi4bFoKSUqRCwhz9ivUMHwWiBsEwJycdgIr9ydm1UNEl5x-Y</t>
      </text>
    </comment>
    <comment authorId="0" ref="T586">
      <text>
        <t xml:space="preserve">2_ABaOnuewGz9X6hSShhNvXyYYi4bFoKSUqRCwhz9ivUMHwWiBsEwJycdgIr9ydm1UNEl5x-Y</t>
      </text>
    </comment>
    <comment authorId="0" ref="R587">
      <text>
        <t xml:space="preserve">2_ABaOnucBlBQOwiHz-3Ui64e4k613gGGrYYneIfh8P_rcNmx86rhpJO0Hd86_LnCqUB8-w_s</t>
      </text>
    </comment>
    <comment authorId="0" ref="T587">
      <text>
        <t xml:space="preserve">2_ABaOnucBlBQOwiHz-3Ui64e4k613gGGrYYneIfh8P_rcNmx86rhpJO0Hd86_LnCqUB8-w_s</t>
      </text>
    </comment>
    <comment authorId="0" ref="R588">
      <text>
        <t xml:space="preserve">2_ABaOnucojgkt2qolkfJR0DcY6bt5qeDRVkW2EknTwcBXV3adtlxvCzWHlYKdsVo9mdqxd6g</t>
      </text>
    </comment>
    <comment authorId="0" ref="T588">
      <text>
        <t xml:space="preserve">2_ABaOnucojgkt2qolkfJR0DcY6bt5qeDRVkW2EknTwcBXV3adtlxvCzWHlYKdsVo9mdqxd6g</t>
      </text>
    </comment>
    <comment authorId="0" ref="R589">
      <text>
        <t xml:space="preserve">2_ABaOnuf9iCz5wQdJ_BpPO2tYSF7zGxElu-vOrMDLyaruqTQVSAp6ywbL-5TVYUUEflPlg7o</t>
      </text>
    </comment>
    <comment authorId="0" ref="T589">
      <text>
        <t xml:space="preserve">2_ABaOnuf9iCz5wQdJ_BpPO2tYSF7zGxElu-vOrMDLyaruqTQVSAp6ywbL-5TVYUUEflPlg7o</t>
      </text>
    </comment>
    <comment authorId="0" ref="R590">
      <text>
        <t xml:space="preserve">2_ABaOnuc9WbK0sjLRocwiC6OKONr5iuYsQkwm0qfS6M8M6eBo677Zw8r0gcRuitCfk67yXEA</t>
      </text>
    </comment>
    <comment authorId="0" ref="T590">
      <text>
        <t xml:space="preserve">2_ABaOnuc9WbK0sjLRocwiC6OKONr5iuYsQkwm0qfS6M8M6eBo677Zw8r0gcRuitCfk67yXEA</t>
      </text>
    </comment>
    <comment authorId="0" ref="R591">
      <text>
        <t xml:space="preserve">2_ABaOnuc2Bk0SsjB1ZH92gc-t3siijlcywBnkL6OPopDDihvFBUFt6_zDbp2WHgH3yfb-Hag</t>
      </text>
    </comment>
    <comment authorId="0" ref="T591">
      <text>
        <t xml:space="preserve">2_ABaOnuc2Bk0SsjB1ZH92gc-t3siijlcywBnkL6OPopDDihvFBUFt6_zDbp2WHgH3yfb-Hag</t>
      </text>
    </comment>
    <comment authorId="0" ref="R592">
      <text>
        <t xml:space="preserve">2_ABaOnucK5iL95mw6DgirgPsJ3mjtESz97S12VlyXu4zVtDb5kEcbCB29RxLoMH0BaaOWdlw</t>
      </text>
    </comment>
    <comment authorId="0" ref="T592">
      <text>
        <t xml:space="preserve">2_ABaOnucK5iL95mw6DgirgPsJ3mjtESz97S12VlyXu4zVtDb5kEcbCB29RxLoMH0BaaOWdlw</t>
      </text>
    </comment>
    <comment authorId="0" ref="R593">
      <text>
        <t xml:space="preserve">2_ABaOnue6hDrSYxitlRpuejq1WJmgj8gOeGr4dFJD5M-iPe9VDB-7Mtog7FPd7ODPsH7n4DU</t>
      </text>
    </comment>
    <comment authorId="0" ref="T593">
      <text>
        <t xml:space="preserve">2_ABaOnue6hDrSYxitlRpuejq1WJmgj8gOeGr4dFJD5M-iPe9VDB-7Mtog7FPd7ODPsH7n4DU</t>
      </text>
    </comment>
    <comment authorId="0" ref="R594">
      <text>
        <t xml:space="preserve">2_ABaOnueOisKTUcMPA84Riq6dP-ulF36k4QuJN_uMqEzkS1Hg94lq-Zlt_sySsFtEDjHI7r4</t>
      </text>
    </comment>
    <comment authorId="0" ref="T594">
      <text>
        <t xml:space="preserve">2_ABaOnueOisKTUcMPA84Riq6dP-ulF36k4QuJN_uMqEzkS1Hg94lq-Zlt_sySsFtEDjHI7r4</t>
      </text>
    </comment>
    <comment authorId="0" ref="R595">
      <text>
        <t xml:space="preserve">2_ABaOnuciz1YAa43nlRUhkqhlOpepHUBxkQUfCogvmLA4hGhsFU791Cy4n3tpKzvDOashpwk</t>
      </text>
    </comment>
    <comment authorId="0" ref="T595">
      <text>
        <t xml:space="preserve">2_ABaOnuciz1YAa43nlRUhkqhlOpepHUBxkQUfCogvmLA4hGhsFU791Cy4n3tpKzvDOashpwk</t>
      </text>
    </comment>
    <comment authorId="0" ref="R596">
      <text>
        <t xml:space="preserve">2_ABaOnucrLodRKI6qZuPyu3KG30l5Dlr1AlZr0TnU0xLiEeNtOG_nKFs-Pn5QqOR2KtUvbTE</t>
      </text>
    </comment>
    <comment authorId="0" ref="T596">
      <text>
        <t xml:space="preserve">2_ABaOnucrLodRKI6qZuPyu3KG30l5Dlr1AlZr0TnU0xLiEeNtOG_nKFs-Pn5QqOR2KtUvbTE</t>
      </text>
    </comment>
    <comment authorId="0" ref="R597">
      <text>
        <t xml:space="preserve">2_ABaOnueb1cW7tpQbtC8KTu_EsIGVxfks0HhMlL7KWFV4qUv3EARaKNDZN356hXPOSjHOhxs</t>
      </text>
    </comment>
    <comment authorId="0" ref="T597">
      <text>
        <t xml:space="preserve">2_ABaOnueb1cW7tpQbtC8KTu_EsIGVxfks0HhMlL7KWFV4qUv3EARaKNDZN356hXPOSjHOhxs</t>
      </text>
    </comment>
    <comment authorId="0" ref="R598">
      <text>
        <t xml:space="preserve">2_ABaOnueOLbJWNOlPGRbW5twxl6gCwG5HWY66dAMFp6CQJd2QvYV6tG6WrTNpcbvRVZ85zBE</t>
      </text>
    </comment>
    <comment authorId="0" ref="T598">
      <text>
        <t xml:space="preserve">2_ABaOnueOLbJWNOlPGRbW5twxl6gCwG5HWY66dAMFp6CQJd2QvYV6tG6WrTNpcbvRVZ85zBE</t>
      </text>
    </comment>
    <comment authorId="0" ref="R599">
      <text>
        <t xml:space="preserve">2_ABaOnucR-CFy6Qwf4ekid4F6cr1xNYgDSfc76jnV0jH1ZJI2k-maN6Z2adyd7z-_7CEq-AE</t>
      </text>
    </comment>
    <comment authorId="0" ref="T599">
      <text>
        <t xml:space="preserve">2_ABaOnucR-CFy6Qwf4ekid4F6cr1xNYgDSfc76jnV0jH1ZJI2k-maN6Z2adyd7z-_7CEq-AE</t>
      </text>
    </comment>
    <comment authorId="0" ref="R600">
      <text>
        <t xml:space="preserve">2_ABaOnueE7H5eYBCh85pZADzeofdffXRXBAr7XmZ01STT5gsryuAs6scR_dWQ-SQI_QSUMJA</t>
      </text>
    </comment>
    <comment authorId="0" ref="T600">
      <text>
        <t xml:space="preserve">2_ABaOnueE7H5eYBCh85pZADzeofdffXRXBAr7XmZ01STT5gsryuAs6scR_dWQ-SQI_QSUMJA</t>
      </text>
    </comment>
    <comment authorId="0" ref="R601">
      <text>
        <t xml:space="preserve">2_ABaOnueBwh_FGTZf7OblN90GUn7RsVeaMo7T_nMXjAc2tzhvLvk0H9JbpTbW8Rn37POpfYc</t>
      </text>
    </comment>
    <comment authorId="0" ref="T601">
      <text>
        <t xml:space="preserve">2_ABaOnueBwh_FGTZf7OblN90GUn7RsVeaMo7T_nMXjAc2tzhvLvk0H9JbpTbW8Rn37POpfYc</t>
      </text>
    </comment>
    <comment authorId="0" ref="R602">
      <text>
        <t xml:space="preserve">2_ABaOnud82zfShiJFwAWrYIecnwFSFY66mceurqnodnOiBeax5Sx7YoNG4Lu3OpG4vZSvZx0</t>
      </text>
    </comment>
    <comment authorId="0" ref="T602">
      <text>
        <t xml:space="preserve">2_ABaOnud82zfShiJFwAWrYIecnwFSFY66mceurqnodnOiBeax5Sx7YoNG4Lu3OpG4vZSvZx0</t>
      </text>
    </comment>
    <comment authorId="0" ref="R603">
      <text>
        <t xml:space="preserve">2_ABaOnueqaKURhx6eQD1hnwINYGrt9L-yxjWKrZJz2-cEx9Loo0hHn2XVPkmPs9HB_Ywxgyw</t>
      </text>
    </comment>
    <comment authorId="0" ref="T603">
      <text>
        <t xml:space="preserve">2_ABaOnueqaKURhx6eQD1hnwINYGrt9L-yxjWKrZJz2-cEx9Loo0hHn2XVPkmPs9HB_Ywxgyw</t>
      </text>
    </comment>
    <comment authorId="0" ref="R604">
      <text>
        <t xml:space="preserve">2_ABaOnuefvKwcrnT4I2cLLsvuk27DMfIPsbTPDdQi7IAqCn5g7NyBd3J0Gh6ZYaoHETkSnrU</t>
      </text>
    </comment>
    <comment authorId="0" ref="T604">
      <text>
        <t xml:space="preserve">2_ABaOnuefvKwcrnT4I2cLLsvuk27DMfIPsbTPDdQi7IAqCn5g7NyBd3J0Gh6ZYaoHETkSnrU</t>
      </text>
    </comment>
    <comment authorId="0" ref="R605">
      <text>
        <t xml:space="preserve">2_ABaOnudnMCFS0_HtfpEjHz5FXvi6wvtvcqIBnU0IhusVOjSWpDmjWssu_V_xl0NNz7htBEo</t>
      </text>
    </comment>
    <comment authorId="0" ref="T605">
      <text>
        <t xml:space="preserve">2_ABaOnudnMCFS0_HtfpEjHz5FXvi6wvtvcqIBnU0IhusVOjSWpDmjWssu_V_xl0NNz7htBEo</t>
      </text>
    </comment>
    <comment authorId="0" ref="R606">
      <text>
        <t xml:space="preserve">2_ABaOnueNkAx5hk5Wt2YmIHcUe1KIEEdJEtwZmS1ZST9ed-aH88bfPZ4cpUsu-8ERI_MCCss</t>
      </text>
    </comment>
    <comment authorId="0" ref="T606">
      <text>
        <t xml:space="preserve">2_ABaOnueNkAx5hk5Wt2YmIHcUe1KIEEdJEtwZmS1ZST9ed-aH88bfPZ4cpUsu-8ERI_MCCss</t>
      </text>
    </comment>
    <comment authorId="0" ref="R607">
      <text>
        <t xml:space="preserve">2_ABaOnudKtMv6Kc12Dj5HrIQzLD_ZEKXKZ4AkjAEEjUUT-wXe8nJ4o5qJG271trtjL6t2Z2I</t>
      </text>
    </comment>
    <comment authorId="0" ref="T607">
      <text>
        <t xml:space="preserve">2_ABaOnudKtMv6Kc12Dj5HrIQzLD_ZEKXKZ4AkjAEEjUUT-wXe8nJ4o5qJG271trtjL6t2Z2I</t>
      </text>
    </comment>
    <comment authorId="0" ref="R608">
      <text>
        <t xml:space="preserve">2_ABaOnucCCGaXSDNg6ZM99q-eerfj6T_fj0HsGUb6Ujht9yBNyEk8S1K4joWzkViEJcz4SAw</t>
      </text>
    </comment>
    <comment authorId="0" ref="T608">
      <text>
        <t xml:space="preserve">2_ABaOnucCCGaXSDNg6ZM99q-eerfj6T_fj0HsGUb6Ujht9yBNyEk8S1K4joWzkViEJcz4SAw</t>
      </text>
    </comment>
    <comment authorId="0" ref="R609">
      <text>
        <t xml:space="preserve">2_ABaOnucI-gWuNHg3YLVHQ5MOXck1xDT1qDlWT8dTV4tLyabzrrAUSbQI9MolZz7pqoT2GJM</t>
      </text>
    </comment>
    <comment authorId="0" ref="T609">
      <text>
        <t xml:space="preserve">2_ABaOnucI-gWuNHg3YLVHQ5MOXck1xDT1qDlWT8dTV4tLyabzrrAUSbQI9MolZz7pqoT2GJM</t>
      </text>
    </comment>
    <comment authorId="0" ref="R610">
      <text>
        <t xml:space="preserve">2_ABaOnueL8IYaMf06QQbACTU4lNyhATn833xRF7ny8z51DB-q6lraWITTarjulh3V3MQFygM</t>
      </text>
    </comment>
    <comment authorId="0" ref="T610">
      <text>
        <t xml:space="preserve">2_ABaOnueL8IYaMf06QQbACTU4lNyhATn833xRF7ny8z51DB-q6lraWITTarjulh3V3MQFygM</t>
      </text>
    </comment>
    <comment authorId="0" ref="R611">
      <text>
        <t xml:space="preserve">2_ABaOnudR2zNh6dCcNano0C6m0-Er7L56iYvm9FiD0q9150ZBUN719AfLjHgxezCFuv9U6HQ</t>
      </text>
    </comment>
    <comment authorId="0" ref="T611">
      <text>
        <t xml:space="preserve">2_ABaOnudR2zNh6dCcNano0C6m0-Er7L56iYvm9FiD0q9150ZBUN719AfLjHgxezCFuv9U6HQ</t>
      </text>
    </comment>
    <comment authorId="0" ref="R612">
      <text>
        <t xml:space="preserve">2_ABaOnueGToojK5xmIP315Z1ZWWI5sKfSBJpWowdQbqoylWgYn9LgIUfpcvmOGMw0orUqIAo</t>
      </text>
    </comment>
    <comment authorId="0" ref="T612">
      <text>
        <t xml:space="preserve">2_ABaOnueGToojK5xmIP315Z1ZWWI5sKfSBJpWowdQbqoylWgYn9LgIUfpcvmOGMw0orUqIAo</t>
      </text>
    </comment>
    <comment authorId="0" ref="R613">
      <text>
        <t xml:space="preserve">2_ABaOnuctaZnVKMqwnT7zy_CbgySb-MhTu9e2VUg0ewIZY1ShlRtYsFw-q_bo6XzVUTx5gqE</t>
      </text>
    </comment>
    <comment authorId="0" ref="T613">
      <text>
        <t xml:space="preserve">2_ABaOnuctaZnVKMqwnT7zy_CbgySb-MhTu9e2VUg0ewIZY1ShlRtYsFw-q_bo6XzVUTx5gqE</t>
      </text>
    </comment>
    <comment authorId="0" ref="R614">
      <text>
        <t xml:space="preserve">2_ABaOnucxAAPVXia1VWktzqJS16fntMxrR9Sl7bnI0Q3LxZZ7oYni1dvxj_ocRrja9f1mFAk</t>
      </text>
    </comment>
    <comment authorId="0" ref="T614">
      <text>
        <t xml:space="preserve">2_ABaOnucxAAPVXia1VWktzqJS16fntMxrR9Sl7bnI0Q3LxZZ7oYni1dvxj_ocRrja9f1mFAk</t>
      </text>
    </comment>
    <comment authorId="0" ref="R615">
      <text>
        <t xml:space="preserve">2_ABaOnuebUftDqJgdrx8WCaOWPQv2dhb47UTmjZEz9LCKDQi2kE66jpAyAg-Pl6IAI9V5GdQ</t>
      </text>
    </comment>
    <comment authorId="0" ref="T615">
      <text>
        <t xml:space="preserve">2_ABaOnuebUftDqJgdrx8WCaOWPQv2dhb47UTmjZEz9LCKDQi2kE66jpAyAg-Pl6IAI9V5GdQ</t>
      </text>
    </comment>
    <comment authorId="0" ref="R616">
      <text>
        <t xml:space="preserve">2_ABaOnufJh-OS-nNRYrSVBcKeT92kKK8jcJQoePMojgauUSVtxpT2er6yB_80etXmf_WcxOw</t>
      </text>
    </comment>
    <comment authorId="0" ref="T616">
      <text>
        <t xml:space="preserve">2_ABaOnufJh-OS-nNRYrSVBcKeT92kKK8jcJQoePMojgauUSVtxpT2er6yB_80etXmf_WcxOw</t>
      </text>
    </comment>
    <comment authorId="0" ref="R617">
      <text>
        <t xml:space="preserve">2_ABaOnucWfM4XveWsLgsfZX7azpKVfsf0IffM7GE_KjZ_ltXhT3FoW3kLK6POiAiGfA0uGXc</t>
      </text>
    </comment>
    <comment authorId="0" ref="T617">
      <text>
        <t xml:space="preserve">2_ABaOnucWfM4XveWsLgsfZX7azpKVfsf0IffM7GE_KjZ_ltXhT3FoW3kLK6POiAiGfA0uGXc</t>
      </text>
    </comment>
    <comment authorId="0" ref="R618">
      <text>
        <t xml:space="preserve">2_ABaOnudlrBBHox3FSTycVSwRAhSAsaiXvS-8qRdh21JhY4oU6SaQtZGBFP-GKOaUTiC4L2I</t>
      </text>
    </comment>
    <comment authorId="0" ref="T618">
      <text>
        <t xml:space="preserve">2_ABaOnudlrBBHox3FSTycVSwRAhSAsaiXvS-8qRdh21JhY4oU6SaQtZGBFP-GKOaUTiC4L2I</t>
      </text>
    </comment>
    <comment authorId="0" ref="R619">
      <text>
        <t xml:space="preserve">2_ABaOnueoCWzDbYVskFrp9yEn2fV-__x6pclyR8Oa2Cf3QUl9oH5HVGD0JFjTxXpORO44I38</t>
      </text>
    </comment>
    <comment authorId="0" ref="T619">
      <text>
        <t xml:space="preserve">2_ABaOnueoCWzDbYVskFrp9yEn2fV-__x6pclyR8Oa2Cf3QUl9oH5HVGD0JFjTxXpORO44I38</t>
      </text>
    </comment>
    <comment authorId="0" ref="R620">
      <text>
        <t xml:space="preserve">2_ABaOnucZMOOpT3kp4Q__7Gm_ErRUhKrSfgMZzvu5yxY1lv-brkz_iPptI7e41cV4MGjy9x8</t>
      </text>
    </comment>
    <comment authorId="0" ref="T620">
      <text>
        <t xml:space="preserve">2_ABaOnucZMOOpT3kp4Q__7Gm_ErRUhKrSfgMZzvu5yxY1lv-brkz_iPptI7e41cV4MGjy9x8</t>
      </text>
    </comment>
    <comment authorId="0" ref="R621">
      <text>
        <t xml:space="preserve">2_ABaOnueXy_iVEZx4LAEe964ROYSSrvmkJ8oDtKxmmBI9PrVjPRVZkiAN8hEVl7RWyb51SJ4</t>
      </text>
    </comment>
    <comment authorId="0" ref="T621">
      <text>
        <t xml:space="preserve">2_ABaOnueXy_iVEZx4LAEe964ROYSSrvmkJ8oDtKxmmBI9PrVjPRVZkiAN8hEVl7RWyb51SJ4</t>
      </text>
    </comment>
    <comment authorId="0" ref="R622">
      <text>
        <t xml:space="preserve">2_ABaOnuf2voqsqR5hBDHRS5i-h7xlMnzh_jTqIfRrEWEbHLG-9owIu_RNczX14VHus0EO-oY</t>
      </text>
    </comment>
    <comment authorId="0" ref="T622">
      <text>
        <t xml:space="preserve">2_ABaOnuf2voqsqR5hBDHRS5i-h7xlMnzh_jTqIfRrEWEbHLG-9owIu_RNczX14VHus0EO-oY</t>
      </text>
    </comment>
    <comment authorId="0" ref="R623">
      <text>
        <t xml:space="preserve">2_ABaOnue3Z4kcxJtTlqO8voOPdWvCXRzfNTsJzxFWc5s3xLuLUxq7Lt1aCdXsyFGQik4qpx8</t>
      </text>
    </comment>
    <comment authorId="0" ref="T623">
      <text>
        <t xml:space="preserve">2_ABaOnue3Z4kcxJtTlqO8voOPdWvCXRzfNTsJzxFWc5s3xLuLUxq7Lt1aCdXsyFGQik4qpx8</t>
      </text>
    </comment>
    <comment authorId="0" ref="R624">
      <text>
        <t xml:space="preserve">2_ABaOnucxPDPsFuhbLeHem3K9aRpPBLkQKdPd1rZG3bPQDCWvYEwrLtilRO7v07dckZYRwQA</t>
      </text>
    </comment>
    <comment authorId="0" ref="T624">
      <text>
        <t xml:space="preserve">2_ABaOnucxPDPsFuhbLeHem3K9aRpPBLkQKdPd1rZG3bPQDCWvYEwrLtilRO7v07dckZYRwQA</t>
      </text>
    </comment>
    <comment authorId="0" ref="R625">
      <text>
        <t xml:space="preserve">2_ABaOnufRDQX1Qt7cl9a6o3xn-vdRccOq0-f25Hov9mtuZvf10gAf3sjUWxpRqg-7XfMREvk</t>
      </text>
    </comment>
    <comment authorId="0" ref="T625">
      <text>
        <t xml:space="preserve">2_ABaOnufRDQX1Qt7cl9a6o3xn-vdRccOq0-f25Hov9mtuZvf10gAf3sjUWxpRqg-7XfMREvk</t>
      </text>
    </comment>
    <comment authorId="0" ref="R626">
      <text>
        <t xml:space="preserve">2_ABaOnuf4Smr2i_QZdP3v8SPp6rIebdbXwv81kW3lM2VitVq-_bkxuD04GNArNIgKMrsnhOc</t>
      </text>
    </comment>
    <comment authorId="0" ref="T626">
      <text>
        <t xml:space="preserve">2_ABaOnuf4Smr2i_QZdP3v8SPp6rIebdbXwv81kW3lM2VitVq-_bkxuD04GNArNIgKMrsnhOc</t>
      </text>
    </comment>
    <comment authorId="0" ref="R627">
      <text>
        <t xml:space="preserve">2_ABaOnucz8PEOgjJnv_yfAooBZgM8rJ59Z3V6gJIAukZNxjs7t44JuF5Pefe4PRN3jN8UBpQ</t>
      </text>
    </comment>
    <comment authorId="0" ref="T627">
      <text>
        <t xml:space="preserve">2_ABaOnucz8PEOgjJnv_yfAooBZgM8rJ59Z3V6gJIAukZNxjs7t44JuF5Pefe4PRN3jN8UBpQ</t>
      </text>
    </comment>
    <comment authorId="0" ref="R628">
      <text>
        <t xml:space="preserve">2_ABaOnucF3RgZHQbMEpuaQDDdZ2Xrl65r5-7Og4TOAMMTk1nO0F7L1DELHDPfsM5FC65JiyA</t>
      </text>
    </comment>
    <comment authorId="0" ref="T628">
      <text>
        <t xml:space="preserve">2_ABaOnucF3RgZHQbMEpuaQDDdZ2Xrl65r5-7Og4TOAMMTk1nO0F7L1DELHDPfsM5FC65JiyA</t>
      </text>
    </comment>
    <comment authorId="0" ref="R629">
      <text>
        <t xml:space="preserve">2_ABaOnueYkU-J2VDcLy8F_r2seBA2geY6HYfQOC4g0UeWqPEHHmzdo17i9ZEePSj9hVZRZV0</t>
      </text>
    </comment>
    <comment authorId="0" ref="T629">
      <text>
        <t xml:space="preserve">2_ABaOnueYkU-J2VDcLy8F_r2seBA2geY6HYfQOC4g0UeWqPEHHmzdo17i9ZEePSj9hVZRZV0</t>
      </text>
    </comment>
    <comment authorId="0" ref="R630">
      <text>
        <t xml:space="preserve">2_ABaOnufOumh0lfYnUScDM_izEpDIqJNDyMCvVFMeUiKd_yVN1eHsFmtMa2LecpF_w8CfBNI</t>
      </text>
    </comment>
    <comment authorId="0" ref="T630">
      <text>
        <t xml:space="preserve">2_ABaOnufOumh0lfYnUScDM_izEpDIqJNDyMCvVFMeUiKd_yVN1eHsFmtMa2LecpF_w8CfBNI</t>
      </text>
    </comment>
    <comment authorId="0" ref="R631">
      <text>
        <t xml:space="preserve">2_ABaOnufUC7qwX3KzLVQzRuD2MxMFCi_oEMjaOZzYi_avUUevlNv9aZQLvo9vDhQSq-zreJI</t>
      </text>
    </comment>
    <comment authorId="0" ref="T631">
      <text>
        <t xml:space="preserve">2_ABaOnufUC7qwX3KzLVQzRuD2MxMFCi_oEMjaOZzYi_avUUevlNv9aZQLvo9vDhQSq-zreJI</t>
      </text>
    </comment>
    <comment authorId="0" ref="R632">
      <text>
        <t xml:space="preserve">2_ABaOnuc0etDj8W4wyO2zXpjiNQ4-1eWMdOlxhnkbZC2oXI_ckv0XZHZrBhiF933reyz16-Y</t>
      </text>
    </comment>
    <comment authorId="0" ref="T632">
      <text>
        <t xml:space="preserve">2_ABaOnuc0etDj8W4wyO2zXpjiNQ4-1eWMdOlxhnkbZC2oXI_ckv0XZHZrBhiF933reyz16-Y</t>
      </text>
    </comment>
    <comment authorId="0" ref="R633">
      <text>
        <t xml:space="preserve">2_ABaOnucyBi5u-t9mw5Mq0VfBgPNrKm3GyV3Ioip8dy2-7ziwVTsqe6UDy7WTLoZwwKXWHC0</t>
      </text>
    </comment>
    <comment authorId="0" ref="T633">
      <text>
        <t xml:space="preserve">2_ABaOnucyBi5u-t9mw5Mq0VfBgPNrKm3GyV3Ioip8dy2-7ziwVTsqe6UDy7WTLoZwwKXWHC0</t>
      </text>
    </comment>
    <comment authorId="0" ref="R634">
      <text>
        <t xml:space="preserve">2_ABaOnueRu9GyPZeau485i5wuhvVJyxVa6olCkZIBQyBnYuUJ25pVuq0bm8-3TUPTGLivcQc</t>
      </text>
    </comment>
    <comment authorId="0" ref="T634">
      <text>
        <t xml:space="preserve">2_ABaOnueRu9GyPZeau485i5wuhvVJyxVa6olCkZIBQyBnYuUJ25pVuq0bm8-3TUPTGLivcQc</t>
      </text>
    </comment>
    <comment authorId="0" ref="R635">
      <text>
        <t xml:space="preserve">2_ABaOnueM6s8o_Sf9hVnw690Qf4tuowxbFOLyZLitgkPxg_zHs4KQ2Loqqmo-lcXp85ZqNgc</t>
      </text>
    </comment>
    <comment authorId="0" ref="T635">
      <text>
        <t xml:space="preserve">2_ABaOnueM6s8o_Sf9hVnw690Qf4tuowxbFOLyZLitgkPxg_zHs4KQ2Loqqmo-lcXp85ZqNgc</t>
      </text>
    </comment>
    <comment authorId="0" ref="R636">
      <text>
        <t xml:space="preserve">2_ABaOnuc7Rtf-OTYuEH50Wi4leG6s0wNcCYzzUNXoxk_TUMFt5AS-1PDi8qYAoLQ0sgP3LB0</t>
      </text>
    </comment>
    <comment authorId="0" ref="T636">
      <text>
        <t xml:space="preserve">2_ABaOnuc7Rtf-OTYuEH50Wi4leG6s0wNcCYzzUNXoxk_TUMFt5AS-1PDi8qYAoLQ0sgP3LB0</t>
      </text>
    </comment>
    <comment authorId="0" ref="R637">
      <text>
        <t xml:space="preserve">2_ABaOnufFR7_3wfYpXURk4R2oByf5NbacJixK_wQKjs-XjQf649818xUNf4HCCqz2DO_rTyA</t>
      </text>
    </comment>
    <comment authorId="0" ref="T637">
      <text>
        <t xml:space="preserve">2_ABaOnufFR7_3wfYpXURk4R2oByf5NbacJixK_wQKjs-XjQf649818xUNf4HCCqz2DO_rTyA</t>
      </text>
    </comment>
    <comment authorId="0" ref="R638">
      <text>
        <t xml:space="preserve">2_ABaOnucu0OmRM8zjiG4ToIAfEONzSMvZL0iZfAqbsGb_MEPjGzzAJYGICmVxUASy_zXU9XE</t>
      </text>
    </comment>
    <comment authorId="0" ref="T638">
      <text>
        <t xml:space="preserve">2_ABaOnucu0OmRM8zjiG4ToIAfEONzSMvZL0iZfAqbsGb_MEPjGzzAJYGICmVxUASy_zXU9XE</t>
      </text>
    </comment>
    <comment authorId="0" ref="R639">
      <text>
        <t xml:space="preserve">2_ABaOnueX5oyFRrBKTmWhpixoogzBVyxsBp610BTUzI8XJb58_a21cn1AfxdxXsNHPZMBEcs</t>
      </text>
    </comment>
    <comment authorId="0" ref="T639">
      <text>
        <t xml:space="preserve">2_ABaOnueX5oyFRrBKTmWhpixoogzBVyxsBp610BTUzI8XJb58_a21cn1AfxdxXsNHPZMBEcs</t>
      </text>
    </comment>
    <comment authorId="0" ref="R640">
      <text>
        <t xml:space="preserve">2_ABaOnufHVLF9zvIdL7szW0N_Tnx2PaUAuKQcYIL8RL3dH0rDifP1-nh9REQ-zei67w3AcF4</t>
      </text>
    </comment>
    <comment authorId="0" ref="T640">
      <text>
        <t xml:space="preserve">2_ABaOnufHVLF9zvIdL7szW0N_Tnx2PaUAuKQcYIL8RL3dH0rDifP1-nh9REQ-zei67w3AcF4</t>
      </text>
    </comment>
    <comment authorId="0" ref="R641">
      <text>
        <t xml:space="preserve">2_ABaOnucQ6lEo5Rd68DCJho661_lZYt74PiH8S4tINUfmFim1pg_j21wGyRi6YAgsQIHTtnI</t>
      </text>
    </comment>
    <comment authorId="0" ref="T641">
      <text>
        <t xml:space="preserve">2_ABaOnucQ6lEo5Rd68DCJho661_lZYt74PiH8S4tINUfmFim1pg_j21wGyRi6YAgsQIHTtnI</t>
      </text>
    </comment>
    <comment authorId="0" ref="R642">
      <text>
        <t xml:space="preserve">2_ABaOnufB8gR8reLSBBJoZgFwsdXwhs0eInnAdpMvVxdDcjS9nnTabaPzDdMmO32jErm-NRk</t>
      </text>
    </comment>
    <comment authorId="0" ref="T642">
      <text>
        <t xml:space="preserve">2_ABaOnufB8gR8reLSBBJoZgFwsdXwhs0eInnAdpMvVxdDcjS9nnTabaPzDdMmO32jErm-NRk</t>
      </text>
    </comment>
    <comment authorId="0" ref="R643">
      <text>
        <t xml:space="preserve">2_ABaOnufGrgHi6YaUGZkLwESngL2SZODUbR_N80-vMn51fpO94eYFibtSU88pofh2HPy2Uts</t>
      </text>
    </comment>
    <comment authorId="0" ref="T643">
      <text>
        <t xml:space="preserve">2_ABaOnufGrgHi6YaUGZkLwESngL2SZODUbR_N80-vMn51fpO94eYFibtSU88pofh2HPy2Uts</t>
      </text>
    </comment>
    <comment authorId="0" ref="R644">
      <text>
        <t xml:space="preserve">2_ABaOnueAptnS0LrfK2fbtP7Zr96teINGwwRnmmosakPvMdH9y5cqKhMxywa9pv51wgJnvCs</t>
      </text>
    </comment>
    <comment authorId="0" ref="T644">
      <text>
        <t xml:space="preserve">2_ABaOnueAptnS0LrfK2fbtP7Zr96teINGwwRnmmosakPvMdH9y5cqKhMxywa9pv51wgJnvCs</t>
      </text>
    </comment>
    <comment authorId="0" ref="R645">
      <text>
        <t xml:space="preserve">2_ABaOnuc3wYYtUEZep4SEePkFoGpDlN0GxyDozSeABS7PPsOn6tE8uvb0m1cTV_9giZyjHxw</t>
      </text>
    </comment>
    <comment authorId="0" ref="T645">
      <text>
        <t xml:space="preserve">2_ABaOnuc3wYYtUEZep4SEePkFoGpDlN0GxyDozSeABS7PPsOn6tE8uvb0m1cTV_9giZyjHxw</t>
      </text>
    </comment>
    <comment authorId="0" ref="R646">
      <text>
        <t xml:space="preserve">2_ABaOnueCfW4kMdDG12UqevnnA3sahN5kVyV3MeuDmagD6w-C_TuFQqFD-PjxgY_1jH0gyOc</t>
      </text>
    </comment>
    <comment authorId="0" ref="T646">
      <text>
        <t xml:space="preserve">2_ABaOnueCfW4kMdDG12UqevnnA3sahN5kVyV3MeuDmagD6w-C_TuFQqFD-PjxgY_1jH0gyOc</t>
      </text>
    </comment>
    <comment authorId="0" ref="R651">
      <text>
        <t xml:space="preserve">2_ABaOnuePQmaqm7r54oLhvpFiUBmQCwXBYDMMzqDT21PanHKYHhFI2-BZqfKsKqve-RyM5_0</t>
      </text>
    </comment>
    <comment authorId="0" ref="T651">
      <text>
        <t xml:space="preserve">2_ABaOnuePQmaqm7r54oLhvpFiUBmQCwXBYDMMzqDT21PanHKYHhFI2-BZqfKsKqve-RyM5_0</t>
      </text>
    </comment>
    <comment authorId="0" ref="R652">
      <text>
        <t xml:space="preserve">2_ABaOnudrDIhQeNDhUrV-PukPk2VE3-vi1R7FCff7Ns8ZCMcPyGAbHU8o7Vor9SGq1Dz1Drk</t>
      </text>
    </comment>
    <comment authorId="0" ref="T652">
      <text>
        <t xml:space="preserve">2_ABaOnudrDIhQeNDhUrV-PukPk2VE3-vi1R7FCff7Ns8ZCMcPyGAbHU8o7Vor9SGq1Dz1Drk</t>
      </text>
    </comment>
    <comment authorId="0" ref="R657">
      <text>
        <t xml:space="preserve">2_ABaOnufWLg7R16IfET3MXBTRSrbFqwLzKZOqzyGP0Ynqsqv_Un7h0o0ZJrILO2DtdGlNi2M</t>
      </text>
    </comment>
    <comment authorId="0" ref="T657">
      <text>
        <t xml:space="preserve">2_ABaOnufWLg7R16IfET3MXBTRSrbFqwLzKZOqzyGP0Ynqsqv_Un7h0o0ZJrILO2DtdGlNi2M</t>
      </text>
    </comment>
    <comment authorId="0" ref="R658">
      <text>
        <t xml:space="preserve">2_ABaOnuf2yRQz6fw3Jod7VYtSH1lRO8GQQ5iZagJPlAs017vD-dv3fy1y_zHzQEbJWbCpy48</t>
      </text>
    </comment>
    <comment authorId="0" ref="T658">
      <text>
        <t xml:space="preserve">2_ABaOnuf2yRQz6fw3Jod7VYtSH1lRO8GQQ5iZagJPlAs017vD-dv3fy1y_zHzQEbJWbCpy48</t>
      </text>
    </comment>
    <comment authorId="0" ref="R659">
      <text>
        <t xml:space="preserve">2_ABaOnuedjIAeytg-CDojoJIHUELaLd7QuUEO6wVefDIKyXfCrt0bjRkEHpObuyRJaB4TeGc</t>
      </text>
    </comment>
    <comment authorId="0" ref="T659">
      <text>
        <t xml:space="preserve">2_ABaOnuedjIAeytg-CDojoJIHUELaLd7QuUEO6wVefDIKyXfCrt0bjRkEHpObuyRJaB4TeGc</t>
      </text>
    </comment>
    <comment authorId="0" ref="R660">
      <text>
        <t xml:space="preserve">2_ABaOnud6fKqnYZpnZEERSsmEygoLfOCHE7NY4I4Ie5Rw1hhFg-JgVUqm_ZR5jokvKBr2Q98</t>
      </text>
    </comment>
    <comment authorId="0" ref="T660">
      <text>
        <t xml:space="preserve">2_ABaOnud6fKqnYZpnZEERSsmEygoLfOCHE7NY4I4Ie5Rw1hhFg-JgVUqm_ZR5jokvKBr2Q98</t>
      </text>
    </comment>
    <comment authorId="0" ref="R661">
      <text>
        <t xml:space="preserve">2_ABaOnufFYkVGIPKye1psb7e-NozohTirMD-FG3tx4xPmSZScgnbxfSjRGSO-Lyl_VfVRxhM</t>
      </text>
    </comment>
    <comment authorId="0" ref="T661">
      <text>
        <t xml:space="preserve">2_ABaOnufFYkVGIPKye1psb7e-NozohTirMD-FG3tx4xPmSZScgnbxfSjRGSO-Lyl_VfVRxhM</t>
      </text>
    </comment>
    <comment authorId="0" ref="R662">
      <text>
        <t xml:space="preserve">2_ABaOnuc3T50TUmIne1r6CAAtBkArBbOWdMGUSgtzgv07X5BrmsyFq43vVOibG-cc2m9lBUU</t>
      </text>
    </comment>
    <comment authorId="0" ref="T662">
      <text>
        <t xml:space="preserve">2_ABaOnuc3T50TUmIne1r6CAAtBkArBbOWdMGUSgtzgv07X5BrmsyFq43vVOibG-cc2m9lBUU</t>
      </text>
    </comment>
    <comment authorId="0" ref="R663">
      <text>
        <t xml:space="preserve">2_ABaOnueTY4bNgPpokmJGQlefV2KQDj6Jaqj7ols9f9k0dSbw4QPWKNOvgVlN1MBmI_g0Cmk</t>
      </text>
    </comment>
    <comment authorId="0" ref="T663">
      <text>
        <t xml:space="preserve">2_ABaOnueTY4bNgPpokmJGQlefV2KQDj6Jaqj7ols9f9k0dSbw4QPWKNOvgVlN1MBmI_g0Cmk</t>
      </text>
    </comment>
    <comment authorId="0" ref="R664">
      <text>
        <t xml:space="preserve">2_ABaOnuegcFk8DDxMtemfLpdhQG3i-li-vM1D2o8b0I20yFhSd2fM2IE0TMSl9A_m96R3xGg</t>
      </text>
    </comment>
    <comment authorId="0" ref="T664">
      <text>
        <t xml:space="preserve">2_ABaOnuegcFk8DDxMtemfLpdhQG3i-li-vM1D2o8b0I20yFhSd2fM2IE0TMSl9A_m96R3xGg</t>
      </text>
    </comment>
    <comment authorId="0" ref="R665">
      <text>
        <t xml:space="preserve">2_ABaOnudqJyRm9JJzHJYA2GKagB-oRo23mLuYpCt3E0NQYoafxSFZ2FvegmkxzBzVdpvnpKo</t>
      </text>
    </comment>
    <comment authorId="0" ref="T665">
      <text>
        <t xml:space="preserve">2_ABaOnudqJyRm9JJzHJYA2GKagB-oRo23mLuYpCt3E0NQYoafxSFZ2FvegmkxzBzVdpvnpKo</t>
      </text>
    </comment>
    <comment authorId="0" ref="R666">
      <text>
        <t xml:space="preserve">2_ABaOnudeM73nnp7zyk43cDPf7rSBkziqmTq8M3a-wSJpP7GWidyC-OHCGGbVYwg9yc0Nxg0</t>
      </text>
    </comment>
    <comment authorId="0" ref="T666">
      <text>
        <t xml:space="preserve">2_ABaOnudeM73nnp7zyk43cDPf7rSBkziqmTq8M3a-wSJpP7GWidyC-OHCGGbVYwg9yc0Nxg0</t>
      </text>
    </comment>
    <comment authorId="0" ref="R667">
      <text>
        <t xml:space="preserve">2_ABaOnuen39tDnnzIoWjPyHMUZKyMatLGfmThdMJTib0rpNeM9Hu_juiYblauCoBShl66iqo</t>
      </text>
    </comment>
    <comment authorId="0" ref="T667">
      <text>
        <t xml:space="preserve">2_ABaOnuen39tDnnzIoWjPyHMUZKyMatLGfmThdMJTib0rpNeM9Hu_juiYblauCoBShl66iqo</t>
      </text>
    </comment>
    <comment authorId="0" ref="R670">
      <text>
        <t xml:space="preserve">2_ABaOnudxCEgerFoo22X4c51eYSoQbQwmdZFayIbS6PQZXD8YL1i0swkuuKODKHKFWl141XE</t>
      </text>
    </comment>
    <comment authorId="0" ref="T670">
      <text>
        <t xml:space="preserve">2_ABaOnudxCEgerFoo22X4c51eYSoQbQwmdZFayIbS6PQZXD8YL1i0swkuuKODKHKFWl141XE</t>
      </text>
    </comment>
    <comment authorId="0" ref="R671">
      <text>
        <t xml:space="preserve">2_ABaOnuc2GkiEMue6QzejncXt4NqHQSBwpgitm2mhfdIfPAlHowHrGvzhp6V269bDzRJwBRw</t>
      </text>
    </comment>
    <comment authorId="0" ref="T671">
      <text>
        <t xml:space="preserve">2_ABaOnuc2GkiEMue6QzejncXt4NqHQSBwpgitm2mhfdIfPAlHowHrGvzhp6V269bDzRJwBRw</t>
      </text>
    </comment>
    <comment authorId="0" ref="R672">
      <text>
        <t xml:space="preserve">2_ABaOnudgYQ5rGvq2cATG1qDbxc1CGfmlcILmddJr4Z5_6R-nWz7FsS0x1xec7clNzx7WBGM</t>
      </text>
    </comment>
    <comment authorId="0" ref="T672">
      <text>
        <t xml:space="preserve">2_ABaOnudgYQ5rGvq2cATG1qDbxc1CGfmlcILmddJr4Z5_6R-nWz7FsS0x1xec7clNzx7WBGM</t>
      </text>
    </comment>
    <comment authorId="0" ref="R673">
      <text>
        <t xml:space="preserve">2_ABaOnuc_j1TuetTUXr674AhHNo8-YIOedMN08Fm_mgWzpw4dFzHINGOMlwxPAy7mONMHGRQ</t>
      </text>
    </comment>
    <comment authorId="0" ref="T673">
      <text>
        <t xml:space="preserve">2_ABaOnuc_j1TuetTUXr674AhHNo8-YIOedMN08Fm_mgWzpw4dFzHINGOMlwxPAy7mONMHGRQ</t>
      </text>
    </comment>
    <comment authorId="0" ref="R674">
      <text>
        <t xml:space="preserve">2_ABaOnudijA5iWj5dbz5km87GFwvVgALSi5QajTgh2stNdCZEQu42Mdb5UCcAfLr4Tmqz11s</t>
      </text>
    </comment>
    <comment authorId="0" ref="T674">
      <text>
        <t xml:space="preserve">2_ABaOnudijA5iWj5dbz5km87GFwvVgALSi5QajTgh2stNdCZEQu42Mdb5UCcAfLr4Tmqz11s</t>
      </text>
    </comment>
    <comment authorId="0" ref="R675">
      <text>
        <t xml:space="preserve">2_ABaOnudpGoA2EA4wo4uXXW1rCzwn3ZHNH1gMc45cf942jePOyaLBRMcJ-5WuqSvUI9_LW80</t>
      </text>
    </comment>
    <comment authorId="0" ref="T675">
      <text>
        <t xml:space="preserve">2_ABaOnudpGoA2EA4wo4uXXW1rCzwn3ZHNH1gMc45cf942jePOyaLBRMcJ-5WuqSvUI9_LW80</t>
      </text>
    </comment>
    <comment authorId="0" ref="R676">
      <text>
        <t xml:space="preserve">2_ABaOnufmSIjCwDlmVwQHdj2NxK6HKSXn1-h1UIJ66j9MrlWPa8fY5s1NLlxey5wdXz_KPPs</t>
      </text>
    </comment>
    <comment authorId="0" ref="T676">
      <text>
        <t xml:space="preserve">2_ABaOnufmSIjCwDlmVwQHdj2NxK6HKSXn1-h1UIJ66j9MrlWPa8fY5s1NLlxey5wdXz_KPPs</t>
      </text>
    </comment>
    <comment authorId="0" ref="R677">
      <text>
        <t xml:space="preserve">2_ABaOnucppgHzZQjP4cmwfgfHVjjIITS9S9dF-BGocWees2_N-7w6gVLFJbq4wb1NVvKJD1E</t>
      </text>
    </comment>
    <comment authorId="0" ref="T677">
      <text>
        <t xml:space="preserve">2_ABaOnucppgHzZQjP4cmwfgfHVjjIITS9S9dF-BGocWees2_N-7w6gVLFJbq4wb1NVvKJD1E</t>
      </text>
    </comment>
    <comment authorId="0" ref="R678">
      <text>
        <t xml:space="preserve">2_ABaOnud7EEZD_qPlZP0sCp-Qm8qeIqKgx55SPessBDSYH8d9vp3XrhfZYoG6WPO7hkR2KT8</t>
      </text>
    </comment>
    <comment authorId="0" ref="T678">
      <text>
        <t xml:space="preserve">2_ABaOnud7EEZD_qPlZP0sCp-Qm8qeIqKgx55SPessBDSYH8d9vp3XrhfZYoG6WPO7hkR2KT8</t>
      </text>
    </comment>
    <comment authorId="0" ref="R679">
      <text>
        <t xml:space="preserve">2_ABaOnudFQeWFWRulJfsfBekQIXLcr47-5qG2-BLDY4s4_Wqs7_A5kBsiGyRcbWeILFb1eM4</t>
      </text>
    </comment>
    <comment authorId="0" ref="T679">
      <text>
        <t xml:space="preserve">2_ABaOnudFQeWFWRulJfsfBekQIXLcr47-5qG2-BLDY4s4_Wqs7_A5kBsiGyRcbWeILFb1eM4</t>
      </text>
    </comment>
    <comment authorId="0" ref="R680">
      <text>
        <t xml:space="preserve">2_ABaOnudm6FAT3d-hWStVpTm3BpgcZKL8ibbATdDwq1xMM6hOBg-s-W2d73bAu4F_j-gcYCs</t>
      </text>
    </comment>
    <comment authorId="0" ref="T680">
      <text>
        <t xml:space="preserve">2_ABaOnudm6FAT3d-hWStVpTm3BpgcZKL8ibbATdDwq1xMM6hOBg-s-W2d73bAu4F_j-gcYCs</t>
      </text>
    </comment>
    <comment authorId="0" ref="R681">
      <text>
        <t xml:space="preserve">2_ABaOnucEYgj1wn4fBIt7CpZ8VHFkdvjELDtXldx2BkMc_Q8wWkVukL-gID5-gpr-O2MktxA</t>
      </text>
    </comment>
    <comment authorId="0" ref="T681">
      <text>
        <t xml:space="preserve">2_ABaOnucEYgj1wn4fBIt7CpZ8VHFkdvjELDtXldx2BkMc_Q8wWkVukL-gID5-gpr-O2MktxA</t>
      </text>
    </comment>
    <comment authorId="0" ref="R682">
      <text>
        <t xml:space="preserve">2_ABaOnucphpCr1cUneBfAmN__8mRdGE29xacB0wWwxIgxMP-ryuLR2Zb_5ngX4EpLin9zRK0</t>
      </text>
    </comment>
    <comment authorId="0" ref="T682">
      <text>
        <t xml:space="preserve">2_ABaOnucphpCr1cUneBfAmN__8mRdGE29xacB0wWwxIgxMP-ryuLR2Zb_5ngX4EpLin9zRK0</t>
      </text>
    </comment>
    <comment authorId="0" ref="R683">
      <text>
        <t xml:space="preserve">2_ABaOnuduollYXwtTwuzONGmfpE2UBiFTvC6Y-HuMKSKSN4WcnsKqCSijVv5gn0DF5terCk4</t>
      </text>
    </comment>
    <comment authorId="0" ref="T683">
      <text>
        <t xml:space="preserve">2_ABaOnuduollYXwtTwuzONGmfpE2UBiFTvC6Y-HuMKSKSN4WcnsKqCSijVv5gn0DF5terCk4</t>
      </text>
    </comment>
    <comment authorId="0" ref="R684">
      <text>
        <t xml:space="preserve">2_ABaOnueK8j6fVGrCR-EDYnXhFQpVVKqv3nugZfTfMf0sSI6RXT5UEpApv6j7HNIUly2jgFc</t>
      </text>
    </comment>
    <comment authorId="0" ref="T684">
      <text>
        <t xml:space="preserve">2_ABaOnueK8j6fVGrCR-EDYnXhFQpVVKqv3nugZfTfMf0sSI6RXT5UEpApv6j7HNIUly2jgFc</t>
      </text>
    </comment>
    <comment authorId="0" ref="R685">
      <text>
        <t xml:space="preserve">2_ABaOnudwKQPeExtatwW9XW2TTJ4vzVmYJjaKOz0vC2oTDFOvqVdxQS_hsGCmtieJIxOPYk4</t>
      </text>
    </comment>
    <comment authorId="0" ref="T685">
      <text>
        <t xml:space="preserve">2_ABaOnudwKQPeExtatwW9XW2TTJ4vzVmYJjaKOz0vC2oTDFOvqVdxQS_hsGCmtieJIxOPYk4</t>
      </text>
    </comment>
    <comment authorId="0" ref="R686">
      <text>
        <t xml:space="preserve">2_ABaOnudxY6bAGHwZzrhhDO6mAA-40YnauBUaR2RDcuW8zz5fpfJjs5IKOvHEcGBJMgLDXJ4</t>
      </text>
    </comment>
    <comment authorId="0" ref="T686">
      <text>
        <t xml:space="preserve">2_ABaOnudxY6bAGHwZzrhhDO6mAA-40YnauBUaR2RDcuW8zz5fpfJjs5IKOvHEcGBJMgLDXJ4</t>
      </text>
    </comment>
    <comment authorId="0" ref="R687">
      <text>
        <t xml:space="preserve">2_ABaOnuc9Eqn6ECitgyUYhBitiWXo1LLIsVgOrL7Wx6gYpXIrHgbjEF_JFLH3QsCescVpiRA</t>
      </text>
    </comment>
    <comment authorId="0" ref="T687">
      <text>
        <t xml:space="preserve">2_ABaOnuc9Eqn6ECitgyUYhBitiWXo1LLIsVgOrL7Wx6gYpXIrHgbjEF_JFLH3QsCescVpiRA</t>
      </text>
    </comment>
    <comment authorId="0" ref="R688">
      <text>
        <t xml:space="preserve">2_ABaOnueuqwNyhBDgB3nh9gs8CgV2QNBkoMf3HTtSyAnxxiuDeaR-jAvRB5BZzMrCS3h5Wvg</t>
      </text>
    </comment>
    <comment authorId="0" ref="T688">
      <text>
        <t xml:space="preserve">2_ABaOnueuqwNyhBDgB3nh9gs8CgV2QNBkoMf3HTtSyAnxxiuDeaR-jAvRB5BZzMrCS3h5Wvg</t>
      </text>
    </comment>
    <comment authorId="0" ref="R689">
      <text>
        <t xml:space="preserve">2_ABaOnucFhM0IZH6jl1al9BE9ORg7y4OlT0W3W5jFI0tpqMMjw2jUgjt8p-Ga3jhx4G02wng</t>
      </text>
    </comment>
    <comment authorId="0" ref="S689">
      <text>
        <t xml:space="preserve">2_ABaOnucFhM0IZH6jl1al9BE9ORg7y4OlT0W3W5jFI0tpqMMjw2jUgjt8p-Ga3jhx4G02wng</t>
      </text>
    </comment>
    <comment authorId="0" ref="R690">
      <text>
        <t xml:space="preserve">2_ABaOnudT5i3-wv9ePGKA2I3DU3tvc0Ere_YWiXVHrTXTBmZS7iFdSL1BZ23K2SWYAguwOtc</t>
      </text>
    </comment>
    <comment authorId="0" ref="S690">
      <text>
        <t xml:space="preserve">2_ABaOnudT5i3-wv9ePGKA2I3DU3tvc0Ere_YWiXVHrTXTBmZS7iFdSL1BZ23K2SWYAguwOtc</t>
      </text>
    </comment>
    <comment authorId="0" ref="R691">
      <text>
        <t xml:space="preserve">2_ABaOnuc3icyUqVC6bNkjQERUt60PVnp1YZ-5MmXxXE7GW9p4ymKHP1xbZ-5Bi9T81oW2-HM</t>
      </text>
    </comment>
    <comment authorId="0" ref="S691">
      <text>
        <t xml:space="preserve">2_ABaOnuc3icyUqVC6bNkjQERUt60PVnp1YZ-5MmXxXE7GW9p4ymKHP1xbZ-5Bi9T81oW2-HM</t>
      </text>
    </comment>
    <comment authorId="0" ref="R692">
      <text>
        <t xml:space="preserve">2_ABaOnufY1wzWukNpNN3p269PQ4Ab5-iEJzNxEVuqpht3GMW_BbXZ2pyyGPk9rAC97bSkK2c</t>
      </text>
    </comment>
    <comment authorId="0" ref="S692">
      <text>
        <t xml:space="preserve">2_ABaOnufY1wzWukNpNN3p269PQ4Ab5-iEJzNxEVuqpht3GMW_BbXZ2pyyGPk9rAC97bSkK2c</t>
      </text>
    </comment>
    <comment authorId="0" ref="R693">
      <text>
        <t xml:space="preserve">2_ABaOnuc3QE61bjvKxn5RgB2HXir81wGK1BfRwyEAs5O-4zkW9BV-Qe0pOCqj2NHcqIQsKDw</t>
      </text>
    </comment>
    <comment authorId="0" ref="S693">
      <text>
        <t xml:space="preserve">2_ABaOnuc3QE61bjvKxn5RgB2HXir81wGK1BfRwyEAs5O-4zkW9BV-Qe0pOCqj2NHcqIQsKDw</t>
      </text>
    </comment>
    <comment authorId="0" ref="R694">
      <text>
        <t xml:space="preserve">2_ABaOnuddvB6MakQYaA6TdfLR9m_Hoh33zzuvm7Aa5y7ceiCKUH6wXbZQToJJ9AQb_lLrEnU</t>
      </text>
    </comment>
    <comment authorId="0" ref="S694">
      <text>
        <t xml:space="preserve">2_ABaOnuddvB6MakQYaA6TdfLR9m_Hoh33zzuvm7Aa5y7ceiCKUH6wXbZQToJJ9AQb_lLrEnU</t>
      </text>
    </comment>
    <comment authorId="0" ref="R695">
      <text>
        <t xml:space="preserve">2_ABaOnucB2nIIXuroUPc05k-8Jb7pF-KP4qnUx4ifF-iUkWeVoNsfTcOPWu8_k9hdgUM_D9s</t>
      </text>
    </comment>
    <comment authorId="0" ref="S695">
      <text>
        <t xml:space="preserve">2_ABaOnucB2nIIXuroUPc05k-8Jb7pF-KP4qnUx4ifF-iUkWeVoNsfTcOPWu8_k9hdgUM_D9s</t>
      </text>
    </comment>
    <comment authorId="0" ref="R696">
      <text>
        <t xml:space="preserve">2_ABaOnufzAVle_CxM39zw6AuSGF7cz5HuNeQUwx9Dy-PCtw5opfUjxdzA6mExfxgvyZUFQXE</t>
      </text>
    </comment>
    <comment authorId="0" ref="S696">
      <text>
        <t xml:space="preserve">2_ABaOnufzAVle_CxM39zw6AuSGF7cz5HuNeQUwx9Dy-PCtw5opfUjxdzA6mExfxgvyZUFQXE</t>
      </text>
    </comment>
    <comment authorId="0" ref="R697">
      <text>
        <t xml:space="preserve">2_ABaOnudQp8vKPJ3xVdl2n183mXaP7FY6ArdGGc0LQXUZu4LZByLh4piCrsYIKaEbzWBIHbE</t>
      </text>
    </comment>
    <comment authorId="0" ref="S697">
      <text>
        <t xml:space="preserve">2_ABaOnudQp8vKPJ3xVdl2n183mXaP7FY6ArdGGc0LQXUZu4LZByLh4piCrsYIKaEbzWBIHbE</t>
      </text>
    </comment>
    <comment authorId="0" ref="R698">
      <text>
        <t xml:space="preserve">2_ABaOnueA_Of7gjpZF3_FerXzC3R1wpppZpueP5Ym_BzQFWEHKl_pQEmdp81BiojjcAlV4HQ</t>
      </text>
    </comment>
    <comment authorId="0" ref="S698">
      <text>
        <t xml:space="preserve">2_ABaOnueA_Of7gjpZF3_FerXzC3R1wpppZpueP5Ym_BzQFWEHKl_pQEmdp81BiojjcAlV4HQ</t>
      </text>
    </comment>
    <comment authorId="0" ref="R699">
      <text>
        <t xml:space="preserve">2_ABaOnufec8zWCsm9e6awOtIBFW8Gq4wfJnr5FYIA8L3wP9GeHDJET53KbIdbEN4ksD0zL1w</t>
      </text>
    </comment>
    <comment authorId="0" ref="S699">
      <text>
        <t xml:space="preserve">2_ABaOnufec8zWCsm9e6awOtIBFW8Gq4wfJnr5FYIA8L3wP9GeHDJET53KbIdbEN4ksD0zL1w</t>
      </text>
    </comment>
    <comment authorId="0" ref="R700">
      <text>
        <t xml:space="preserve">2_ABaOnufi7yyaAjlUVCTu2Ayfy8d9Y9J3Wq9UgX6sOsGNajywzdPCYE8417EWanBkZ_7Kjeg</t>
      </text>
    </comment>
    <comment authorId="0" ref="S700">
      <text>
        <t xml:space="preserve">2_ABaOnufi7yyaAjlUVCTu2Ayfy8d9Y9J3Wq9UgX6sOsGNajywzdPCYE8417EWanBkZ_7Kjeg</t>
      </text>
    </comment>
  </commentList>
</comments>
</file>

<file path=xl/sharedStrings.xml><?xml version="1.0" encoding="utf-8"?>
<sst xmlns="http://schemas.openxmlformats.org/spreadsheetml/2006/main" count="12480" uniqueCount="3560">
  <si>
    <t>TAG NUMBER</t>
  </si>
  <si>
    <t>Previous Company ID</t>
  </si>
  <si>
    <t>Category</t>
  </si>
  <si>
    <t>Location</t>
  </si>
  <si>
    <t>Description</t>
  </si>
  <si>
    <t>Serial Number or IMEI</t>
  </si>
  <si>
    <t>Additional Accessories</t>
  </si>
  <si>
    <t>Department</t>
  </si>
  <si>
    <t>MON001</t>
  </si>
  <si>
    <t>-</t>
  </si>
  <si>
    <t>Monitor</t>
  </si>
  <si>
    <t>Moeketse Kuenane</t>
  </si>
  <si>
    <t>O&amp;M Section</t>
  </si>
  <si>
    <t>Dell 24 FHD</t>
  </si>
  <si>
    <t>CN-ORGF30-WSLOO-14Q-HL1L-A04</t>
  </si>
  <si>
    <t>HDMI Cable</t>
  </si>
  <si>
    <t>Operations and Maintenance</t>
  </si>
  <si>
    <t>MON002</t>
  </si>
  <si>
    <t>0081</t>
  </si>
  <si>
    <t>Rasekeiti Mohlomi</t>
  </si>
  <si>
    <t>406SAAB0B968</t>
  </si>
  <si>
    <t xml:space="preserve">HDMI Cable
Ethernet cable
</t>
  </si>
  <si>
    <t>MON003</t>
  </si>
  <si>
    <t>0420</t>
  </si>
  <si>
    <t>Neo Serobanyane</t>
  </si>
  <si>
    <t>038969100343082020H</t>
  </si>
  <si>
    <t>MON004</t>
  </si>
  <si>
    <t>Matthew Orosz</t>
  </si>
  <si>
    <t>EHS Section</t>
  </si>
  <si>
    <t>CN-0XXCGP-TV200-26H-DCSV-A03</t>
  </si>
  <si>
    <t>MON005</t>
  </si>
  <si>
    <t>0381-B</t>
  </si>
  <si>
    <t>Jonase Nthunya</t>
  </si>
  <si>
    <t>Viewsonic</t>
  </si>
  <si>
    <t>V86184340487</t>
  </si>
  <si>
    <t>EHS</t>
  </si>
  <si>
    <t>MON006</t>
  </si>
  <si>
    <t>Tlhokomelo Kikine</t>
  </si>
  <si>
    <t>EE and IT Area</t>
  </si>
  <si>
    <t>CN-0WWWVVK-B0Z00-15S-0PAB-A00</t>
  </si>
  <si>
    <t>IT</t>
  </si>
  <si>
    <t>MON007</t>
  </si>
  <si>
    <t>Tumisang Mathaba</t>
  </si>
  <si>
    <t>Production Area</t>
  </si>
  <si>
    <t>Production</t>
  </si>
  <si>
    <t>MON008</t>
  </si>
  <si>
    <t>EE08</t>
  </si>
  <si>
    <t>Rantsane Tsosane</t>
  </si>
  <si>
    <t>Procurement Section</t>
  </si>
  <si>
    <t>Samsung</t>
  </si>
  <si>
    <t>4L24H7BR401226Z</t>
  </si>
  <si>
    <t>Keyboard,VGA,Mouse
Mounted Multi Plug, 
Ethernet Cable</t>
  </si>
  <si>
    <t>Procurement</t>
  </si>
  <si>
    <t>MON009</t>
  </si>
  <si>
    <t>Mlanjeni Tikiso</t>
  </si>
  <si>
    <t>PM Section</t>
  </si>
  <si>
    <t>4L24H7BR401267M</t>
  </si>
  <si>
    <t>PM</t>
  </si>
  <si>
    <t>MON010</t>
  </si>
  <si>
    <t>EE06</t>
  </si>
  <si>
    <t>lap</t>
  </si>
  <si>
    <t>Philips</t>
  </si>
  <si>
    <t>XVDA2116003944</t>
  </si>
  <si>
    <t>MON011</t>
  </si>
  <si>
    <t>EE09</t>
  </si>
  <si>
    <t>Teboho Molantoa</t>
  </si>
  <si>
    <t>V86184340506</t>
  </si>
  <si>
    <t>MON012</t>
  </si>
  <si>
    <t>0423-D</t>
  </si>
  <si>
    <t>Katleho Pule</t>
  </si>
  <si>
    <t>Telefunken</t>
  </si>
  <si>
    <t>039868-102156-012021J</t>
  </si>
  <si>
    <t>MON013</t>
  </si>
  <si>
    <t>AD003</t>
  </si>
  <si>
    <t>Moliehi Lepheane</t>
  </si>
  <si>
    <t>Admin and Finance</t>
  </si>
  <si>
    <t>5C7A53BD-C438-46F3-A042-0EBC98F4743E</t>
  </si>
  <si>
    <t>Admin</t>
  </si>
  <si>
    <t>MON014</t>
  </si>
  <si>
    <t>AD002</t>
  </si>
  <si>
    <t>Refiloe Ramalefane</t>
  </si>
  <si>
    <t>F1782735-54E5-469A-92C9-22A543C566E8</t>
  </si>
  <si>
    <t>Finance</t>
  </si>
  <si>
    <t>MON015</t>
  </si>
  <si>
    <t>AD001</t>
  </si>
  <si>
    <t>Palama Kelepa</t>
  </si>
  <si>
    <t>CN-0WWVVK-BOZ00-158-0B2B-A00</t>
  </si>
  <si>
    <t>MON016</t>
  </si>
  <si>
    <t>EHS-05</t>
  </si>
  <si>
    <t>Mojabeng Sonopo</t>
  </si>
  <si>
    <t>CN-0WWVVK-BOZ00-155-0P88-A00</t>
  </si>
  <si>
    <t>MON017</t>
  </si>
  <si>
    <t>EE001</t>
  </si>
  <si>
    <t>Josias Molomo</t>
  </si>
  <si>
    <t>CN-0RGF30-WSL00-14Q-HLNL-A04</t>
  </si>
  <si>
    <t>EE</t>
  </si>
  <si>
    <t>MON018</t>
  </si>
  <si>
    <t>Motlatsi Manka</t>
  </si>
  <si>
    <t>CN-011PWC-WSL00-1AP-AQVP-A04</t>
  </si>
  <si>
    <t>MON019</t>
  </si>
  <si>
    <t>Thabang Hatlane</t>
  </si>
  <si>
    <t>CN-0WWVVK-BOZ00-155-2C6B-A00</t>
  </si>
  <si>
    <t>MON020</t>
  </si>
  <si>
    <t>EE05</t>
  </si>
  <si>
    <t>Motebang Lekhooana</t>
  </si>
  <si>
    <t>CN-0RGF30-WSL00-14Q-HL1L-A04</t>
  </si>
  <si>
    <t>MON021</t>
  </si>
  <si>
    <t>EE03</t>
  </si>
  <si>
    <t>Bokang Mothomotsoane</t>
  </si>
  <si>
    <t>CN-0WWVVK-BOZ00-15S-0PAB-A00</t>
  </si>
  <si>
    <t>MON022</t>
  </si>
  <si>
    <t>P002</t>
  </si>
  <si>
    <t>Deon Du Preez</t>
  </si>
  <si>
    <t>09202021Z</t>
  </si>
  <si>
    <t>MON023</t>
  </si>
  <si>
    <t>FF01</t>
  </si>
  <si>
    <t>Ralefaso Mokhalahali</t>
  </si>
  <si>
    <t>039382-107120-112020</t>
  </si>
  <si>
    <t>MON024</t>
  </si>
  <si>
    <t>EE07</t>
  </si>
  <si>
    <t>Lichaba West</t>
  </si>
  <si>
    <t>CN-0WWVVK-BOZ00-15S-06AB-A00</t>
  </si>
  <si>
    <t>MON025</t>
  </si>
  <si>
    <t>EE02</t>
  </si>
  <si>
    <t>MON026</t>
  </si>
  <si>
    <t>P001</t>
  </si>
  <si>
    <t>Telefucken</t>
  </si>
  <si>
    <t>MON027</t>
  </si>
  <si>
    <t>Thabo Monoto</t>
  </si>
  <si>
    <t>CN-011PWC-WSL00-1B5-379B-A05</t>
  </si>
  <si>
    <t>MON028</t>
  </si>
  <si>
    <t>unassigned</t>
  </si>
  <si>
    <t>CN-0XXCGP-TV200-26H-057V-A03</t>
  </si>
  <si>
    <t>MON029</t>
  </si>
  <si>
    <t>Kananelo Mokobori</t>
  </si>
  <si>
    <t>CN-0XXCGP-TV200-26H-094V-A03</t>
  </si>
  <si>
    <t>MON030</t>
  </si>
  <si>
    <t>Tumelo Tshabalala</t>
  </si>
  <si>
    <t>CN-0XXCGP-TV200-26H-055V-A03</t>
  </si>
  <si>
    <t>MON031</t>
  </si>
  <si>
    <t>CN-0XXCGP-TV200-26H-08MV-A03</t>
  </si>
  <si>
    <t>MON032</t>
  </si>
  <si>
    <t>AIWA</t>
  </si>
  <si>
    <t>HDMI</t>
  </si>
  <si>
    <t>O&amp;M</t>
  </si>
  <si>
    <t>MON033</t>
  </si>
  <si>
    <t>MON034</t>
  </si>
  <si>
    <t>MON035</t>
  </si>
  <si>
    <t>CCTV</t>
  </si>
  <si>
    <t>MON036</t>
  </si>
  <si>
    <t>Dead</t>
  </si>
  <si>
    <t>MON037</t>
  </si>
  <si>
    <t>MON038</t>
  </si>
  <si>
    <t>Keketso Mosenene</t>
  </si>
  <si>
    <t>finance</t>
  </si>
  <si>
    <t>meccer</t>
  </si>
  <si>
    <t>CPU001</t>
  </si>
  <si>
    <t>0444</t>
  </si>
  <si>
    <t>CPU</t>
  </si>
  <si>
    <t xml:space="preserve">HP </t>
  </si>
  <si>
    <t>CPU002</t>
  </si>
  <si>
    <t>CP04</t>
  </si>
  <si>
    <t>2UA2490668V</t>
  </si>
  <si>
    <t>CPU003</t>
  </si>
  <si>
    <t>CP02</t>
  </si>
  <si>
    <t>Lineo Mosoenyane</t>
  </si>
  <si>
    <t>MXL33922C46</t>
  </si>
  <si>
    <t>CPU004</t>
  </si>
  <si>
    <t>D-008</t>
  </si>
  <si>
    <t>2UA3090QN4</t>
  </si>
  <si>
    <t>CPU005</t>
  </si>
  <si>
    <t>D-001</t>
  </si>
  <si>
    <t>Morongwa Saku</t>
  </si>
  <si>
    <t>MXL3160RFN</t>
  </si>
  <si>
    <t>CPU006</t>
  </si>
  <si>
    <t>D-009</t>
  </si>
  <si>
    <t>HP</t>
  </si>
  <si>
    <t>MXL3110Y3P</t>
  </si>
  <si>
    <t>CPU007</t>
  </si>
  <si>
    <t>D-004</t>
  </si>
  <si>
    <t>MXL2351QG2</t>
  </si>
  <si>
    <t>CPU008</t>
  </si>
  <si>
    <t>D-005/0423-A</t>
  </si>
  <si>
    <t>2UA2380RMP</t>
  </si>
  <si>
    <t>CPU009</t>
  </si>
  <si>
    <t>CP01</t>
  </si>
  <si>
    <t>MXL2501N43</t>
  </si>
  <si>
    <t>CPU010</t>
  </si>
  <si>
    <t>P001/D-007</t>
  </si>
  <si>
    <t>2UA32521R5</t>
  </si>
  <si>
    <t>CPU011</t>
  </si>
  <si>
    <t>CP03</t>
  </si>
  <si>
    <t>MXL31601BY</t>
  </si>
  <si>
    <t>CPU012</t>
  </si>
  <si>
    <t>001EE/0423-D</t>
  </si>
  <si>
    <t>MXL3340HZD</t>
  </si>
  <si>
    <t>Engineering</t>
  </si>
  <si>
    <t>CPU013</t>
  </si>
  <si>
    <t>0445/D006/FF 01</t>
  </si>
  <si>
    <t>Ralefaso</t>
  </si>
  <si>
    <t>2UA23602PV</t>
  </si>
  <si>
    <t>CPU014</t>
  </si>
  <si>
    <t>D002</t>
  </si>
  <si>
    <t>2UA3231969</t>
  </si>
  <si>
    <t>CPU015</t>
  </si>
  <si>
    <t>Reported Stolen</t>
  </si>
  <si>
    <t>CPU016</t>
  </si>
  <si>
    <t>IT LOCKER</t>
  </si>
  <si>
    <t>2UA3060GGW</t>
  </si>
  <si>
    <t>CPU017</t>
  </si>
  <si>
    <t>c</t>
  </si>
  <si>
    <t>2UA3090QQ7</t>
  </si>
  <si>
    <t>MOU001</t>
  </si>
  <si>
    <t>Mouse</t>
  </si>
  <si>
    <t>MOU002</t>
  </si>
  <si>
    <t>LOG04</t>
  </si>
  <si>
    <t>Logitech</t>
  </si>
  <si>
    <t>2045HSO05VBV8</t>
  </si>
  <si>
    <t>MOU003</t>
  </si>
  <si>
    <t>IT Locker</t>
  </si>
  <si>
    <t>BTO</t>
  </si>
  <si>
    <t>MOU004</t>
  </si>
  <si>
    <t>EE Locker</t>
  </si>
  <si>
    <t>Volkano</t>
  </si>
  <si>
    <t>MOU005</t>
  </si>
  <si>
    <t>MOU006</t>
  </si>
  <si>
    <t>MON32</t>
  </si>
  <si>
    <t>2119LZX5UVA8</t>
  </si>
  <si>
    <t>MOU007</t>
  </si>
  <si>
    <t>mou008</t>
  </si>
  <si>
    <t>tag clash</t>
  </si>
  <si>
    <t>MOU008</t>
  </si>
  <si>
    <t>MOU009</t>
  </si>
  <si>
    <t>MOU010</t>
  </si>
  <si>
    <t>MOU011</t>
  </si>
  <si>
    <t>2133HS0A3BR8</t>
  </si>
  <si>
    <t>MOU012</t>
  </si>
  <si>
    <t>MOU013</t>
  </si>
  <si>
    <t>Mamoritshoane Tlaba</t>
  </si>
  <si>
    <t>Utra Link</t>
  </si>
  <si>
    <t>MOU014</t>
  </si>
  <si>
    <t>Microsoft</t>
  </si>
  <si>
    <t>R20114004</t>
  </si>
  <si>
    <t>MOU015</t>
  </si>
  <si>
    <t>0423-A</t>
  </si>
  <si>
    <t>MOU016</t>
  </si>
  <si>
    <t>LOG01</t>
  </si>
  <si>
    <t>2125HSO4PYF8</t>
  </si>
  <si>
    <t>MOU017</t>
  </si>
  <si>
    <t>009</t>
  </si>
  <si>
    <t>MOU018</t>
  </si>
  <si>
    <t>2133H50835Z8</t>
  </si>
  <si>
    <t>MOU019</t>
  </si>
  <si>
    <t>Astrum</t>
  </si>
  <si>
    <t>MOU020</t>
  </si>
  <si>
    <t>2119LZX5UUV6</t>
  </si>
  <si>
    <t>MOU021</t>
  </si>
  <si>
    <t>LOG02</t>
  </si>
  <si>
    <t>2115HS07BET8</t>
  </si>
  <si>
    <t>MOU022</t>
  </si>
  <si>
    <t>0423-C</t>
  </si>
  <si>
    <t>MOU023</t>
  </si>
  <si>
    <t>2133HS0A3DD8</t>
  </si>
  <si>
    <t>MOU024</t>
  </si>
  <si>
    <t>RCT</t>
  </si>
  <si>
    <t>MOU025</t>
  </si>
  <si>
    <t>MOU026</t>
  </si>
  <si>
    <t>MOU027</t>
  </si>
  <si>
    <t>Lefa Seshemane</t>
  </si>
  <si>
    <t>retivulation</t>
  </si>
  <si>
    <t>Gigabyte</t>
  </si>
  <si>
    <t>MOU028</t>
  </si>
  <si>
    <t>Taole Letseka</t>
  </si>
  <si>
    <t xml:space="preserve"> IT LOCKER</t>
  </si>
  <si>
    <t>MOU029</t>
  </si>
  <si>
    <t>Mokoatle Mokoatle</t>
  </si>
  <si>
    <t>2134HS06YYT8</t>
  </si>
  <si>
    <t>MOU030</t>
  </si>
  <si>
    <t>Mokhethi Komete</t>
  </si>
  <si>
    <t>MOU031</t>
  </si>
  <si>
    <t>Mahlela RET</t>
  </si>
  <si>
    <t>RET</t>
  </si>
  <si>
    <t>MOU032</t>
  </si>
  <si>
    <t>Officer gate</t>
  </si>
  <si>
    <t>MOU033</t>
  </si>
  <si>
    <t>Rethabile Lempheane</t>
  </si>
  <si>
    <t>MOU034</t>
  </si>
  <si>
    <t>pm Section</t>
  </si>
  <si>
    <t>MOU035</t>
  </si>
  <si>
    <t>logictech mouse</t>
  </si>
  <si>
    <t>MOU036</t>
  </si>
  <si>
    <t>MOU037</t>
  </si>
  <si>
    <t>mouse</t>
  </si>
  <si>
    <t>MOU038</t>
  </si>
  <si>
    <t>MOU039</t>
  </si>
  <si>
    <t>MOU040</t>
  </si>
  <si>
    <t>MOU041</t>
  </si>
  <si>
    <t>MOU042</t>
  </si>
  <si>
    <t>MOU043</t>
  </si>
  <si>
    <t>MOU044</t>
  </si>
  <si>
    <t>MOU045</t>
  </si>
  <si>
    <t>MOU046</t>
  </si>
  <si>
    <t>HSA-D005M</t>
  </si>
  <si>
    <t>Company ID</t>
  </si>
  <si>
    <t>Assigned to (Full names of assignee)</t>
  </si>
  <si>
    <t>LAP001</t>
  </si>
  <si>
    <t>Laptop</t>
  </si>
  <si>
    <t>Tiisetso Mahlehla</t>
  </si>
  <si>
    <t>reticulation</t>
  </si>
  <si>
    <t>HP Elitebook</t>
  </si>
  <si>
    <t>5CG72219CO</t>
  </si>
  <si>
    <t>LAP003</t>
  </si>
  <si>
    <t>Leloko Monese</t>
  </si>
  <si>
    <t>5CG6456QBS</t>
  </si>
  <si>
    <t>LAP004</t>
  </si>
  <si>
    <t>Ret004</t>
  </si>
  <si>
    <t>Reticulation</t>
  </si>
  <si>
    <t>5CG6182257</t>
  </si>
  <si>
    <t>LAP005</t>
  </si>
  <si>
    <t>RET0010</t>
  </si>
  <si>
    <t>Sello Monoane</t>
  </si>
  <si>
    <t>hp laptop</t>
  </si>
  <si>
    <t>5CG62527D5</t>
  </si>
  <si>
    <t>LAP006</t>
  </si>
  <si>
    <t>5CD7374R1V</t>
  </si>
  <si>
    <t>LAP007</t>
  </si>
  <si>
    <t>asus laptop</t>
  </si>
  <si>
    <t>lbnocx173888479</t>
  </si>
  <si>
    <t>LAP008</t>
  </si>
  <si>
    <t>L7NOGRO1K51330A</t>
  </si>
  <si>
    <t>Lap011</t>
  </si>
  <si>
    <t>hp elitebook</t>
  </si>
  <si>
    <t>5cg7040k5g</t>
  </si>
  <si>
    <t>LAP012</t>
  </si>
  <si>
    <t>laptop</t>
  </si>
  <si>
    <t>5CG6809710H9</t>
  </si>
  <si>
    <t xml:space="preserve"> </t>
  </si>
  <si>
    <t>PUECO</t>
  </si>
  <si>
    <t>LAP050</t>
  </si>
  <si>
    <t>Lap005c( was clashing)</t>
  </si>
  <si>
    <t>7Y52JM2</t>
  </si>
  <si>
    <t>LAP051</t>
  </si>
  <si>
    <t>RET008</t>
  </si>
  <si>
    <t>Foso Molupe</t>
  </si>
  <si>
    <t>Tosing</t>
  </si>
  <si>
    <t>5CG6458Q62</t>
  </si>
  <si>
    <t>LAP052</t>
  </si>
  <si>
    <t>5cg9218ztf</t>
  </si>
  <si>
    <t>LAP053</t>
  </si>
  <si>
    <t>5cg8385dsw</t>
  </si>
  <si>
    <t>lap054</t>
  </si>
  <si>
    <t>ehs 02</t>
  </si>
  <si>
    <t>LBTT001</t>
  </si>
  <si>
    <t>REPC0001</t>
  </si>
  <si>
    <t>BATTERY</t>
  </si>
  <si>
    <t>laptop battery</t>
  </si>
  <si>
    <t>CHA001</t>
  </si>
  <si>
    <t>N/A</t>
  </si>
  <si>
    <t>CHARGER</t>
  </si>
  <si>
    <t>OnM work space</t>
  </si>
  <si>
    <t>hp charger</t>
  </si>
  <si>
    <t>WCQAAAOC1R504AB</t>
  </si>
  <si>
    <t>CHA002</t>
  </si>
  <si>
    <t>n/a</t>
  </si>
  <si>
    <t>generic charger</t>
  </si>
  <si>
    <t>null</t>
  </si>
  <si>
    <t>CHA003</t>
  </si>
  <si>
    <t>CHA004</t>
  </si>
  <si>
    <t>EHS work space</t>
  </si>
  <si>
    <t>gatewaycharger</t>
  </si>
  <si>
    <t>CHA005</t>
  </si>
  <si>
    <t>CHA006</t>
  </si>
  <si>
    <t>dell carger</t>
  </si>
  <si>
    <t>CHA007</t>
  </si>
  <si>
    <t>Lineo Mosoeunyane</t>
  </si>
  <si>
    <t>CHA008</t>
  </si>
  <si>
    <t>charger</t>
  </si>
  <si>
    <t>CHA009</t>
  </si>
  <si>
    <t>Rantsane  Tsosane</t>
  </si>
  <si>
    <t>CHA010</t>
  </si>
  <si>
    <t>Mohale</t>
  </si>
  <si>
    <t>CHA011</t>
  </si>
  <si>
    <t>Manneuoa Molefi</t>
  </si>
  <si>
    <t>HR work space</t>
  </si>
  <si>
    <t>CHA012</t>
  </si>
  <si>
    <t>Assets work space</t>
  </si>
  <si>
    <t>samsung charger</t>
  </si>
  <si>
    <t>CHA013</t>
  </si>
  <si>
    <t>PM work space</t>
  </si>
  <si>
    <t>CHA014</t>
  </si>
  <si>
    <t>Teboho Moloantoa</t>
  </si>
  <si>
    <t>CHA015</t>
  </si>
  <si>
    <t>United charger</t>
  </si>
  <si>
    <t>ZK-1169</t>
  </si>
  <si>
    <t>CHA016</t>
  </si>
  <si>
    <t>Moliehi Lepheana</t>
  </si>
  <si>
    <t>CHA017</t>
  </si>
  <si>
    <t>CHA018</t>
  </si>
  <si>
    <t>CHA019</t>
  </si>
  <si>
    <t>CHA020</t>
  </si>
  <si>
    <t>CHA021</t>
  </si>
  <si>
    <t>CHA022</t>
  </si>
  <si>
    <t>CHA023</t>
  </si>
  <si>
    <t>CHA024</t>
  </si>
  <si>
    <t>none</t>
  </si>
  <si>
    <t>CHA025</t>
  </si>
  <si>
    <t>F3-11011039200A</t>
  </si>
  <si>
    <t>CHA026</t>
  </si>
  <si>
    <t>CHA027</t>
  </si>
  <si>
    <t>Ralefaso Mokhalali</t>
  </si>
  <si>
    <t>CHA028</t>
  </si>
  <si>
    <t>CHA029</t>
  </si>
  <si>
    <t>CHA030</t>
  </si>
  <si>
    <t>Makoanyane Khakanyo</t>
  </si>
  <si>
    <t>CHA031</t>
  </si>
  <si>
    <t>Tumelo Makhetha</t>
  </si>
  <si>
    <t>CHA032</t>
  </si>
  <si>
    <t>Mongali Tlali</t>
  </si>
  <si>
    <t>CHA033</t>
  </si>
  <si>
    <t>Phoka Raphoka</t>
  </si>
  <si>
    <t>CHA034</t>
  </si>
  <si>
    <t>CHA035</t>
  </si>
  <si>
    <t>CHA036</t>
  </si>
  <si>
    <t>tosing</t>
  </si>
  <si>
    <t>CHA037</t>
  </si>
  <si>
    <t>Teboho Makhoalinyane</t>
  </si>
  <si>
    <t xml:space="preserve">SEB </t>
  </si>
  <si>
    <t>CHA038</t>
  </si>
  <si>
    <t>CHA039</t>
  </si>
  <si>
    <t>CHA040</t>
  </si>
  <si>
    <t>united</t>
  </si>
  <si>
    <t>CHA041</t>
  </si>
  <si>
    <t>CHA042</t>
  </si>
  <si>
    <t>ZK-1155</t>
  </si>
  <si>
    <t>--</t>
  </si>
  <si>
    <t>CHA043</t>
  </si>
  <si>
    <t>CHA044</t>
  </si>
  <si>
    <t>PPP009C</t>
  </si>
  <si>
    <t>CT: WECJPODNJ54N5D</t>
  </si>
  <si>
    <t>CHA045</t>
  </si>
  <si>
    <t>HSTNN-DA40</t>
  </si>
  <si>
    <t>CHA046</t>
  </si>
  <si>
    <t>CT: WCNWV0AAHH8FGWA</t>
  </si>
  <si>
    <t>CHA047</t>
  </si>
  <si>
    <t>HSTNN-LA01-E</t>
  </si>
  <si>
    <t>WCQAA0C1R7Z0C5</t>
  </si>
  <si>
    <t>CHA048</t>
  </si>
  <si>
    <t>CHA049</t>
  </si>
  <si>
    <t>0441</t>
  </si>
  <si>
    <t>LA65NS2-01</t>
  </si>
  <si>
    <t>CHA050</t>
  </si>
  <si>
    <t>NONE</t>
  </si>
  <si>
    <t>PA-1900-02D2</t>
  </si>
  <si>
    <t>CHA051</t>
  </si>
  <si>
    <t>PA-1131-08HC</t>
  </si>
  <si>
    <t>CHA052</t>
  </si>
  <si>
    <t>LA65NS1-00</t>
  </si>
  <si>
    <t>CN-0YD637-71615-64P-3582</t>
  </si>
  <si>
    <t>CHA053</t>
  </si>
  <si>
    <t>CHR04</t>
  </si>
  <si>
    <t>PA-1131-06HI</t>
  </si>
  <si>
    <t>CT: WCQAA0C1R8HD0H</t>
  </si>
  <si>
    <t>CHA054</t>
  </si>
  <si>
    <t>CHA055</t>
  </si>
  <si>
    <t>replacement charger</t>
  </si>
  <si>
    <t>CHA056</t>
  </si>
  <si>
    <t>bi charger</t>
  </si>
  <si>
    <t>BI10-050200-I</t>
  </si>
  <si>
    <t>CHA057</t>
  </si>
  <si>
    <t>united charger</t>
  </si>
  <si>
    <t>zk-1169</t>
  </si>
  <si>
    <t>CHA058</t>
  </si>
  <si>
    <t>dell charger</t>
  </si>
  <si>
    <t>ADP-65JB B</t>
  </si>
  <si>
    <t>CHA059</t>
  </si>
  <si>
    <t>bx-2401000</t>
  </si>
  <si>
    <t>CHA060</t>
  </si>
  <si>
    <t>asus charger</t>
  </si>
  <si>
    <t>zxht4060</t>
  </si>
  <si>
    <t>CHA061</t>
  </si>
  <si>
    <t>OnM002</t>
  </si>
  <si>
    <t>CT:WEBPH0B1R37754</t>
  </si>
  <si>
    <t>CHA062</t>
  </si>
  <si>
    <t>CT:WFTLD0EDDBEUPX</t>
  </si>
  <si>
    <t>CHA063</t>
  </si>
  <si>
    <t>RET001</t>
  </si>
  <si>
    <t>it LOCKER</t>
  </si>
  <si>
    <t>CT:WEBPH0B1R37732</t>
  </si>
  <si>
    <t>CHA064</t>
  </si>
  <si>
    <t>RET002</t>
  </si>
  <si>
    <t>CT:WFTKU0ERLA02G</t>
  </si>
  <si>
    <t>JOPI LEOMA</t>
  </si>
  <si>
    <t>mASHAI</t>
  </si>
  <si>
    <t>CHA065</t>
  </si>
  <si>
    <t>CT:WDUUT0CAR26ZMU</t>
  </si>
  <si>
    <t>CHA066</t>
  </si>
  <si>
    <t>CT:WDUUT0EAR347XP</t>
  </si>
  <si>
    <t>CHA067</t>
  </si>
  <si>
    <t>f12941037097464</t>
  </si>
  <si>
    <t>CHA068</t>
  </si>
  <si>
    <t>f3-09020083810c</t>
  </si>
  <si>
    <t>KEY001</t>
  </si>
  <si>
    <t>KEYBOARD</t>
  </si>
  <si>
    <t>KEY002</t>
  </si>
  <si>
    <t>KEY003</t>
  </si>
  <si>
    <t>KEY004</t>
  </si>
  <si>
    <t>bto keyboard</t>
  </si>
  <si>
    <t>KEY005</t>
  </si>
  <si>
    <t>hp keyboard</t>
  </si>
  <si>
    <t>KEY006</t>
  </si>
  <si>
    <t>it locker</t>
  </si>
  <si>
    <t xml:space="preserve">microsoft keyboard </t>
  </si>
  <si>
    <t>KEY007</t>
  </si>
  <si>
    <t>ckw200us</t>
  </si>
  <si>
    <t>KEY008</t>
  </si>
  <si>
    <t>Amplify keyboard</t>
  </si>
  <si>
    <t>KEY009</t>
  </si>
  <si>
    <t>KEY010</t>
  </si>
  <si>
    <t>KEY011</t>
  </si>
  <si>
    <t>KEY012</t>
  </si>
  <si>
    <t>KEY013</t>
  </si>
  <si>
    <t>KEY014</t>
  </si>
  <si>
    <t>KEY015</t>
  </si>
  <si>
    <t>KEY016</t>
  </si>
  <si>
    <t>keyboard</t>
  </si>
  <si>
    <t>kb-us0803</t>
  </si>
  <si>
    <t>KEY017</t>
  </si>
  <si>
    <t>KEY018</t>
  </si>
  <si>
    <t>KEY019</t>
  </si>
  <si>
    <t>KEY020</t>
  </si>
  <si>
    <t>KEY021</t>
  </si>
  <si>
    <t>KEY022</t>
  </si>
  <si>
    <t>KEY023</t>
  </si>
  <si>
    <t>803S</t>
  </si>
  <si>
    <t>KEY024</t>
  </si>
  <si>
    <t>KEY025</t>
  </si>
  <si>
    <t>KB03</t>
  </si>
  <si>
    <t>Keyboard</t>
  </si>
  <si>
    <t>KB-US0803</t>
  </si>
  <si>
    <t>KEY026</t>
  </si>
  <si>
    <t>ul-kb-mo6</t>
  </si>
  <si>
    <t>KEY027</t>
  </si>
  <si>
    <t>`</t>
  </si>
  <si>
    <t>PHO001</t>
  </si>
  <si>
    <t>PHONE</t>
  </si>
  <si>
    <t>hisense</t>
  </si>
  <si>
    <t>PHO002</t>
  </si>
  <si>
    <t>RIB</t>
  </si>
  <si>
    <t>PHO003</t>
  </si>
  <si>
    <t>Rantso Lekhoelebane</t>
  </si>
  <si>
    <t>ribaneng</t>
  </si>
  <si>
    <t>PHO004</t>
  </si>
  <si>
    <t>Moroka Tlhabeli</t>
  </si>
  <si>
    <t>given tag pho0021 by mistake</t>
  </si>
  <si>
    <t>PHO005</t>
  </si>
  <si>
    <t>Petlane Lekau</t>
  </si>
  <si>
    <t>TOS</t>
  </si>
  <si>
    <t>PHO006</t>
  </si>
  <si>
    <t>Mosehle Mokoatle</t>
  </si>
  <si>
    <t>PHO007</t>
  </si>
  <si>
    <t>Rethabile Lebajoa</t>
  </si>
  <si>
    <t>Sehlabathebe</t>
  </si>
  <si>
    <t xml:space="preserve">PHO008 </t>
  </si>
  <si>
    <t>SEB</t>
  </si>
  <si>
    <t>PHO009</t>
  </si>
  <si>
    <t>Tiisetso Malehloa</t>
  </si>
  <si>
    <t>PHO010</t>
  </si>
  <si>
    <t>PHO011</t>
  </si>
  <si>
    <t>PHO012</t>
  </si>
  <si>
    <t>Pemane Rafube</t>
  </si>
  <si>
    <t>PHO013</t>
  </si>
  <si>
    <t>Kicka 5 plus 4G</t>
  </si>
  <si>
    <t>PHO014</t>
  </si>
  <si>
    <t>0373</t>
  </si>
  <si>
    <t>vodafone, surf 2</t>
  </si>
  <si>
    <t>PHO015</t>
  </si>
  <si>
    <t>TAB021</t>
  </si>
  <si>
    <t>AZUMI</t>
  </si>
  <si>
    <t>V5PVLS036009818</t>
  </si>
  <si>
    <t>PHO016</t>
  </si>
  <si>
    <t>AZUMI, merchant</t>
  </si>
  <si>
    <t>V5PVLS036009030</t>
  </si>
  <si>
    <t>PHO017</t>
  </si>
  <si>
    <t>0371</t>
  </si>
  <si>
    <t>kicka 5 plus,customer support</t>
  </si>
  <si>
    <t>PHO018</t>
  </si>
  <si>
    <t>PHO019</t>
  </si>
  <si>
    <t>PHO020</t>
  </si>
  <si>
    <t>it reticulation</t>
  </si>
  <si>
    <t>PHO021</t>
  </si>
  <si>
    <t>facilities</t>
  </si>
  <si>
    <t>matsoaing</t>
  </si>
  <si>
    <t>iphone 6</t>
  </si>
  <si>
    <t>PHO022</t>
  </si>
  <si>
    <t>iphone 7</t>
  </si>
  <si>
    <t>PHO023</t>
  </si>
  <si>
    <t>Teboho Noko</t>
  </si>
  <si>
    <t>hisense phone</t>
  </si>
  <si>
    <t>Com017</t>
  </si>
  <si>
    <t>phone</t>
  </si>
  <si>
    <t>Leloko</t>
  </si>
  <si>
    <t>PHO034</t>
  </si>
  <si>
    <t>PHO014 (clash)</t>
  </si>
  <si>
    <t>PHO035</t>
  </si>
  <si>
    <t>PHO015 (clash)</t>
  </si>
  <si>
    <t>-Mashai secirity</t>
  </si>
  <si>
    <t>Mashai</t>
  </si>
  <si>
    <t>PHO036</t>
  </si>
  <si>
    <t>PHO016 (clash)</t>
  </si>
  <si>
    <t>PHO037</t>
  </si>
  <si>
    <t>PHO017 (clash)</t>
  </si>
  <si>
    <t>PHO038</t>
  </si>
  <si>
    <t>HQ</t>
  </si>
  <si>
    <t>1MF75M09UG1CG1CN0B5F1LO467</t>
  </si>
  <si>
    <t>VGA-VGA connector</t>
  </si>
  <si>
    <t>multiplug</t>
  </si>
  <si>
    <t>shelf rack open shelves</t>
  </si>
  <si>
    <t>Phone Samsung SMS gateway</t>
  </si>
  <si>
    <t>stoage box black</t>
  </si>
  <si>
    <t>Tool box</t>
  </si>
  <si>
    <t>MOD0001</t>
  </si>
  <si>
    <t>modem kuwi wifi</t>
  </si>
  <si>
    <t>ZHLX2206170062</t>
  </si>
  <si>
    <t>MOD0002</t>
  </si>
  <si>
    <t>ZHLX2206170026</t>
  </si>
  <si>
    <t>MOD0003</t>
  </si>
  <si>
    <t>ZHLX2206170246</t>
  </si>
  <si>
    <t>MOD0004</t>
  </si>
  <si>
    <t>ZHLX2206170140</t>
  </si>
  <si>
    <t>MOD0005</t>
  </si>
  <si>
    <t>ZHLX2206170034</t>
  </si>
  <si>
    <t>MOD0006</t>
  </si>
  <si>
    <t>sello monoane</t>
  </si>
  <si>
    <t>ZHLX2206170143</t>
  </si>
  <si>
    <t>MOD0007</t>
  </si>
  <si>
    <t>ZHLX2206170170</t>
  </si>
  <si>
    <t>MOD0008</t>
  </si>
  <si>
    <t>security</t>
  </si>
  <si>
    <t>ZHLX2206170067</t>
  </si>
  <si>
    <t>MOD0009</t>
  </si>
  <si>
    <t>ZHLX2206170072</t>
  </si>
  <si>
    <t>MOD0010</t>
  </si>
  <si>
    <t>ZHLX2206170054</t>
  </si>
  <si>
    <t>MOD0011</t>
  </si>
  <si>
    <t>0424-J</t>
  </si>
  <si>
    <t>ZHLX2206170197</t>
  </si>
  <si>
    <t>MOD0012</t>
  </si>
  <si>
    <t>0424-H</t>
  </si>
  <si>
    <t>ZHLX2106220234</t>
  </si>
  <si>
    <t>MOD0013</t>
  </si>
  <si>
    <t>0424-G</t>
  </si>
  <si>
    <t>ZHLX2106220213</t>
  </si>
  <si>
    <t>MOD0014</t>
  </si>
  <si>
    <t>0424-C</t>
  </si>
  <si>
    <t>ZHLX2106220253</t>
  </si>
  <si>
    <t>MOD0015</t>
  </si>
  <si>
    <t>MDM-014</t>
  </si>
  <si>
    <t>ZHXL2110190259</t>
  </si>
  <si>
    <t>MOD0016</t>
  </si>
  <si>
    <t>MDM-015</t>
  </si>
  <si>
    <t>ZHXL2110190381</t>
  </si>
  <si>
    <t>MOD0017</t>
  </si>
  <si>
    <t>MDM-012</t>
  </si>
  <si>
    <t>ZHXL2110190464</t>
  </si>
  <si>
    <t>MOD0018</t>
  </si>
  <si>
    <t>0370</t>
  </si>
  <si>
    <t>modem huawei</t>
  </si>
  <si>
    <t>FUC7S20618000711</t>
  </si>
  <si>
    <t>MOD0019</t>
  </si>
  <si>
    <t>FUC7S20618000709</t>
  </si>
  <si>
    <t>PWC001</t>
  </si>
  <si>
    <t>power cable</t>
  </si>
  <si>
    <t>PWC002</t>
  </si>
  <si>
    <t>PWC003</t>
  </si>
  <si>
    <t>PWC004</t>
  </si>
  <si>
    <t>PWC005</t>
  </si>
  <si>
    <t>PWC006</t>
  </si>
  <si>
    <t>PWC007</t>
  </si>
  <si>
    <t>PWC008</t>
  </si>
  <si>
    <t>PWC009</t>
  </si>
  <si>
    <t>PWC010</t>
  </si>
  <si>
    <t>PWC011</t>
  </si>
  <si>
    <t>PWC012</t>
  </si>
  <si>
    <t>PWC013</t>
  </si>
  <si>
    <t>PWC014</t>
  </si>
  <si>
    <t>PWC015</t>
  </si>
  <si>
    <t>PWC016</t>
  </si>
  <si>
    <t>PWC017</t>
  </si>
  <si>
    <t>PWC018</t>
  </si>
  <si>
    <t>PWC019</t>
  </si>
  <si>
    <t>PWC020</t>
  </si>
  <si>
    <t>PWC021</t>
  </si>
  <si>
    <t>PHC001</t>
  </si>
  <si>
    <t>phone charger</t>
  </si>
  <si>
    <t>PHC002</t>
  </si>
  <si>
    <t>PHC003</t>
  </si>
  <si>
    <t>lisebo</t>
  </si>
  <si>
    <t>PHC004</t>
  </si>
  <si>
    <t>PHC005</t>
  </si>
  <si>
    <t>blackberry charger</t>
  </si>
  <si>
    <t>PHC006</t>
  </si>
  <si>
    <t>PHC007</t>
  </si>
  <si>
    <t>Mashai security</t>
  </si>
  <si>
    <t>mashai</t>
  </si>
  <si>
    <t>PHC008</t>
  </si>
  <si>
    <t>PWC022</t>
  </si>
  <si>
    <t>PHC009</t>
  </si>
  <si>
    <t>router charger</t>
  </si>
  <si>
    <t>PHC010</t>
  </si>
  <si>
    <t>PHC011</t>
  </si>
  <si>
    <t>white router charger</t>
  </si>
  <si>
    <t>HW-120100E01</t>
  </si>
  <si>
    <t>TAB0001</t>
  </si>
  <si>
    <t>IT locker</t>
  </si>
  <si>
    <t>nexus tablet</t>
  </si>
  <si>
    <t>TAB0002</t>
  </si>
  <si>
    <t>TAB0003</t>
  </si>
  <si>
    <t>TAB0004</t>
  </si>
  <si>
    <t>TAB0005</t>
  </si>
  <si>
    <t>TAB0006</t>
  </si>
  <si>
    <t>TAB0007</t>
  </si>
  <si>
    <t>winnovo tablet</t>
  </si>
  <si>
    <t>TAB0008</t>
  </si>
  <si>
    <t>TAB0009</t>
  </si>
  <si>
    <t>TAB0010</t>
  </si>
  <si>
    <t>TAB0011</t>
  </si>
  <si>
    <t>TAB0012</t>
  </si>
  <si>
    <t>TAB0013</t>
  </si>
  <si>
    <t>TAB0014</t>
  </si>
  <si>
    <t>TAB0015</t>
  </si>
  <si>
    <t>TAB0016</t>
  </si>
  <si>
    <t>RET0016</t>
  </si>
  <si>
    <t>WNTS7MMAA450060</t>
  </si>
  <si>
    <t>TAB0017</t>
  </si>
  <si>
    <t>TAB0018</t>
  </si>
  <si>
    <t>TAB0019</t>
  </si>
  <si>
    <t>haovm tablet</t>
  </si>
  <si>
    <t>TAB0020</t>
  </si>
  <si>
    <t>TAB0021</t>
  </si>
  <si>
    <t>TAB0022</t>
  </si>
  <si>
    <t>q2 tablet</t>
  </si>
  <si>
    <t>N3XGBIPCHP</t>
  </si>
  <si>
    <t>TAB0023</t>
  </si>
  <si>
    <t>MP1PB4HPCR8</t>
  </si>
  <si>
    <t>TAB0024</t>
  </si>
  <si>
    <t>PV3B4JIQBV</t>
  </si>
  <si>
    <t>TAB0025</t>
  </si>
  <si>
    <t>TARH144MX8</t>
  </si>
  <si>
    <t>ENC001</t>
  </si>
  <si>
    <t>external enclosure</t>
  </si>
  <si>
    <t>USBB0001</t>
  </si>
  <si>
    <t>MODUSB0001</t>
  </si>
  <si>
    <t>usb cable type b</t>
  </si>
  <si>
    <t>USBB0002</t>
  </si>
  <si>
    <t>EE002</t>
  </si>
  <si>
    <t>USBB0003</t>
  </si>
  <si>
    <t>MODUSB0003</t>
  </si>
  <si>
    <t>USBB0004</t>
  </si>
  <si>
    <t>MODUSB0004</t>
  </si>
  <si>
    <t>USBB0005</t>
  </si>
  <si>
    <t>MODUSB0005</t>
  </si>
  <si>
    <t>USBB0006</t>
  </si>
  <si>
    <t>MODUSB0006</t>
  </si>
  <si>
    <t>USBB0007</t>
  </si>
  <si>
    <t>MODUSB0007</t>
  </si>
  <si>
    <t>USBB0008</t>
  </si>
  <si>
    <t>MODUSB0008</t>
  </si>
  <si>
    <t>USBB0009</t>
  </si>
  <si>
    <t>MODUSB0009</t>
  </si>
  <si>
    <t>USBB0010</t>
  </si>
  <si>
    <t>MODUSB0010</t>
  </si>
  <si>
    <t>USBB0011</t>
  </si>
  <si>
    <t>MODUSB0011</t>
  </si>
  <si>
    <t>USBB0012</t>
  </si>
  <si>
    <t>MODUSB0012</t>
  </si>
  <si>
    <t>USBB0013</t>
  </si>
  <si>
    <t>MODUSB0002</t>
  </si>
  <si>
    <t>USBB0014</t>
  </si>
  <si>
    <t>USBB0015</t>
  </si>
  <si>
    <t>USBB0016</t>
  </si>
  <si>
    <t>USBB0017</t>
  </si>
  <si>
    <t>USBB0018</t>
  </si>
  <si>
    <t>USBB0019</t>
  </si>
  <si>
    <t>USBB0020</t>
  </si>
  <si>
    <t>USBB0021</t>
  </si>
  <si>
    <t>mdm-013</t>
  </si>
  <si>
    <t>USBB0022</t>
  </si>
  <si>
    <t>USBB0023</t>
  </si>
  <si>
    <t>USBB0024</t>
  </si>
  <si>
    <t>mdm-014</t>
  </si>
  <si>
    <t>USBB0025</t>
  </si>
  <si>
    <t>USBB0026</t>
  </si>
  <si>
    <t>USBB0027</t>
  </si>
  <si>
    <t>ADP001</t>
  </si>
  <si>
    <t>Adapter</t>
  </si>
  <si>
    <t>ROU001</t>
  </si>
  <si>
    <t>Ultralink Router</t>
  </si>
  <si>
    <t>ROU002</t>
  </si>
  <si>
    <t>O379</t>
  </si>
  <si>
    <t>HUAWEI Router</t>
  </si>
  <si>
    <t xml:space="preserve"> SSF7S20317002035</t>
  </si>
  <si>
    <t>PB001</t>
  </si>
  <si>
    <t>remax power bank</t>
  </si>
  <si>
    <t>PB002</t>
  </si>
  <si>
    <t>dixon power bank</t>
  </si>
  <si>
    <t>PB003</t>
  </si>
  <si>
    <t>ldnio power bank</t>
  </si>
  <si>
    <t>PB004</t>
  </si>
  <si>
    <t>PWR-BANK-0008</t>
  </si>
  <si>
    <t>rohs power bank</t>
  </si>
  <si>
    <t>PB005</t>
  </si>
  <si>
    <t>pwb001</t>
  </si>
  <si>
    <t>PB006</t>
  </si>
  <si>
    <t>General powerbank</t>
  </si>
  <si>
    <t>PB007</t>
  </si>
  <si>
    <t>ldnio powerbank</t>
  </si>
  <si>
    <t>adp001</t>
  </si>
  <si>
    <t>Masahi</t>
  </si>
  <si>
    <t>adapterp</t>
  </si>
  <si>
    <t>ADP002</t>
  </si>
  <si>
    <t>Timestamp</t>
  </si>
  <si>
    <t>State</t>
  </si>
  <si>
    <t>Phone Number</t>
  </si>
  <si>
    <t>Quantity</t>
  </si>
  <si>
    <t>Serial Number</t>
  </si>
  <si>
    <t>Device Setup(any software/ application installed)</t>
  </si>
  <si>
    <t>OnM Deparment Desktop</t>
  </si>
  <si>
    <t/>
  </si>
  <si>
    <t>Desktop</t>
  </si>
  <si>
    <t xml:space="preserve">OnM </t>
  </si>
  <si>
    <t>Screen Displays</t>
  </si>
  <si>
    <t>D-003</t>
  </si>
  <si>
    <t>Microsoft Office, Chrome, PDF Reader, Google Earth Pro</t>
  </si>
  <si>
    <t>mouse, Keyboard, 3 Monitors and their Remotes, 
2 Display Devices, WiFi Dongle, Multiplug</t>
  </si>
  <si>
    <t>EE Area</t>
  </si>
  <si>
    <t>Logitech Mouse</t>
  </si>
  <si>
    <t>Mouse Pad</t>
  </si>
  <si>
    <t>LOG03</t>
  </si>
  <si>
    <t>2048HS018YP8</t>
  </si>
  <si>
    <t>Logitech mouse</t>
  </si>
  <si>
    <t>CHR01</t>
  </si>
  <si>
    <t>Charger</t>
  </si>
  <si>
    <t>HP charger</t>
  </si>
  <si>
    <t>WCQAAAOC1R5YICZ</t>
  </si>
  <si>
    <t>CHR02</t>
  </si>
  <si>
    <t>WCQAAOC1R4SFX9</t>
  </si>
  <si>
    <t>CHR03</t>
  </si>
  <si>
    <t>WBBXR0ALAZY6VS</t>
  </si>
  <si>
    <t>CHRO4</t>
  </si>
  <si>
    <t>WCQAAOC1R8HD0H</t>
  </si>
  <si>
    <t>KB01</t>
  </si>
  <si>
    <t>KB02</t>
  </si>
  <si>
    <t>EE locker</t>
  </si>
  <si>
    <t>KB04</t>
  </si>
  <si>
    <t>Wifi Adapter
Display to HDMI</t>
  </si>
  <si>
    <t>Lineo</t>
  </si>
  <si>
    <t>Procument</t>
  </si>
  <si>
    <t>HP CPU</t>
  </si>
  <si>
    <t>MXL3392C46</t>
  </si>
  <si>
    <t>Display to HDMI
Keyboard(KB02)
Wifi Adapter
Extension Cord
Multi Plug 
Mouse (LOG02)
Universal Adapter</t>
  </si>
  <si>
    <t>Desktop (cpu)</t>
  </si>
  <si>
    <t>LDS00</t>
  </si>
  <si>
    <t>Loudspeaker</t>
  </si>
  <si>
    <t>loudspeaker</t>
  </si>
  <si>
    <t>RBP00</t>
  </si>
  <si>
    <t>Raspberry pie</t>
  </si>
  <si>
    <t>2019AJI0494</t>
  </si>
  <si>
    <t>SML001</t>
  </si>
  <si>
    <t>Smart Locker</t>
  </si>
  <si>
    <t>smart locker</t>
  </si>
  <si>
    <t>Facilities</t>
  </si>
  <si>
    <t>SML002</t>
  </si>
  <si>
    <t>SML003</t>
  </si>
  <si>
    <t>SML004</t>
  </si>
  <si>
    <t>Smart locker</t>
  </si>
  <si>
    <t>SML 005</t>
  </si>
  <si>
    <t>PMP001</t>
  </si>
  <si>
    <t>car pump</t>
  </si>
  <si>
    <t>Fleet</t>
  </si>
  <si>
    <t>BULB001</t>
  </si>
  <si>
    <t>KS Turn replacement bulb</t>
  </si>
  <si>
    <t>Untagged/None</t>
  </si>
  <si>
    <t xml:space="preserve">Surf -1                
</t>
  </si>
  <si>
    <t>Phone</t>
  </si>
  <si>
    <t>Lost</t>
  </si>
  <si>
    <t>Surf -1</t>
  </si>
  <si>
    <t>Main</t>
  </si>
  <si>
    <t>X-trail Phone</t>
  </si>
  <si>
    <t>Replaced</t>
  </si>
  <si>
    <t>X-trail</t>
  </si>
  <si>
    <t>Truck 36 Phone</t>
  </si>
  <si>
    <t>SMS gateway</t>
  </si>
  <si>
    <t>EHS Department</t>
  </si>
  <si>
    <t>O&amp;M Department</t>
  </si>
  <si>
    <t>Samsung A02,Blue,6.5",32GB</t>
  </si>
  <si>
    <t>Dev &amp; Test Phone</t>
  </si>
  <si>
    <t>EE Department</t>
  </si>
  <si>
    <t>Makebe Field Site 0363</t>
  </si>
  <si>
    <t>Survey Phone 0369</t>
  </si>
  <si>
    <t>Broken</t>
  </si>
  <si>
    <t>Azumi v5+, 5.0"
Screen Broken ,replacement parts 
currently unavailable.</t>
  </si>
  <si>
    <t>Survey Phone 0370</t>
  </si>
  <si>
    <t xml:space="preserve">  </t>
  </si>
  <si>
    <t>Pajero</t>
  </si>
  <si>
    <t>Fleet Department</t>
  </si>
  <si>
    <t>Surf -2 0373</t>
  </si>
  <si>
    <t>482990508507030510</t>
  </si>
  <si>
    <t>Customer Support</t>
  </si>
  <si>
    <t>Not Usable</t>
  </si>
  <si>
    <t>HR Department</t>
  </si>
  <si>
    <t>Hisense</t>
  </si>
  <si>
    <t>SGKS605H21103100962</t>
  </si>
  <si>
    <t>Com 01</t>
  </si>
  <si>
    <t>PM Department</t>
  </si>
  <si>
    <t>WhatsApp
Google Account</t>
  </si>
  <si>
    <t>Charger , Headsets
Screen Protector
Phone Case</t>
  </si>
  <si>
    <t>Project Management</t>
  </si>
  <si>
    <t>Com 02</t>
  </si>
  <si>
    <t>56601826</t>
  </si>
  <si>
    <t>Com 03</t>
  </si>
  <si>
    <t>56601824</t>
  </si>
  <si>
    <t>Procurement Department</t>
  </si>
  <si>
    <t>Charger , Headsets</t>
  </si>
  <si>
    <t>Com 04</t>
  </si>
  <si>
    <t>56601846</t>
  </si>
  <si>
    <t>Mashai,Taung</t>
  </si>
  <si>
    <t>Charger , Headsets,screen protector,phone cover</t>
  </si>
  <si>
    <t>Com 05</t>
  </si>
  <si>
    <t>56601829</t>
  </si>
  <si>
    <t>Mashai, St. Theresa</t>
  </si>
  <si>
    <t>Com 06</t>
  </si>
  <si>
    <t>56601830</t>
  </si>
  <si>
    <t>Sehonghong,Sekhaupane</t>
  </si>
  <si>
    <t>Com 07</t>
  </si>
  <si>
    <t>56601831</t>
  </si>
  <si>
    <t>Mashai,Ha Boomo</t>
  </si>
  <si>
    <t>Com 08</t>
  </si>
  <si>
    <t>56601832</t>
  </si>
  <si>
    <t>Mashai,Moreneng</t>
  </si>
  <si>
    <t>Com 09</t>
  </si>
  <si>
    <t xml:space="preserve">56601801
</t>
  </si>
  <si>
    <t xml:space="preserve">Charger </t>
  </si>
  <si>
    <t>Com 10</t>
  </si>
  <si>
    <t>Com 11</t>
  </si>
  <si>
    <t>56601836</t>
  </si>
  <si>
    <t>Sehonghong,Lebung</t>
  </si>
  <si>
    <t>Com 12</t>
  </si>
  <si>
    <t>56601837</t>
  </si>
  <si>
    <t>Sehonghong, Seruting</t>
  </si>
  <si>
    <t>Com 13</t>
  </si>
  <si>
    <t>56601839</t>
  </si>
  <si>
    <t>Sehonghong,Tlokoeng ha Mofao</t>
  </si>
  <si>
    <t>Com 14</t>
  </si>
  <si>
    <t>56601838</t>
  </si>
  <si>
    <t>Sehonghong,Ha Poko</t>
  </si>
  <si>
    <t>Com 15</t>
  </si>
  <si>
    <t>56601841</t>
  </si>
  <si>
    <t>Sehonghong,Aupolasi</t>
  </si>
  <si>
    <t>Com 16</t>
  </si>
  <si>
    <t>56601842</t>
  </si>
  <si>
    <t>Sehonghong,Ha Molaoa</t>
  </si>
  <si>
    <t>Com 17</t>
  </si>
  <si>
    <t>56601844</t>
  </si>
  <si>
    <t>Tlhanyaku
In Xtrail</t>
  </si>
  <si>
    <t>Com 18</t>
  </si>
  <si>
    <t>56601822</t>
  </si>
  <si>
    <t>Sehonghong,Ha Sekhaupane</t>
  </si>
  <si>
    <t>Com 19</t>
  </si>
  <si>
    <t>56601845</t>
  </si>
  <si>
    <t>Sehonghong,Ha Lelingoana</t>
  </si>
  <si>
    <t>Com 20</t>
  </si>
  <si>
    <t>56601812</t>
  </si>
  <si>
    <t>Sehonghong,Ha Khomo ea Mollo</t>
  </si>
  <si>
    <t>Com 21</t>
  </si>
  <si>
    <t>56601813</t>
  </si>
  <si>
    <t>Sehonghong,Ha Mahlatsi</t>
  </si>
  <si>
    <t>Com 22</t>
  </si>
  <si>
    <t>56601815</t>
  </si>
  <si>
    <t>Lebakeng, Ha Tebalo</t>
  </si>
  <si>
    <t>Com 23</t>
  </si>
  <si>
    <t>56601816</t>
  </si>
  <si>
    <t>Tlhanyaku, Motlomo</t>
  </si>
  <si>
    <t>Com 24</t>
  </si>
  <si>
    <t>56601818</t>
  </si>
  <si>
    <t>Mashai, ha setala</t>
  </si>
  <si>
    <t>Com 25</t>
  </si>
  <si>
    <t>56601819</t>
  </si>
  <si>
    <t>Mokhotlong,Linareng,</t>
  </si>
  <si>
    <t>Com 26</t>
  </si>
  <si>
    <t>56601820
new:57219984</t>
  </si>
  <si>
    <t>Neo1 Project</t>
  </si>
  <si>
    <t>Mafeteng</t>
  </si>
  <si>
    <t>Samsung A02,Blue,6.5",32GB
No Sim</t>
  </si>
  <si>
    <t>Com 27</t>
  </si>
  <si>
    <t>56601821</t>
  </si>
  <si>
    <t>Mokhotlong,Tlhanayakyu,Likhang</t>
  </si>
  <si>
    <t>Com 28</t>
  </si>
  <si>
    <t>56601790</t>
  </si>
  <si>
    <t>Tlhanyaku, Mathuoaneng</t>
  </si>
  <si>
    <t>Com 29</t>
  </si>
  <si>
    <t>56601799</t>
  </si>
  <si>
    <t>Tlhanyaku, Thoteng</t>
  </si>
  <si>
    <t>Com 30</t>
  </si>
  <si>
    <t>56601793</t>
  </si>
  <si>
    <t>Mokhotlong,Tlhanyaku,Plaatberg</t>
  </si>
  <si>
    <t>Com 31</t>
  </si>
  <si>
    <t>56601795</t>
  </si>
  <si>
    <t>Com 32</t>
  </si>
  <si>
    <t>56601797</t>
  </si>
  <si>
    <t>Tlhanyaku,Mafulane</t>
  </si>
  <si>
    <t>Com 33</t>
  </si>
  <si>
    <t>56601796</t>
  </si>
  <si>
    <t>Com 34</t>
  </si>
  <si>
    <t>56601788</t>
  </si>
  <si>
    <t>Mokhotlong,Matsoaing,Ha Mokone</t>
  </si>
  <si>
    <t>Com 35</t>
  </si>
  <si>
    <t>56601827</t>
  </si>
  <si>
    <t>Com 36</t>
  </si>
  <si>
    <t>56601789</t>
  </si>
  <si>
    <t>Mokhotlong,Matsoaing,Khohloaneng</t>
  </si>
  <si>
    <t>Com 37</t>
  </si>
  <si>
    <t>56601802</t>
  </si>
  <si>
    <t>Com 38</t>
  </si>
  <si>
    <t>56601806</t>
  </si>
  <si>
    <t>Mokhotlong,Matsoaing,Liphakoeng</t>
  </si>
  <si>
    <t>Com 39</t>
  </si>
  <si>
    <t>56601800</t>
  </si>
  <si>
    <t>Mokhotlong,Matsoaing,Liraoheleng</t>
  </si>
  <si>
    <t>Com 40</t>
  </si>
  <si>
    <t>56601810</t>
  </si>
  <si>
    <t>Com 41</t>
  </si>
  <si>
    <t>56601835</t>
  </si>
  <si>
    <t xml:space="preserve">Samsung A02,Blue,6.5",32GB
</t>
  </si>
  <si>
    <t>Com 42</t>
  </si>
  <si>
    <t>56601805</t>
  </si>
  <si>
    <t>Mokhotlong,Matsoaing,Masuaneng</t>
  </si>
  <si>
    <t>Com 43</t>
  </si>
  <si>
    <t>56601808</t>
  </si>
  <si>
    <t>Matsoaing,Sekoting</t>
  </si>
  <si>
    <t>Com 44</t>
  </si>
  <si>
    <t>56601811</t>
  </si>
  <si>
    <t>Matsoaing, Ha Setefane</t>
  </si>
  <si>
    <t>Com 45</t>
  </si>
  <si>
    <t>56601807</t>
  </si>
  <si>
    <t>Matsoaing, Tseko</t>
  </si>
  <si>
    <t>COM46</t>
  </si>
  <si>
    <t>P.M, MAT CUSTOMER 
SUPPORT</t>
  </si>
  <si>
    <t>MOBICEL</t>
  </si>
  <si>
    <t>006</t>
  </si>
  <si>
    <t>5CG4442YLH</t>
  </si>
  <si>
    <t>GXJ89H2</t>
  </si>
  <si>
    <t>PMTEAM01</t>
  </si>
  <si>
    <t>M8N0CX03A078314</t>
  </si>
  <si>
    <t>Mouse
Mouse Pad
Mounted Multi Plug</t>
  </si>
  <si>
    <t>PMTEAM02</t>
  </si>
  <si>
    <t>M8N0CX03A154319</t>
  </si>
  <si>
    <t>008</t>
  </si>
  <si>
    <t>0365</t>
  </si>
  <si>
    <t>L7N0GR02K51330A</t>
  </si>
  <si>
    <t>ADM01</t>
  </si>
  <si>
    <t>Finance Department</t>
  </si>
  <si>
    <t>LBN0CX173888479</t>
  </si>
  <si>
    <t>EHS01</t>
  </si>
  <si>
    <t>Maferete Moorosi</t>
  </si>
  <si>
    <t>GWTN156-1RG20LBM05267</t>
  </si>
  <si>
    <t>Mouse
Mouse Pad
Extension Cord
Universal Adapter</t>
  </si>
  <si>
    <t>New02</t>
  </si>
  <si>
    <t>GWTN156-1RG20LBM06029</t>
  </si>
  <si>
    <t>Microsoft Office,Dropbox,Microsoft To Do set up by 
Motebang Lekhooana and Kamohelo Makaka
Glasswire installed and set up by Tlhokomelo Kikine</t>
  </si>
  <si>
    <t>Charger
Mouse
USB Hub</t>
  </si>
  <si>
    <t xml:space="preserve">Charger
Mouse
</t>
  </si>
  <si>
    <t>EE003</t>
  </si>
  <si>
    <t>Hp Elitebook 840 G3</t>
  </si>
  <si>
    <t>EE004</t>
  </si>
  <si>
    <t>EE005</t>
  </si>
  <si>
    <t>HR001</t>
  </si>
  <si>
    <t>Usable</t>
  </si>
  <si>
    <t>5CG8105SVQ</t>
  </si>
  <si>
    <t>Charger
Mounted Multi Plug</t>
  </si>
  <si>
    <t>HR</t>
  </si>
  <si>
    <t>Microsoft Office,Dropbox,Microsoft To Do,Github,Android Studio
Chrome,Glasswire installed and set up by Tlhokomelo Kikine</t>
  </si>
  <si>
    <t xml:space="preserve">
</t>
  </si>
  <si>
    <t>RET 01</t>
  </si>
  <si>
    <t>5CG625277T</t>
  </si>
  <si>
    <t>RET 02</t>
  </si>
  <si>
    <t>5CG6456QQBS</t>
  </si>
  <si>
    <t>RET 03</t>
  </si>
  <si>
    <t>5CG6456QD0</t>
  </si>
  <si>
    <t>RET 04</t>
  </si>
  <si>
    <t>5CG61182257</t>
  </si>
  <si>
    <t>RET 05</t>
  </si>
  <si>
    <t>5CG7061S2N</t>
  </si>
  <si>
    <t>RET 06</t>
  </si>
  <si>
    <t>5CG63809T1</t>
  </si>
  <si>
    <t>RET 07</t>
  </si>
  <si>
    <t>5CG64150NP</t>
  </si>
  <si>
    <t>RET 08</t>
  </si>
  <si>
    <t>5CG6456Q62</t>
  </si>
  <si>
    <t>RET 09</t>
  </si>
  <si>
    <t>5CG62474QG</t>
  </si>
  <si>
    <t>RET 10</t>
  </si>
  <si>
    <t>0080</t>
  </si>
  <si>
    <t>Admin Office</t>
  </si>
  <si>
    <t>CCTV connection</t>
  </si>
  <si>
    <t>D-002</t>
  </si>
  <si>
    <t>Kekeletso Rakoti</t>
  </si>
  <si>
    <t>Dell</t>
  </si>
  <si>
    <t>HDMI
Mouse Pad
Extension Cord
Multi Plug</t>
  </si>
  <si>
    <t>EE01</t>
  </si>
  <si>
    <t>HDMI
Multi Plug</t>
  </si>
  <si>
    <t xml:space="preserve"> Bokang Mothomotsoane</t>
  </si>
  <si>
    <t xml:space="preserve">Dell </t>
  </si>
  <si>
    <t>HDMI
Extension Cord
Multi Plug
Display to HDMI</t>
  </si>
  <si>
    <t>HDMI
Multi Plug
Display to HDMI</t>
  </si>
  <si>
    <t>EE04</t>
  </si>
  <si>
    <t>HDMI
Extension Cord
Multi Plug
Mouse Pad</t>
  </si>
  <si>
    <t>Morongwa</t>
  </si>
  <si>
    <t>CN-0WWVVK-BOZ00-15S-2C6B-A00</t>
  </si>
  <si>
    <t>Mouse
Mouse Pad
VGA
WiFi Adapter
Mounted Multi Plug</t>
  </si>
  <si>
    <t>Paepae Sello</t>
  </si>
  <si>
    <t>Morema Mafantiri</t>
  </si>
  <si>
    <t xml:space="preserve">Procurement </t>
  </si>
  <si>
    <t>HDMI
Mounted Multi Plug
Extension Cord</t>
  </si>
  <si>
    <t>Keyboard
Mounted Multi Plug
Mouse
VGA</t>
  </si>
  <si>
    <t>Keyboard
Mounted Multi Plug</t>
  </si>
  <si>
    <t>Nthabiseng Thakhisi</t>
  </si>
  <si>
    <t>Mouse
Mouse Pad
HDMI
Multi Plug</t>
  </si>
  <si>
    <t>Jonas Nthunya</t>
  </si>
  <si>
    <t>Mouse
Mouse Pad
Universal Adapter
Shared Department Multiplug</t>
  </si>
  <si>
    <t>CN-0WWVVK-BOZ00-155-0B2B-A00</t>
  </si>
  <si>
    <t>Mouse,Ethernet cable and adapter</t>
  </si>
  <si>
    <t>HDMI
Shared Multi Plug</t>
  </si>
  <si>
    <t>PM Area</t>
  </si>
  <si>
    <t>MXL3110Y39</t>
  </si>
  <si>
    <t>VGA
Mouted Multi Plug
WiFi Adapter</t>
  </si>
  <si>
    <t>A770BBEB-89IC-48C8-BA0F-6FC13818DA44</t>
  </si>
  <si>
    <t>AD-1</t>
  </si>
  <si>
    <t>Switch</t>
  </si>
  <si>
    <t>AD-2</t>
  </si>
  <si>
    <t>Router</t>
  </si>
  <si>
    <t>AD-3</t>
  </si>
  <si>
    <t>Telephone</t>
  </si>
  <si>
    <t>0111</t>
  </si>
  <si>
    <t>Screw driver set</t>
  </si>
  <si>
    <t>Screw drivers shelf</t>
  </si>
  <si>
    <t>0105</t>
  </si>
  <si>
    <t>Drilling set</t>
  </si>
  <si>
    <t>0140</t>
  </si>
  <si>
    <t>Cutting pliers</t>
  </si>
  <si>
    <t>Miscellaneous</t>
  </si>
  <si>
    <t>0142</t>
  </si>
  <si>
    <t>0149</t>
  </si>
  <si>
    <t>Crimping tool</t>
  </si>
  <si>
    <t>0100</t>
  </si>
  <si>
    <t>Measuring tape</t>
  </si>
  <si>
    <t>0091</t>
  </si>
  <si>
    <t>Drive socket set</t>
  </si>
  <si>
    <t>MAK0011-1</t>
  </si>
  <si>
    <t>SMS Forwarder</t>
  </si>
  <si>
    <t>0025</t>
  </si>
  <si>
    <t>Canon printer</t>
  </si>
  <si>
    <t>0329</t>
  </si>
  <si>
    <t>Clamp</t>
  </si>
  <si>
    <t>0434</t>
  </si>
  <si>
    <t>Soldering iron</t>
  </si>
  <si>
    <t>0247</t>
  </si>
  <si>
    <t>0248</t>
  </si>
  <si>
    <t>0249</t>
  </si>
  <si>
    <t>0058</t>
  </si>
  <si>
    <t>Label maker</t>
  </si>
  <si>
    <t>0059</t>
  </si>
  <si>
    <t>0022-I</t>
  </si>
  <si>
    <t>Cloudbox</t>
  </si>
  <si>
    <t>0023-I</t>
  </si>
  <si>
    <t>Fatbox</t>
  </si>
  <si>
    <t>0436</t>
  </si>
  <si>
    <t>Tablet oscilloscope</t>
  </si>
  <si>
    <t>0024-I</t>
  </si>
  <si>
    <t>Wire lugs</t>
  </si>
  <si>
    <t>Projector</t>
  </si>
  <si>
    <t>Boardroom</t>
  </si>
  <si>
    <t>Ethernet Cable</t>
  </si>
  <si>
    <t>Ethernet Adapter</t>
  </si>
  <si>
    <t>0139</t>
  </si>
  <si>
    <t>0018</t>
  </si>
  <si>
    <t>Circuit Analyzer</t>
  </si>
  <si>
    <t>Table, Electronics, Multimeters</t>
  </si>
  <si>
    <t>Soldering Stand</t>
  </si>
  <si>
    <t>Table, Electronics, Soldering Equipment</t>
  </si>
  <si>
    <t>0015</t>
  </si>
  <si>
    <t>Clamp Meter</t>
  </si>
  <si>
    <t>0114</t>
  </si>
  <si>
    <t>Infrared thermometer</t>
  </si>
  <si>
    <t>0115</t>
  </si>
  <si>
    <t>Pneumatic Rivet gun</t>
  </si>
  <si>
    <t>Bench</t>
  </si>
  <si>
    <t>0141</t>
  </si>
  <si>
    <t>Miscallaneous</t>
  </si>
  <si>
    <t>0187</t>
  </si>
  <si>
    <t>Deburring tool</t>
  </si>
  <si>
    <t>Bolster Screwdriver</t>
  </si>
  <si>
    <t>Tapes</t>
  </si>
  <si>
    <t>Drive socket</t>
  </si>
  <si>
    <t>Table,IT, Computing Devices</t>
  </si>
  <si>
    <t>0423-B</t>
  </si>
  <si>
    <t>0433</t>
  </si>
  <si>
    <t>2 inch Power Bit</t>
  </si>
  <si>
    <t>0231</t>
  </si>
  <si>
    <t>Robo Grip</t>
  </si>
  <si>
    <t>0353</t>
  </si>
  <si>
    <t>Transit Level</t>
  </si>
  <si>
    <t>0318</t>
  </si>
  <si>
    <t>PV Wiring Kit</t>
  </si>
  <si>
    <t>0273</t>
  </si>
  <si>
    <t>Digiatal Calipers</t>
  </si>
  <si>
    <t>0272</t>
  </si>
  <si>
    <t>0264</t>
  </si>
  <si>
    <t>Spirit level</t>
  </si>
  <si>
    <t>0016</t>
  </si>
  <si>
    <t>Digital Insulation Meteri</t>
  </si>
  <si>
    <t>0017</t>
  </si>
  <si>
    <t>Absolute Digital Indicator</t>
  </si>
  <si>
    <t>0042</t>
  </si>
  <si>
    <t>Miter Saw</t>
  </si>
  <si>
    <t>0054</t>
  </si>
  <si>
    <t>Sheet Metal Nibbler</t>
  </si>
  <si>
    <t>0103</t>
  </si>
  <si>
    <t>25PC Titanium Drill Bit Set</t>
  </si>
  <si>
    <t>Screw Drivers</t>
  </si>
  <si>
    <t>0104</t>
  </si>
  <si>
    <t>0106</t>
  </si>
  <si>
    <t>0107</t>
  </si>
  <si>
    <t>0128</t>
  </si>
  <si>
    <t>16PC Masonry Drill Bit Set</t>
  </si>
  <si>
    <t>0129</t>
  </si>
  <si>
    <t>0218</t>
  </si>
  <si>
    <t>Folding Utility Knife</t>
  </si>
  <si>
    <t>0219</t>
  </si>
  <si>
    <t>0220</t>
  </si>
  <si>
    <t>0221</t>
  </si>
  <si>
    <t>0355</t>
  </si>
  <si>
    <t>Center with bearing</t>
  </si>
  <si>
    <t>0402-J</t>
  </si>
  <si>
    <t>300w Power Inverter</t>
  </si>
  <si>
    <t>Beneath Table</t>
  </si>
  <si>
    <t>IOM: 314</t>
  </si>
  <si>
    <t>Sensors, Transducers</t>
  </si>
  <si>
    <t>IOM: 318</t>
  </si>
  <si>
    <t>RET0012</t>
  </si>
  <si>
    <t>Tablet</t>
  </si>
  <si>
    <t>RET0013</t>
  </si>
  <si>
    <t>RET0014</t>
  </si>
  <si>
    <t>RET0015</t>
  </si>
  <si>
    <t>RET0017</t>
  </si>
  <si>
    <t>RET0018</t>
  </si>
  <si>
    <t>RET0019</t>
  </si>
  <si>
    <t>RET0020</t>
  </si>
  <si>
    <t>RET0021</t>
  </si>
  <si>
    <t>RET0022</t>
  </si>
  <si>
    <t>RET0023</t>
  </si>
  <si>
    <t>Morongoenyane Tlali</t>
  </si>
  <si>
    <t>Pueco</t>
  </si>
  <si>
    <t>Mouse Pad
Mounted Multi Plug</t>
  </si>
  <si>
    <t>cctv cameras</t>
  </si>
  <si>
    <t>Table, Electronics, Shelf 2</t>
  </si>
  <si>
    <t>nvr</t>
  </si>
  <si>
    <t>Flat screw driver</t>
  </si>
  <si>
    <t>Screwdrivers</t>
  </si>
  <si>
    <t>Set ofCutting blades</t>
  </si>
  <si>
    <t>11.5" drill bit</t>
  </si>
  <si>
    <t>wire strippers</t>
  </si>
  <si>
    <t>side cutter</t>
  </si>
  <si>
    <t>stripping gun</t>
  </si>
  <si>
    <t>pliers</t>
  </si>
  <si>
    <t>small pliers</t>
  </si>
  <si>
    <t>small side cutter</t>
  </si>
  <si>
    <t>large stripping gun</t>
  </si>
  <si>
    <t>crimpinging tool large</t>
  </si>
  <si>
    <t>vice grip</t>
  </si>
  <si>
    <t>nail stripper/puller</t>
  </si>
  <si>
    <t>wire stripper</t>
  </si>
  <si>
    <t>solder sucker</t>
  </si>
  <si>
    <t>load balance/batrpas</t>
  </si>
  <si>
    <t>measuring tape</t>
  </si>
  <si>
    <t>chisel</t>
  </si>
  <si>
    <t>t-sockets</t>
  </si>
  <si>
    <t>5 pc miniature pliers ser</t>
  </si>
  <si>
    <t>tablet</t>
  </si>
  <si>
    <t>surge multiplug</t>
  </si>
  <si>
    <t>solar panels</t>
  </si>
  <si>
    <t>G3 Fatbox modem</t>
  </si>
  <si>
    <t>Modems</t>
  </si>
  <si>
    <t>modem</t>
  </si>
  <si>
    <t>POE switch</t>
  </si>
  <si>
    <t>WiFi dongle</t>
  </si>
  <si>
    <t>Smart switch</t>
  </si>
  <si>
    <t>Top Shelf</t>
  </si>
  <si>
    <t>GSM antenna, white</t>
  </si>
  <si>
    <t>Small Electronics, IOMeter, Antennas</t>
  </si>
  <si>
    <t>Antenna coax cables</t>
  </si>
  <si>
    <t>Zigbee antenna</t>
  </si>
  <si>
    <t>Descecant</t>
  </si>
  <si>
    <t>IOMeter programmer</t>
  </si>
  <si>
    <t>ASA00AA18</t>
  </si>
  <si>
    <t>GSM antenna, black, large</t>
  </si>
  <si>
    <t>GSM antenna, black, small</t>
  </si>
  <si>
    <t>Wifi antenna</t>
  </si>
  <si>
    <t>IOMeter, dead</t>
  </si>
  <si>
    <t>Sparkmeter gateway</t>
  </si>
  <si>
    <t>IOMeter antenna</t>
  </si>
  <si>
    <t>DI-158U</t>
  </si>
  <si>
    <t>Expansion Module</t>
  </si>
  <si>
    <t>SDM120</t>
  </si>
  <si>
    <t>SDM530</t>
  </si>
  <si>
    <t>LED display</t>
  </si>
  <si>
    <t>Transducer</t>
  </si>
  <si>
    <t>speedometer</t>
  </si>
  <si>
    <t>Programmable K-Factor Scaler</t>
  </si>
  <si>
    <t>Radar sensor/opto sensor/thermal sensor</t>
  </si>
  <si>
    <t>Themal sensors(wires)</t>
  </si>
  <si>
    <t>Label Maker</t>
  </si>
  <si>
    <t>Table, Electronics, 2 shelf</t>
  </si>
  <si>
    <t>adapter</t>
  </si>
  <si>
    <t>Power adapters, Converters, Inverters</t>
  </si>
  <si>
    <t>Tachometer</t>
  </si>
  <si>
    <t>Electrical Insecticide Plug</t>
  </si>
  <si>
    <t>Solar panel</t>
  </si>
  <si>
    <t>Modified Sinewave Inverter</t>
  </si>
  <si>
    <t>DC-DC converter</t>
  </si>
  <si>
    <t>Male head adapters</t>
  </si>
  <si>
    <t>US power cables</t>
  </si>
  <si>
    <t>Small round 3-PIN power cables</t>
  </si>
  <si>
    <t>RSA 3-PIN power cables</t>
  </si>
  <si>
    <t>CHN 2-Pin Power cable</t>
  </si>
  <si>
    <t>CHN 3-Pin Power cable</t>
  </si>
  <si>
    <t>enercell adapter</t>
  </si>
  <si>
    <t>RSA 2-PIN power cables</t>
  </si>
  <si>
    <t>Crocodile clips</t>
  </si>
  <si>
    <t>11-8 pin connector</t>
  </si>
  <si>
    <t>Sensor/Thermal/geological</t>
  </si>
  <si>
    <t>Scrap cables and adapters</t>
  </si>
  <si>
    <t>Multi Purpose adapter</t>
  </si>
  <si>
    <t>Multiplugs</t>
  </si>
  <si>
    <t>Extenion Cords</t>
  </si>
  <si>
    <t>External Keyboards</t>
  </si>
  <si>
    <t>Mice</t>
  </si>
  <si>
    <t>USB Type B</t>
  </si>
  <si>
    <t>USB Type C</t>
  </si>
  <si>
    <t>Sun bean Fan Heater</t>
  </si>
  <si>
    <t>model:SFH-200</t>
  </si>
  <si>
    <t>Scientific Calculator</t>
  </si>
  <si>
    <t>SHARP</t>
  </si>
  <si>
    <t>Extension Cords</t>
  </si>
  <si>
    <t>Florescent Tubes</t>
  </si>
  <si>
    <t>!.2 meters FL TUBE</t>
  </si>
  <si>
    <t>wired logitech mice</t>
  </si>
  <si>
    <t>Tablets covers model 7</t>
  </si>
  <si>
    <t>Tablets covers BA Tec</t>
  </si>
  <si>
    <t>USB-C to HDMI Adapter</t>
  </si>
  <si>
    <t>USB Hub</t>
  </si>
  <si>
    <t>OX1987414800029</t>
  </si>
  <si>
    <t>0424-D</t>
  </si>
  <si>
    <t>4G KuWfi wireless(white)</t>
  </si>
  <si>
    <t>MDM-013</t>
  </si>
  <si>
    <t>Display to HDMI connector</t>
  </si>
  <si>
    <t>USB to HDMI connector</t>
  </si>
  <si>
    <t>Two Pin plug</t>
  </si>
  <si>
    <t>Mazda A390 BCG</t>
  </si>
  <si>
    <t>Vehicle Tracker</t>
  </si>
  <si>
    <t>Mazda</t>
  </si>
  <si>
    <t>GPS Tracker</t>
  </si>
  <si>
    <t>Live Configuration</t>
  </si>
  <si>
    <t>Toyota D753 BBJ</t>
  </si>
  <si>
    <t>Toyota</t>
  </si>
  <si>
    <t>Pajero A700 BBV</t>
  </si>
  <si>
    <t>Chargers</t>
  </si>
  <si>
    <t>Cables and Adapters</t>
  </si>
  <si>
    <t>Tools</t>
  </si>
  <si>
    <t>Equipment</t>
  </si>
  <si>
    <t>Kenable Power Cable</t>
  </si>
  <si>
    <t>3-pin Power Cable</t>
  </si>
  <si>
    <t>NVR</t>
  </si>
  <si>
    <t>Tablets Covers model 7</t>
  </si>
  <si>
    <t>TV</t>
  </si>
  <si>
    <t>Ethernet</t>
  </si>
  <si>
    <t>Flat Screw Driver</t>
  </si>
  <si>
    <t>Tablets Screen Protectors</t>
  </si>
  <si>
    <t>Blackberry</t>
  </si>
  <si>
    <t>Blades Set</t>
  </si>
  <si>
    <t>Phone covers</t>
  </si>
  <si>
    <t>Asus</t>
  </si>
  <si>
    <t>Vga</t>
  </si>
  <si>
    <t>Side Cutter</t>
  </si>
  <si>
    <t>Phone Screen Protectors</t>
  </si>
  <si>
    <t>Display to HDMI</t>
  </si>
  <si>
    <t>11.5" Drill Bit Set</t>
  </si>
  <si>
    <t>Flash Drive</t>
  </si>
  <si>
    <t>VGA to HDMI</t>
  </si>
  <si>
    <t>Wire Strippers</t>
  </si>
  <si>
    <t>Power Banks</t>
  </si>
  <si>
    <t>Stripping Gun</t>
  </si>
  <si>
    <t>Extension Cord</t>
  </si>
  <si>
    <t>Pliers</t>
  </si>
  <si>
    <t>Universal Adapters</t>
  </si>
  <si>
    <t>2 Pin Plug Adapter</t>
  </si>
  <si>
    <t>Vice Grip</t>
  </si>
  <si>
    <t>Aux Cable</t>
  </si>
  <si>
    <t>Nail Stripper/Puller</t>
  </si>
  <si>
    <t>Male USB-USB</t>
  </si>
  <si>
    <t>Soldering Iron Sucker</t>
  </si>
  <si>
    <t>Female USB-USB</t>
  </si>
  <si>
    <t>Load Balance/Batrpas</t>
  </si>
  <si>
    <t>USB B 2.0</t>
  </si>
  <si>
    <t>Measuring Tape</t>
  </si>
  <si>
    <t>Stereo Adapters</t>
  </si>
  <si>
    <t>Chisel</t>
  </si>
  <si>
    <t>Victron Energy Power Cables</t>
  </si>
  <si>
    <t>Solar Panels</t>
  </si>
  <si>
    <t>Victron Energy Direct-USB</t>
  </si>
  <si>
    <t>G3 Fatbox Modem</t>
  </si>
  <si>
    <t>Earphone-mic (K-type)</t>
  </si>
  <si>
    <t>POE Switch</t>
  </si>
  <si>
    <t>Antennas</t>
  </si>
  <si>
    <t>WiFi Dongle</t>
  </si>
  <si>
    <t>Smart Switch</t>
  </si>
  <si>
    <t>IOMeter Programmer</t>
  </si>
  <si>
    <t>BI Power Supply</t>
  </si>
  <si>
    <t>Sparkmeter Gateway</t>
  </si>
  <si>
    <t>PC Tire Cable</t>
  </si>
  <si>
    <t>Thermal Sensors</t>
  </si>
  <si>
    <t>Wifi Adapter</t>
  </si>
  <si>
    <t>Speedometer</t>
  </si>
  <si>
    <t>Response Id</t>
  </si>
  <si>
    <t>Request #</t>
  </si>
  <si>
    <t>Revision #</t>
  </si>
  <si>
    <t>Overall Status</t>
  </si>
  <si>
    <t>Requestor</t>
  </si>
  <si>
    <t>Edit Response Url</t>
  </si>
  <si>
    <t>Total Recipients</t>
  </si>
  <si>
    <t>Participant Ids</t>
  </si>
  <si>
    <t>Recipient 1</t>
  </si>
  <si>
    <t>Recipient 1 Status</t>
  </si>
  <si>
    <t>Recipient 1 Issue Date</t>
  </si>
  <si>
    <t>Recipient 1 Response Date</t>
  </si>
  <si>
    <t>Recipient 1 Comment</t>
  </si>
  <si>
    <t>Recipient 1 Settings</t>
  </si>
  <si>
    <t>Recipient 2</t>
  </si>
  <si>
    <t>Recipient 2 Status</t>
  </si>
  <si>
    <t>Recipient 2 Issue Date</t>
  </si>
  <si>
    <t>Recipient 2 Response Date</t>
  </si>
  <si>
    <t>Recipient 2 Comment</t>
  </si>
  <si>
    <t>Recipient 2 Settings</t>
  </si>
  <si>
    <t>Recipient 3</t>
  </si>
  <si>
    <t>Recipient 3 Status</t>
  </si>
  <si>
    <t>Recipient 3 Issue Date</t>
  </si>
  <si>
    <t>Recipient 3 Response Date</t>
  </si>
  <si>
    <t>Recipient 3 Comment</t>
  </si>
  <si>
    <t>Recipient 3 Settings</t>
  </si>
  <si>
    <t>Recipient 4</t>
  </si>
  <si>
    <t>Recipient 4 Status</t>
  </si>
  <si>
    <t>Recipient 4 Issue Date</t>
  </si>
  <si>
    <t>Recipient 4 Response Date</t>
  </si>
  <si>
    <t>Recipient 4 Comment</t>
  </si>
  <si>
    <t>Recipient 4 Settings</t>
  </si>
  <si>
    <t>Recipient 5</t>
  </si>
  <si>
    <t>Recipient 5 Status</t>
  </si>
  <si>
    <t>Recipient 5 Issue Date</t>
  </si>
  <si>
    <t>Recipient 5 Response Date</t>
  </si>
  <si>
    <t>Recipient 5 Comment</t>
  </si>
  <si>
    <t>Recipient 5 Settings</t>
  </si>
  <si>
    <t>Recipient 6</t>
  </si>
  <si>
    <t>Recipient 6 Status</t>
  </si>
  <si>
    <t>Recipient 6 Issue Date</t>
  </si>
  <si>
    <t>Recipient 6 Response Date</t>
  </si>
  <si>
    <t>Recipient 6 Comment</t>
  </si>
  <si>
    <t>Recipient 6 Settings</t>
  </si>
  <si>
    <t>Recipient 7</t>
  </si>
  <si>
    <t>Recipient 7 Status</t>
  </si>
  <si>
    <t>Recipient 7 Issue Date</t>
  </si>
  <si>
    <t>Recipient 7 Response Date</t>
  </si>
  <si>
    <t>Recipient 7 Comment</t>
  </si>
  <si>
    <t>Recipient 7 Settings</t>
  </si>
  <si>
    <t>Recipient 8</t>
  </si>
  <si>
    <t>Recipient 8 Status</t>
  </si>
  <si>
    <t>Recipient 8 Issue Date</t>
  </si>
  <si>
    <t>Recipient 8 Response Date</t>
  </si>
  <si>
    <t>Recipient 8 Comment</t>
  </si>
  <si>
    <t>Recipient 8 Settings</t>
  </si>
  <si>
    <t>Recipient 9</t>
  </si>
  <si>
    <t>Recipient 9 Status</t>
  </si>
  <si>
    <t>Recipient 9 Issue Date</t>
  </si>
  <si>
    <t>Recipient 9 Response Date</t>
  </si>
  <si>
    <t>Recipient 9 Comment</t>
  </si>
  <si>
    <t>Recipient 9 Settings</t>
  </si>
  <si>
    <t>Recipient 10</t>
  </si>
  <si>
    <t>Recipient 10 Status</t>
  </si>
  <si>
    <t>Recipient 10 Issue Date</t>
  </si>
  <si>
    <t>Recipient 10 Response Date</t>
  </si>
  <si>
    <t>Recipient 10 Comment</t>
  </si>
  <si>
    <t>Recipient 10 Settings</t>
  </si>
  <si>
    <t>2_ABaOnue4Eu6_Ad35HQhEU7MQSDxx17F95eiNQfCTzbj_F8Xk82lcrT_WxsY8_naD6h68x0g</t>
  </si>
  <si>
    <t>Complete</t>
  </si>
  <si>
    <t>https://docs.google.com/forms/d/e/1FAIpQLSfozIV5FQqcQNjQaUk40v9z-N0PHEZT8xM98Ndh72nkn88rVw/viewform?edit2=2_ABaOnue4Eu6_Ad35HQhEU7MQSDxx17F95eiNQfCTzbj_F8Xk82lcrT_WxsY8_naD6h68x0g</t>
  </si>
  <si>
    <t>{"Recipients":[{"it-support@1pwrafrica.com":"9e05d7"}]}</t>
  </si>
  <si>
    <t>it-support@1pwrafrica.com</t>
  </si>
  <si>
    <t>Approved</t>
  </si>
  <si>
    <t>Cool</t>
  </si>
  <si>
    <t>{"Order":1,"Role":"Needs to Approve"}</t>
  </si>
  <si>
    <t>2_ABaOnudjurLp6LV8QSahFYxPW0qh8ygNrZhaYXI-VylRQ5sgRXEOmiHoqS6LhnSUJF_A7Mc</t>
  </si>
  <si>
    <t>https://docs.google.com/forms/d/e/1FAIpQLSfozIV5FQqcQNjQaUk40v9z-N0PHEZT8xM98Ndh72nkn88rVw/viewform?edit2=2_ABaOnudjurLp6LV8QSahFYxPW0qh8ygNrZhaYXI-VylRQ5sgRXEOmiHoqS6LhnSUJF_A7Mc</t>
  </si>
  <si>
    <t>{"Recipients":[{"it-support@1pwrafrica.com":"563d42"}]}</t>
  </si>
  <si>
    <t>Will bring it to you sir,
Regards 
Motebang</t>
  </si>
  <si>
    <t>2_ABaOnud-xDqTyBXea4vq8CNk3uI-O3hu3OSTGrPINCeMtBidsMMgHkutA8HFzIcq2Nxq4R0</t>
  </si>
  <si>
    <t>https://docs.google.com/forms/d/e/1FAIpQLSfozIV5FQqcQNjQaUk40v9z-N0PHEZT8xM98Ndh72nkn88rVw/viewform?edit2=2_ABaOnud-xDqTyBXea4vq8CNk3uI-O3hu3OSTGrPINCeMtBidsMMgHkutA8HFzIcq2Nxq4R0</t>
  </si>
  <si>
    <t>{"Recipients":[{"it-support@1pwrafrica.com":"5b1744"}]}</t>
  </si>
  <si>
    <t>Noted ntate, But the problem for now is delay because we will have to ask Matt to come with it from the US.
Regards, 
Motebang</t>
  </si>
  <si>
    <t>2_ABaOnue1kh6j4-3aIPvR8566wUur47LHHE5vyUmInFPBGyMbbD6tWa9FKc7hXC1FUpeLMJQ</t>
  </si>
  <si>
    <t>https://docs.google.com/forms/d/e/1FAIpQLSfozIV5FQqcQNjQaUk40v9z-N0PHEZT8xM98Ndh72nkn88rVw/viewform?edit2=2_ABaOnue1kh6j4-3aIPvR8566wUur47LHHE5vyUmInFPBGyMbbD6tWa9FKc7hXC1FUpeLMJQ</t>
  </si>
  <si>
    <t>{"Recipients":[{"it-support@1pwrafrica.com":"30deeb"}]}</t>
  </si>
  <si>
    <t>test</t>
  </si>
  <si>
    <t>2_ABaOnudEJTUEVNc2CSaWnLue_fW9mhxr6KdaaPeBFRitTJOrR4RIsknyxbRjEXZuaxok4kU</t>
  </si>
  <si>
    <t>https://docs.google.com/forms/d/e/1FAIpQLSfozIV5FQqcQNjQaUk40v9z-N0PHEZT8xM98Ndh72nkn88rVw/viewform?edit2=2_ABaOnudEJTUEVNc2CSaWnLue_fW9mhxr6KdaaPeBFRitTJOrR4RIsknyxbRjEXZuaxok4kU</t>
  </si>
  <si>
    <t>{"Recipients":[{"it-support@1pwrafrica.com":"9957f6"}]}</t>
  </si>
  <si>
    <t>Noted, will discuss this with my colleagues for what need to be done ASAP,
Regards, 
Motebang</t>
  </si>
  <si>
    <t>2_ABaOnuca4xu6hq5XvIc13-ntaT6bMlDoY4n_WcD_w4XPC_MVgzUsj1wUop-IjKrK3pKJxDk</t>
  </si>
  <si>
    <t>In progress</t>
  </si>
  <si>
    <t>https://docs.google.com/forms/d/e/1FAIpQLSfozIV5FQqcQNjQaUk40v9z-N0PHEZT8xM98Ndh72nkn88rVw/viewform?edit2=2_ABaOnuca4xu6hq5XvIc13-ntaT6bMlDoY4n_WcD_w4XPC_MVgzUsj1wUop-IjKrK3pKJxDk</t>
  </si>
  <si>
    <t>{"Recipients":[{"it-support@1pwrafrica.com":"26d992"}]}</t>
  </si>
  <si>
    <t>Current</t>
  </si>
  <si>
    <t>2_ABaOnudHB8wKML1X73pfGpgETyKbERSBy5E_SSv_y90-USBEPJ2DN4cjujjLAhG9WW52j_k</t>
  </si>
  <si>
    <t>https://docs.google.com/forms/d/e/1FAIpQLSfozIV5FQqcQNjQaUk40v9z-N0PHEZT8xM98Ndh72nkn88rVw/viewform?edit2=2_ABaOnudHB8wKML1X73pfGpgETyKbERSBy5E_SSv_y90-USBEPJ2DN4cjujjLAhG9WW52j_k</t>
  </si>
  <si>
    <t>{"Recipients":[{"it-support@1pwrafrica.com":"2df96b"}]}</t>
  </si>
  <si>
    <t>2_ABaOnucbmw1RilpVWedpHjBFAUNYMOXo2q_OnOhVbdxYZSpyb1afIMDLrxKBY37Zvjc5Xic</t>
  </si>
  <si>
    <t>https://docs.google.com/forms/d/e/1FAIpQLSfozIV5FQqcQNjQaUk40v9z-N0PHEZT8xM98Ndh72nkn88rVw/viewform?edit2=2_ABaOnucbmw1RilpVWedpHjBFAUNYMOXo2q_OnOhVbdxYZSpyb1afIMDLrxKBY37Zvjc5Xic</t>
  </si>
  <si>
    <t>{"Recipients":[{"it-support@1pwrafrica.com":"99c6aa"}]}</t>
  </si>
  <si>
    <t>I'm on it, Will be resolved.
Regards,
Motebang</t>
  </si>
  <si>
    <t>2_ABaOnudJzcqFjAG1XvUNWcKlFZeawfyXRSiLHHmz0QhFN40yJkJXoIMRY_6NyWx0uxXGU1A</t>
  </si>
  <si>
    <t>https://docs.google.com/forms/d/e/1FAIpQLSfozIV5FQqcQNjQaUk40v9z-N0PHEZT8xM98Ndh72nkn88rVw/viewform?edit2=2_ABaOnudJzcqFjAG1XvUNWcKlFZeawfyXRSiLHHmz0QhFN40yJkJXoIMRY_6NyWx0uxXGU1A</t>
  </si>
  <si>
    <t>{"Recipients":[{"it-support@1pwrafrica.com":"f82741"}]}</t>
  </si>
  <si>
    <t>We will let people responsible for such maintanances resolve that. Tumisang is absent and we do not have a spare multiplug.
Regards,
Motebang</t>
  </si>
  <si>
    <t>2_ABaOnufqRSi40ZhvlzspC-Vk8CDJ5RbjEG5ck5Zohcb1QQECiu38SMaTlsAH6VUM4_tRjYY</t>
  </si>
  <si>
    <t>https://docs.google.com/forms/d/e/1FAIpQLSfozIV5FQqcQNjQaUk40v9z-N0PHEZT8xM98Ndh72nkn88rVw/viewform?edit2=2_ABaOnufqRSi40ZhvlzspC-Vk8CDJ5RbjEG5ck5Zohcb1QQECiu38SMaTlsAH6VUM4_tRjYY</t>
  </si>
  <si>
    <t>{"Recipients":[{"it-support@1pwrafrica.com":"411e70"}]}</t>
  </si>
  <si>
    <t>Yes, it has to have it. I will come around to help regarding that.
Regards,
Motebang</t>
  </si>
  <si>
    <t>2_ABaOnuczbTnIl-__iv7abFm9k7FdjOi1zpdcVefX2FPV5FjjMl_JdFO5ZLMPwAwYkjdtXWw</t>
  </si>
  <si>
    <t>https://docs.google.com/forms/d/e/1FAIpQLSfozIV5FQqcQNjQaUk40v9z-N0PHEZT8xM98Ndh72nkn88rVw/viewform?edit2=2_ABaOnuczbTnIl-__iv7abFm9k7FdjOi1zpdcVefX2FPV5FjjMl_JdFO5ZLMPwAwYkjdtXWw</t>
  </si>
  <si>
    <t>{"Recipients":[{"it-support@1pwrafrica.com":"54aff5"}]}</t>
  </si>
  <si>
    <t>2_ABaOnueqMXi5tSqNk49VVxy61YJ-VKr5aAxrZUJjOFqb_g_46CdV0T-WZbtEnCZDtgzeO8U</t>
  </si>
  <si>
    <t>https://docs.google.com/forms/d/e/1FAIpQLSfozIV5FQqcQNjQaUk40v9z-N0PHEZT8xM98Ndh72nkn88rVw/viewform?edit2=2_ABaOnueqMXi5tSqNk49VVxy61YJ-VKr5aAxrZUJjOFqb_g_46CdV0T-WZbtEnCZDtgzeO8U</t>
  </si>
  <si>
    <t>{"Recipients":[{"it-support@1pwrafrica.com":"5a3400"}]}</t>
  </si>
  <si>
    <t>2_ABaOnufC8y503gzhce0cm96FFTNhQ4B3gQSHmVWuB7GGKbEmBHxhecskjENFRVXFCrcFAg4</t>
  </si>
  <si>
    <t>https://docs.google.com/forms/d/e/1FAIpQLSfozIV5FQqcQNjQaUk40v9z-N0PHEZT8xM98Ndh72nkn88rVw/viewform?edit2=2_ABaOnufC8y503gzhce0cm96FFTNhQ4B3gQSHmVWuB7GGKbEmBHxhecskjENFRVXFCrcFAg4</t>
  </si>
  <si>
    <t>{"Recipients":[{"it-support@1pwrafrica.com":"891ef4"}]}</t>
  </si>
  <si>
    <t>Ntate Jonase, your request is noted but  we currently do not have available laptops in the office. We will allocate you one when they are here.
Regards,
Motebang</t>
  </si>
  <si>
    <t>2_ABaOnud6vK1U6ocPiYV0eHtp-aD1Jy8R1fHifm-izkmhVVHkRglaSD2-vtCjPj9xbBq4Rdg</t>
  </si>
  <si>
    <t>https://docs.google.com/forms/d/e/1FAIpQLSfozIV5FQqcQNjQaUk40v9z-N0PHEZT8xM98Ndh72nkn88rVw/viewform?edit2=2_ABaOnud6vK1U6ocPiYV0eHtp-aD1Jy8R1fHifm-izkmhVVHkRglaSD2-vtCjPj9xbBq4Rdg</t>
  </si>
  <si>
    <t>{"Recipients":[{"it-support@1pwrafrica.com":"6aa5f5"}]}</t>
  </si>
  <si>
    <t>2_ABaOnudOZMLJJFL-J0hJ9fD9xL9BhW5VRcHLMgz-KPk7dMliRZ13Z401hRPAh1DGRvKDhoo</t>
  </si>
  <si>
    <t>https://docs.google.com/forms/d/e/1FAIpQLSfozIV5FQqcQNjQaUk40v9z-N0PHEZT8xM98Ndh72nkn88rVw/viewform?edit2=2_ABaOnudOZMLJJFL-J0hJ9fD9xL9BhW5VRcHLMgz-KPk7dMliRZ13Z401hRPAh1DGRvKDhoo</t>
  </si>
  <si>
    <t>{"Recipients":[{"it-support@1pwrafrica.com":"cae945"}]}</t>
  </si>
  <si>
    <t>2_ABaOnudw6QRmmFAKoeX4tBp05NDTXUo0du2C3cvSQayHH5_r8yCdObh-XUsjGfSF_2RGESY</t>
  </si>
  <si>
    <t>https://docs.google.com/forms/d/e/1FAIpQLSfozIV5FQqcQNjQaUk40v9z-N0PHEZT8xM98Ndh72nkn88rVw/viewform?edit2=2_ABaOnudw6QRmmFAKoeX4tBp05NDTXUo0du2C3cvSQayHH5_r8yCdObh-XUsjGfSF_2RGESY</t>
  </si>
  <si>
    <t>{"Recipients":[{"it-support@1pwrafrica.com":"7fe1b8"}]}</t>
  </si>
  <si>
    <t>2_ABaOnucnGo7KBHFENF-jgHWkiRhzKeeOVndIybRvisjxoiZ745JMg0xP3tbB7GbpiG-hu3A</t>
  </si>
  <si>
    <t>https://docs.google.com/forms/d/e/1FAIpQLSfozIV5FQqcQNjQaUk40v9z-N0PHEZT8xM98Ndh72nkn88rVw/viewform?edit2=2_ABaOnucnGo7KBHFENF-jgHWkiRhzKeeOVndIybRvisjxoiZ745JMg0xP3tbB7GbpiG-hu3A</t>
  </si>
  <si>
    <t>{"Recipients":[{"it-support@1pwrafrica.com":"2cbf20"}]}</t>
  </si>
  <si>
    <t>2_ABaOnufTJdP4DiN6eWLgFMUgRIvWv6lNkwbiCq5_81-Sg4b5zkCtXKMw0CNQ2zZSap1BgrM</t>
  </si>
  <si>
    <t>https://docs.google.com/forms/d/e/1FAIpQLSfozIV5FQqcQNjQaUk40v9z-N0PHEZT8xM98Ndh72nkn88rVw/viewform?edit2=2_ABaOnufTJdP4DiN6eWLgFMUgRIvWv6lNkwbiCq5_81-Sg4b5zkCtXKMw0CNQ2zZSap1BgrM</t>
  </si>
  <si>
    <t>{"Recipients":[{"it-support@1pwrafrica.com":"1aa233"}]}</t>
  </si>
  <si>
    <t>2_ABaOnuecrtdfp4dLK5zxwKJufZRTJ8GiN4GjM-Yuwya_JnJ7NlIaA4o3lH0dljQXfYsiLrA</t>
  </si>
  <si>
    <t>https://docs.google.com/forms/d/e/1FAIpQLSfozIV5FQqcQNjQaUk40v9z-N0PHEZT8xM98Ndh72nkn88rVw/viewform?edit2=2_ABaOnuecrtdfp4dLK5zxwKJufZRTJ8GiN4GjM-Yuwya_JnJ7NlIaA4o3lH0dljQXfYsiLrA</t>
  </si>
  <si>
    <t>{"Recipients":[{"it-support@1pwrafrica.com":"d7e968"}]}</t>
  </si>
  <si>
    <t>2_ABaOnufWELP0RrG4QN1k4zZsFcckF7oztfwh4edD8w9itsYPC7T3xUH1Ysr6w41F4abFC-8</t>
  </si>
  <si>
    <t>https://docs.google.com/forms/d/e/1FAIpQLSfozIV5FQqcQNjQaUk40v9z-N0PHEZT8xM98Ndh72nkn88rVw/viewform?edit2=2_ABaOnufWELP0RrG4QN1k4zZsFcckF7oztfwh4edD8w9itsYPC7T3xUH1Ysr6w41F4abFC-8</t>
  </si>
  <si>
    <t>{"Recipients":[{"it-support@1pwrafrica.com":"124408"}]}</t>
  </si>
  <si>
    <t>#</t>
  </si>
  <si>
    <t>Unique Request #</t>
  </si>
  <si>
    <t>Respondent</t>
  </si>
  <si>
    <t>Final Status</t>
  </si>
  <si>
    <t>Recipient 1
Email</t>
  </si>
  <si>
    <t>Recipient 1
Status</t>
  </si>
  <si>
    <t>Recipient 1
Comment</t>
  </si>
  <si>
    <t>Recipient 1
Response Date</t>
  </si>
  <si>
    <t>Recipient 2
Email</t>
  </si>
  <si>
    <t>Recipient 2
Status</t>
  </si>
  <si>
    <t>Recipient 2
Comment</t>
  </si>
  <si>
    <t>Recipient 2
Response Date</t>
  </si>
  <si>
    <t>Recipient 3
Email</t>
  </si>
  <si>
    <t>Recipient 3
Status</t>
  </si>
  <si>
    <t>Recipient 3
Comment</t>
  </si>
  <si>
    <t>Recipient 3
Response Date</t>
  </si>
  <si>
    <t>Recipient 4
Email</t>
  </si>
  <si>
    <t>Recipient 4
Status</t>
  </si>
  <si>
    <t>Recipient 4
Comment</t>
  </si>
  <si>
    <t>Recipient 4
Response Date</t>
  </si>
  <si>
    <t>Recipient 5
Email</t>
  </si>
  <si>
    <t>Recipient 5
Status</t>
  </si>
  <si>
    <t>Recipient 5
Comment</t>
  </si>
  <si>
    <t>Recipient 5
Response Date</t>
  </si>
  <si>
    <t>Recipient 6
Email</t>
  </si>
  <si>
    <t>Recipient 6
Status</t>
  </si>
  <si>
    <t>Recipient 6
Comment</t>
  </si>
  <si>
    <t>Recipient 6
Response Date</t>
  </si>
  <si>
    <t>Recipient 7
Email</t>
  </si>
  <si>
    <t>Recipient 7
Status</t>
  </si>
  <si>
    <t>Recipient 7
Comment</t>
  </si>
  <si>
    <t>Recipient 7
Response Date</t>
  </si>
  <si>
    <t>Recipient 8
Email</t>
  </si>
  <si>
    <t>Recipient 8
Status</t>
  </si>
  <si>
    <t>Recipient 8
Comment</t>
  </si>
  <si>
    <t>Recipient 8
Response Date</t>
  </si>
  <si>
    <t>Recipient 9
Email</t>
  </si>
  <si>
    <t>Recipient 9
Status</t>
  </si>
  <si>
    <t>Recipient 9
Comment</t>
  </si>
  <si>
    <t>Recipient 9
Response Date</t>
  </si>
  <si>
    <t>Recipient 10
Email</t>
  </si>
  <si>
    <t>Recipient 10
Status</t>
  </si>
  <si>
    <t>Recipient 10
Comment</t>
  </si>
  <si>
    <t>Recipient 10
Response Date</t>
  </si>
  <si>
    <t>05/31/2022 09:12:44</t>
  </si>
  <si>
    <t>cadkikine@gmail.com</t>
  </si>
  <si>
    <t>Rejected</t>
  </si>
  <si>
    <t>05/31/2022 09:16:32</t>
  </si>
  <si>
    <t>05/31/2022 09:21:09</t>
  </si>
  <si>
    <t>.</t>
  </si>
  <si>
    <t>05/31/2022 09:23:00</t>
  </si>
  <si>
    <t>05/31/2022 09:24:35</t>
  </si>
  <si>
    <t>In Progress</t>
  </si>
  <si>
    <t>05/31/2022 09:25:40</t>
  </si>
  <si>
    <t>makhoalinyane@1pwrafrica.com</t>
  </si>
  <si>
    <t>mosehle@1pwrafrica.com</t>
  </si>
  <si>
    <t>kubutu@1pwrafrica.com</t>
  </si>
  <si>
    <t>ernestmoloantoateb@gmail.com</t>
  </si>
  <si>
    <t>monoane@1pwrafrica.com</t>
  </si>
  <si>
    <t>leloko@1pwrafrica.com</t>
  </si>
  <si>
    <t>makoetje@1pwrafrica.com</t>
  </si>
  <si>
    <t>jopi@1pwrafrica.com</t>
  </si>
  <si>
    <t>moeketse@1pwrafrica.com</t>
  </si>
  <si>
    <t xml:space="preserve">It is being attended to. </t>
  </si>
  <si>
    <t>jonase@1pwrafrica.com</t>
  </si>
  <si>
    <t>david@1pwrafrica.com</t>
  </si>
  <si>
    <t>lichabajameswest@gmail.com</t>
  </si>
  <si>
    <t>We are still waiting fopr the laptops that Matt told us he will come with so once they are here we will give you one.</t>
  </si>
  <si>
    <t>mothomotsoanabk@gmail.com</t>
  </si>
  <si>
    <t>mlanjenijoshua@gmail.com</t>
  </si>
  <si>
    <t>abele@1pwrafrica.com</t>
  </si>
  <si>
    <t>phoka@1pwrafrica.com</t>
  </si>
  <si>
    <t>06/13/2022 10:51:02</t>
  </si>
  <si>
    <t>06/13/2022 06:12:21</t>
  </si>
  <si>
    <t>thakhisinthabiseng@gmail.com</t>
  </si>
  <si>
    <t>06/13/2022 07:08:18</t>
  </si>
  <si>
    <t>06/13/2022 09:43:16</t>
  </si>
  <si>
    <t>maferete@1pwrafrica.com</t>
  </si>
  <si>
    <t>The parts are currently unavailable. Please make an equipment request.</t>
  </si>
  <si>
    <t>06/13/2022 10:05:45</t>
  </si>
  <si>
    <t>06/13/2022 10:08:35</t>
  </si>
  <si>
    <t>06/13/2022 10:37:04</t>
  </si>
  <si>
    <t>morema@1pwrafrica.com</t>
  </si>
  <si>
    <t>06/13/2022 10:40:54</t>
  </si>
  <si>
    <t>Noted. We'll have to make a request for it's replacement.</t>
  </si>
  <si>
    <t>06/13/2022 10:48:32</t>
  </si>
  <si>
    <t>06/13/2022 10:50:01</t>
  </si>
  <si>
    <t>06/13/2022 10:55:52</t>
  </si>
  <si>
    <t>06/13/2022 11:22:09</t>
  </si>
  <si>
    <t>06/13/2022 15:10:53</t>
  </si>
  <si>
    <t>06/14/2022 07:34:14</t>
  </si>
  <si>
    <t>06/14/2022 07:41:03</t>
  </si>
  <si>
    <t>Ramatla@1pwrafrica.com</t>
  </si>
  <si>
    <t>06/14/2022 09:44:56</t>
  </si>
  <si>
    <t>molefe@1pwrafrica.com</t>
  </si>
  <si>
    <t>Please communicate with Mme Molefi</t>
  </si>
  <si>
    <t>06/14/2022 02:42:18</t>
  </si>
  <si>
    <t>06/15/2022 13:35:52</t>
  </si>
  <si>
    <t>06/15/2022 01:37:26</t>
  </si>
  <si>
    <t>06/15/2022 13:41:50</t>
  </si>
  <si>
    <t>tkemathaba@gmail.com</t>
  </si>
  <si>
    <t>You don't just decide this. Talk to your lead, IT does not deal with company finances also.</t>
  </si>
  <si>
    <t>06/15/2022 01:46:25</t>
  </si>
  <si>
    <t>06/17/2022 07:25:09</t>
  </si>
  <si>
    <t>06/17/2022 07:43:30</t>
  </si>
  <si>
    <t>06/17/2022 07:59:50</t>
  </si>
  <si>
    <t>06/17/2022 09:08:57</t>
  </si>
  <si>
    <t>06/17/2022 08:44:57</t>
  </si>
  <si>
    <t>Tou will have access to Cappped Wi-Fi for today.</t>
  </si>
  <si>
    <t>06/17/2022 09:07:59</t>
  </si>
  <si>
    <t>06/17/2022 09:07:10</t>
  </si>
  <si>
    <t>You can come get a mouse pad.</t>
  </si>
  <si>
    <t>06/17/2022 09:09:36</t>
  </si>
  <si>
    <t>06/20/2022 09:58:05</t>
  </si>
  <si>
    <t>06/20/2022 01:18:19</t>
  </si>
  <si>
    <t>06/21/2022 13:25:39</t>
  </si>
  <si>
    <t>Noted. We will do that.</t>
  </si>
  <si>
    <t>06/21/2022 08:00:03</t>
  </si>
  <si>
    <t>06/22/2022 14:23:34</t>
  </si>
  <si>
    <t>Solved.</t>
  </si>
  <si>
    <t>06/22/2022 02:47:19</t>
  </si>
  <si>
    <t>06/23/2022 09:53:11</t>
  </si>
  <si>
    <t>Can attach a screenshot?</t>
  </si>
  <si>
    <t>06/23/2022 10:09:37</t>
  </si>
  <si>
    <t>06/23/2022 09:57:30</t>
  </si>
  <si>
    <t>06/27/2022 08:29:52</t>
  </si>
  <si>
    <t>06/27/2022 14:23:11</t>
  </si>
  <si>
    <t>06/27/2022 15:17:13</t>
  </si>
  <si>
    <t>06/29/2022 06:05:59</t>
  </si>
  <si>
    <t>06/29/2022 07:39:59</t>
  </si>
  <si>
    <t>gabriellamorongwa@gmail.com</t>
  </si>
  <si>
    <t>06/29/2022 08:54:52</t>
  </si>
  <si>
    <t>neo@1pwrafrica.com</t>
  </si>
  <si>
    <t>06/30/2022 15:07:52</t>
  </si>
  <si>
    <t>letseka@1pwrafrica.com</t>
  </si>
  <si>
    <t>mokoatle@1pwrafrica.com</t>
  </si>
  <si>
    <t>monaheng@1pwrafrica.com</t>
  </si>
  <si>
    <t>mokoantle@1pwrafrica.com</t>
  </si>
  <si>
    <t>deon@1pwrafrica.com</t>
  </si>
  <si>
    <t>palama@1pwrafrica.com</t>
  </si>
  <si>
    <t>mosoeunyanebotle@gmail.com</t>
  </si>
  <si>
    <t>please come and get it at 10:10hrs</t>
  </si>
  <si>
    <t>serobanyane@1pwrafrica.com</t>
  </si>
  <si>
    <t>Hey Neo,
We currently do not have additional laptops in stock. We can get you an Ethernet to USB adaptor instead. We will make a purchase request today and hopefully buy it tomorrow.
Regards,
Morema</t>
  </si>
  <si>
    <t>ralefaso@1pwrafrica.com</t>
  </si>
  <si>
    <t>Hey Raphoka, 
Go to https://app.clickup.com/login and click on the "Forgot Password?" link. Please let me know if you still have issues.
Regards,
Morema</t>
  </si>
  <si>
    <t>josias@1pwrafrica.com</t>
  </si>
  <si>
    <t>Sure, 
Ke tlo u fa eona.
Morema</t>
  </si>
  <si>
    <t>Noted, we are gonna have to get a mouse and then will give you those.</t>
  </si>
  <si>
    <t>07/13/2022 09:39:22</t>
  </si>
  <si>
    <t>07/13/2022 10:05:55</t>
  </si>
  <si>
    <t>thabo@1pwrafrica.com</t>
  </si>
  <si>
    <t>m</t>
  </si>
  <si>
    <t>07/13/2022 12:25:31</t>
  </si>
  <si>
    <t>07/13/2022 11:59:20</t>
  </si>
  <si>
    <t>07/14/2022 05:11:52</t>
  </si>
  <si>
    <t>rethabile@1pwrafrica.com</t>
  </si>
  <si>
    <t>07/14/2022 07:49:11</t>
  </si>
  <si>
    <t>07/14/2022 09:48:32</t>
  </si>
  <si>
    <t>Will bring it to you Mme. 
Regards,
Motebang</t>
  </si>
  <si>
    <t>07/14/2022 10:17:17</t>
  </si>
  <si>
    <t>07/14/2022 12:13:20</t>
  </si>
  <si>
    <t>Got it?
Morema</t>
  </si>
  <si>
    <t>07/14/2022 01:37:19</t>
  </si>
  <si>
    <t>07/15/2022 07:38:15</t>
  </si>
  <si>
    <t>07/18/2022 07:01:58</t>
  </si>
  <si>
    <t>07/15/2022 14:01:27</t>
  </si>
  <si>
    <t>07/18/2022 07:30:11</t>
  </si>
  <si>
    <t>07/18/2022 09:04:06</t>
  </si>
  <si>
    <t>07/18/2022 08:32:31</t>
  </si>
  <si>
    <t>07/18/2022 09:25:56</t>
  </si>
  <si>
    <t>You can collect it from the EE Area.
- Morema</t>
  </si>
  <si>
    <t>07/18/2022 09:33:59</t>
  </si>
  <si>
    <t>07/19/2022 14:43:42</t>
  </si>
  <si>
    <t>kekeletso@1pwrafrica.com</t>
  </si>
  <si>
    <t>You can come and get it mme.
Regards,
Motebang</t>
  </si>
  <si>
    <t>07/19/2022 03:09:42</t>
  </si>
  <si>
    <t>07/20/2022 15:00:45</t>
  </si>
  <si>
    <t>Hey Deon, 
We have updated the approver list.
Regards,
Morema</t>
  </si>
  <si>
    <t>07/20/2022 03:41:37</t>
  </si>
  <si>
    <t>07/22/2022 06:52:25</t>
  </si>
  <si>
    <t>moirema@1pwrafrica.com</t>
  </si>
  <si>
    <t>07/22/2022 07:13:41</t>
  </si>
  <si>
    <t>rasekeiti@1pwrafrica.com</t>
  </si>
  <si>
    <t>07/22/2022 07:32:32</t>
  </si>
  <si>
    <t>07/22/2022 07:33:16</t>
  </si>
  <si>
    <t>Your request is noted please hold on for sometime we have put the request to August budget</t>
  </si>
  <si>
    <t>07/22/2022 07:44:09</t>
  </si>
  <si>
    <t>07/22/2022 09:03:10</t>
  </si>
  <si>
    <t>maferete37@gmail.com</t>
  </si>
  <si>
    <t>07/26/2022 10:32:31</t>
  </si>
  <si>
    <t>07/26/2022 11:07:30</t>
  </si>
  <si>
    <t>07/27/2022 07:47:39</t>
  </si>
  <si>
    <t>07/27/2022 12:10:53</t>
  </si>
  <si>
    <t>07/27/2022 12:20:28</t>
  </si>
  <si>
    <t>07/29/2022 13:09:55</t>
  </si>
  <si>
    <t>07/29/2022 13:25:49</t>
  </si>
  <si>
    <t>Hello Mme Mor, your ticket is noted. We will attend the issue.
Regards
Motebang</t>
  </si>
  <si>
    <t>09/13/2022 06:19:25</t>
  </si>
  <si>
    <t>09/13/2022 06:29:18</t>
  </si>
  <si>
    <t>09/13/2022 09:07:42</t>
  </si>
  <si>
    <t>NOTED MR. THABO. I WILL COME TO YOUR DESK AND HELP YOU WITH IT. 
REGARDS, 
MOTEBANG.</t>
  </si>
  <si>
    <t>09/13/2022 09:23:07</t>
  </si>
  <si>
    <t>09/13/2022 12:39:38</t>
  </si>
  <si>
    <t>Hey Refiloe, Your request has been approved and in progress. thank you for your request for assistance 
Regards,
Bokang Mothomotsoana</t>
  </si>
  <si>
    <t>09/13/2022 01:25:58</t>
  </si>
  <si>
    <t>09/14/2022 08:43:30</t>
  </si>
  <si>
    <t xml:space="preserve">Noted, You will be assisted.
</t>
  </si>
  <si>
    <t>09/14/2022 08:45:39</t>
  </si>
  <si>
    <t>09/15/2022 06:47:03</t>
  </si>
  <si>
    <t>09/15/2022 07:20:55</t>
  </si>
  <si>
    <t>09/15/2022 08:05:22</t>
  </si>
  <si>
    <t>09/15/2022 08:32:43</t>
  </si>
  <si>
    <t>09/15/2022 11:01:48</t>
  </si>
  <si>
    <t>09/15/2022 11:03:26</t>
  </si>
  <si>
    <t>09/15/2022 14:59:08</t>
  </si>
  <si>
    <t>09/16/2022 04:46:41</t>
  </si>
  <si>
    <t>09/15/2022 15:26:33</t>
  </si>
  <si>
    <t>09/16/2022 08:59:30</t>
  </si>
  <si>
    <t>Info Requested</t>
  </si>
  <si>
    <t>Will be attended to.</t>
  </si>
  <si>
    <t>09/16/2022 09:01:28</t>
  </si>
  <si>
    <t>09/16/2022 09:26:16</t>
  </si>
  <si>
    <t>09/16/2022 09:31:52</t>
  </si>
  <si>
    <t>09/16/2022 13:32:36</t>
  </si>
  <si>
    <t>09/19/2022 05:49:27</t>
  </si>
  <si>
    <t>09/19/2022 05:20:56</t>
  </si>
  <si>
    <t>Thank you for your feedback on our system, your request has been taken into consideration. regards Bokang Mothomotsoana</t>
  </si>
  <si>
    <t>09/19/2022 05:46:37</t>
  </si>
  <si>
    <t>09/19/2022 05:53:13</t>
  </si>
  <si>
    <t>09/19/2022 08:17:08</t>
  </si>
  <si>
    <t>09/19/2022 07:17:01</t>
  </si>
  <si>
    <t>You just write down your 1pwr email on the form you are using and you will get responses on that email. Will come to you desk andd assist you. 
Regards,
Motebang</t>
  </si>
  <si>
    <t>09/19/2022 08:19:23</t>
  </si>
  <si>
    <t>09/19/2022 08:52:48</t>
  </si>
  <si>
    <t>Noted Ntate, This problem is one of those that we are still working on to resolve. Regards, Motebang.</t>
  </si>
  <si>
    <t>09/19/2022 09:02:46</t>
  </si>
  <si>
    <t>09/19/2022 13:15:03</t>
  </si>
  <si>
    <t>09/20/2022 05:05:59</t>
  </si>
  <si>
    <t>09/19/2022 16:28:49</t>
  </si>
  <si>
    <t>09/20/2022 05:06:46</t>
  </si>
  <si>
    <t>09/19/2022 18:53:40</t>
  </si>
  <si>
    <t>09/20/2022 05:20:41</t>
  </si>
  <si>
    <t>09/21/2022 08:00:09</t>
  </si>
  <si>
    <t>09/21/2022 08:07:26</t>
  </si>
  <si>
    <t>09/21/2022 08:22:58</t>
  </si>
  <si>
    <t>09/21/2022 08:26:50</t>
  </si>
  <si>
    <t>09/21/2022 08:37:51</t>
  </si>
  <si>
    <t>09/21/2022 08:42:26</t>
  </si>
  <si>
    <t>09/21/2022 09:45:23</t>
  </si>
  <si>
    <t>09/21/2022 09:47:31</t>
  </si>
  <si>
    <t>09/21/2022 14:17:32</t>
  </si>
  <si>
    <t>Coming to help you right now. Motebang</t>
  </si>
  <si>
    <t>09/21/2022 02:31:11</t>
  </si>
  <si>
    <t>09/22/2022 08:15:13</t>
  </si>
  <si>
    <t>Thank you for reaching us out, will shortly get back to you. Regards Bokang</t>
  </si>
  <si>
    <t>09/22/2022 09:18:26</t>
  </si>
  <si>
    <t>09/22/2022 11:58:49</t>
  </si>
  <si>
    <t>09/22/2022 12:00:16</t>
  </si>
  <si>
    <t>09/22/2022 13:29:49</t>
  </si>
  <si>
    <t>09/22/2022 01:32:38</t>
  </si>
  <si>
    <t>09/23/2022 06:44:55</t>
  </si>
  <si>
    <t>Hello, thank you for reaching out on 1PWR IT support Helpdesk - We will attend to your issue soon. Regards, Motebang</t>
  </si>
  <si>
    <t>09/23/2022 09:28:07</t>
  </si>
  <si>
    <t>09/23/2022 08:08:24</t>
  </si>
  <si>
    <t>09/23/2022 09:31:16</t>
  </si>
  <si>
    <t>09/23/2022 09:32:46</t>
  </si>
  <si>
    <t>09/26/2022 09:11:10</t>
  </si>
  <si>
    <t>Thank you for reaching us out, please let us know when you are around so we can assist you, regards Bokang</t>
  </si>
  <si>
    <t>09/26/2022 10:01:05</t>
  </si>
  <si>
    <t>09/26/2022 09:44:22</t>
  </si>
  <si>
    <t>09/26/2022 10:03:05</t>
  </si>
  <si>
    <t>09/26/2022 11:56:25</t>
  </si>
  <si>
    <t>09/26/2022 12:15:26</t>
  </si>
  <si>
    <t>09/26/2022 13:01:30</t>
  </si>
  <si>
    <t>Thank you for reaching us our, can you please get in-touch with me. regards Bokang 5048 0814</t>
  </si>
  <si>
    <t>09/26/2022 01:44:12</t>
  </si>
  <si>
    <t>09/27/2022 04:49:58</t>
  </si>
  <si>
    <t>09/27/2022 04:52:03</t>
  </si>
  <si>
    <t>09/27/2022 05:57:41</t>
  </si>
  <si>
    <t>09/27/2022 06:02:53</t>
  </si>
  <si>
    <t>09/27/2022 07:04:25</t>
  </si>
  <si>
    <t>Hello 'M'e, thank you for reaching out on 1PWR IT support Helpdesk - We will attend to your issue soon. Regards, Motebang</t>
  </si>
  <si>
    <t>09/27/2022 07:07:40</t>
  </si>
  <si>
    <t>09/27/2022 11:00:31</t>
  </si>
  <si>
    <t>09/27/2022 11:05:42</t>
  </si>
  <si>
    <t>09/27/2022 13:55:05</t>
  </si>
  <si>
    <t>09/27/2022 02:37:31</t>
  </si>
  <si>
    <t>09/28/2022 05:45:08</t>
  </si>
  <si>
    <t>Thank you for your attention mme, your ticket is under consideration. Regards Bokang</t>
  </si>
  <si>
    <t>09/28/2022 05:50:11</t>
  </si>
  <si>
    <t>09/28/2022 12:16:39</t>
  </si>
  <si>
    <t>09/28/2022 12:22:05</t>
  </si>
  <si>
    <t>09/29/2022 10:48:26</t>
  </si>
  <si>
    <t>09/29/2022 11:51:26</t>
  </si>
  <si>
    <t>09/29/2022 13:14:24</t>
  </si>
  <si>
    <t>09/29/2022 01:20:02</t>
  </si>
  <si>
    <t>09/30/2022 07:10:19</t>
  </si>
  <si>
    <t>09/30/2022 07:28:34</t>
  </si>
  <si>
    <t>09/30/2022 07:12:57</t>
  </si>
  <si>
    <t>You need to login with your onepower email to access that data. regards Bokang</t>
  </si>
  <si>
    <t>Ntate Jonase, Kindly note that your issue is noted. but it will not be priorized for now. 
Regards</t>
  </si>
  <si>
    <t>10/13/2022 06:57:43</t>
  </si>
  <si>
    <t>Thank you for reaching  us out, coming to help you. regards Bokang</t>
  </si>
  <si>
    <t>10/13/2022 07:27:33</t>
  </si>
  <si>
    <t>10/14/2022 08:19:20</t>
  </si>
  <si>
    <t>10/14/2022 08:27:58</t>
  </si>
  <si>
    <t>10/17/2022 12:56:57</t>
  </si>
  <si>
    <t>10/17/2022 03:11:01</t>
  </si>
  <si>
    <t>10/17/2022 13:58:02</t>
  </si>
  <si>
    <t>10/18/2022 08:51:55</t>
  </si>
  <si>
    <t>10/18/2022 08:56:02</t>
  </si>
  <si>
    <t>10/18/2022 09:06:36</t>
  </si>
  <si>
    <t>10/18/2022 10:29:29</t>
  </si>
  <si>
    <t>10/18/2022 10:33:28</t>
  </si>
  <si>
    <t>10/18/2022 10:50:16</t>
  </si>
  <si>
    <t>10/18/2022 12:21:37</t>
  </si>
  <si>
    <t>10/18/2022 12:47:19</t>
  </si>
  <si>
    <t>10/18/2022 01:46:07</t>
  </si>
  <si>
    <t>10/18/2022 15:22:51</t>
  </si>
  <si>
    <t>10/19/2022 05:55:30</t>
  </si>
  <si>
    <t>Thank you for requesting MOU007. regards Bokang</t>
  </si>
  <si>
    <t>10/19/2022 06:21:21</t>
  </si>
  <si>
    <t>10/19/2022 07:06:34</t>
  </si>
  <si>
    <t>10/19/2022 07:56:31</t>
  </si>
  <si>
    <t>10/19/2022 08:03:41</t>
  </si>
  <si>
    <t>10/19/2022 08:11:12</t>
  </si>
  <si>
    <t>10/19/2022 08:34:51</t>
  </si>
  <si>
    <t>10/19/2022 08:47:25</t>
  </si>
  <si>
    <t>10/20/2022 07:32:17</t>
  </si>
  <si>
    <t>10/20/2022 07:34:13</t>
  </si>
  <si>
    <t>10/21/2022 05:47:51</t>
  </si>
  <si>
    <t>10/21/2022 07:02:17</t>
  </si>
  <si>
    <t>10/24/2022 09:32:29</t>
  </si>
  <si>
    <t>10/24/2022 12:53:49</t>
  </si>
  <si>
    <t>10/24/2022 09:56:14</t>
  </si>
  <si>
    <t>10/24/2022 14:39:14</t>
  </si>
  <si>
    <t>10/24/2022 14:56:51</t>
  </si>
  <si>
    <t>10/26/2022 08:05:54</t>
  </si>
  <si>
    <t>10/26/2022 15:20:02</t>
  </si>
  <si>
    <t>10/27/2022 06:06:39</t>
  </si>
  <si>
    <t>10/27/2022 08:20:11</t>
  </si>
  <si>
    <t>10/27/2022 08:17:57</t>
  </si>
  <si>
    <t>Your purpose is not valid. regards bokang</t>
  </si>
  <si>
    <t>10/27/2022 08:19:03</t>
  </si>
  <si>
    <t>10/27/2022 08:24:59</t>
  </si>
  <si>
    <t>10/27/2022 08:26:09</t>
  </si>
  <si>
    <t>10/27/2022 08:28:01</t>
  </si>
  <si>
    <t>10/27/2022 09:00:44</t>
  </si>
  <si>
    <t>10/28/2022 05:45:34</t>
  </si>
  <si>
    <t>Thank you for reaching us out, Your request is successful: regards Bokang</t>
  </si>
  <si>
    <t>10/28/2022 06:10:21</t>
  </si>
  <si>
    <t>Not Available.</t>
  </si>
  <si>
    <t>Thank you for reaching us out, we going to help you. regards Bokang</t>
  </si>
  <si>
    <t>Thank you for reaching us out, coming to help you: regards Bokang</t>
  </si>
  <si>
    <t xml:space="preserve">Approved Bokang </t>
  </si>
  <si>
    <t>11/14/2022 05:37:36</t>
  </si>
  <si>
    <t xml:space="preserve">Thank you for reaching us out, we are attending your issue in no time . Regards Bokang </t>
  </si>
  <si>
    <t>11/14/2022 06:33:23</t>
  </si>
  <si>
    <t>11/14/2022 07:55:24</t>
  </si>
  <si>
    <t>11/14/2022 08:01:23</t>
  </si>
  <si>
    <t>11/14/2022 09:17:11</t>
  </si>
  <si>
    <t>11/15/2022 12:49:07</t>
  </si>
  <si>
    <t>11/15/2022 12:59:21</t>
  </si>
  <si>
    <t>11/15/2022 13:00:09</t>
  </si>
  <si>
    <t>11/15/2022 15:28:57</t>
  </si>
  <si>
    <t>11/15/2022 03:30:18</t>
  </si>
  <si>
    <t>11/15/2022 15:34:26</t>
  </si>
  <si>
    <t>11/15/2022 03:35:08</t>
  </si>
  <si>
    <t>11/16/2022 07:27:24</t>
  </si>
  <si>
    <t>11/16/2022 07:30:31</t>
  </si>
  <si>
    <t>11/16/2022 09:18:27</t>
  </si>
  <si>
    <t>11/16/2022 09:59:15</t>
  </si>
  <si>
    <t>11/17/2022 12:49:12</t>
  </si>
  <si>
    <t>11/17/2022 13:15:37</t>
  </si>
  <si>
    <t>11/17/2022 01:20:03</t>
  </si>
  <si>
    <t>11/17/2022 13:27:21</t>
  </si>
  <si>
    <t>11/17/2022 01:30:59</t>
  </si>
  <si>
    <t>11/21/2022 07:54:03</t>
  </si>
  <si>
    <t>11/21/2022 10:40:51</t>
  </si>
  <si>
    <t>11/21/2022 02:50:00</t>
  </si>
  <si>
    <t>11/21/2022 10:47:15</t>
  </si>
  <si>
    <t>11/21/2022 12:28:23</t>
  </si>
  <si>
    <t>11/21/2022 12:34:30</t>
  </si>
  <si>
    <t>11/22/2022 10:07:19</t>
  </si>
  <si>
    <t>11/22/2022 10:30:44</t>
  </si>
  <si>
    <t>11/23/2022 13:51:46</t>
  </si>
  <si>
    <t>11/23/2022 02:00:02</t>
  </si>
  <si>
    <t>11/25/2022 08:17:18</t>
  </si>
  <si>
    <t>11/25/2022 08:31:04</t>
  </si>
  <si>
    <t>11/26/2022 15:06:23</t>
  </si>
  <si>
    <t>11/28/2022 06:29:35</t>
  </si>
  <si>
    <t>11/28/2022 07:12:16</t>
  </si>
  <si>
    <t>11/28/2022 07:58:57</t>
  </si>
  <si>
    <t>11/28/2022 08:06:35</t>
  </si>
  <si>
    <t>11/28/2022 08:35:51</t>
  </si>
  <si>
    <t>11/29/2022 05:21:27</t>
  </si>
  <si>
    <t>11/29/2022 05:47:20</t>
  </si>
  <si>
    <t>11/29/2022 06:35:33</t>
  </si>
  <si>
    <t>11/29/2022 06:37:11</t>
  </si>
  <si>
    <t>jabi.sonopo@gmail.com</t>
  </si>
  <si>
    <t>mahlela@1pwrafrica.com</t>
  </si>
  <si>
    <t>Which Version of Office are you using? 2016 or 2021</t>
  </si>
  <si>
    <t>rafube@1pwrafrica.com</t>
  </si>
  <si>
    <t>motebang@1pwrafrica.com</t>
  </si>
  <si>
    <t>seshemane@1pwrafrica.com</t>
  </si>
  <si>
    <t>12/13/2022 08:48:12</t>
  </si>
  <si>
    <t>12/13/2022 08:51:35</t>
  </si>
  <si>
    <t>12/13/2022 11:54:09</t>
  </si>
  <si>
    <t>12/14/2022 08:05:07</t>
  </si>
  <si>
    <t>12/14/2022 08:49:03</t>
  </si>
  <si>
    <t>12/19/2022 08:15:29</t>
  </si>
  <si>
    <t>12/19/2022 08:33:14</t>
  </si>
  <si>
    <t>bokang@1pwrafrica.com</t>
  </si>
  <si>
    <t>12/19/2022 21:25:47</t>
  </si>
  <si>
    <t>mandla@1pwrafrica.com</t>
  </si>
  <si>
    <t>12/20/2022 08:59:35</t>
  </si>
  <si>
    <t>12/22/2022 06:12:45</t>
  </si>
  <si>
    <t>12/22/2022 06:39:41</t>
  </si>
  <si>
    <t>12/22/2022 06:31:36</t>
  </si>
  <si>
    <t>mongali@1pwrafrica.com</t>
  </si>
  <si>
    <t>12/23/2022 07:52:04</t>
  </si>
  <si>
    <t>it@1pwrafrica.com</t>
  </si>
  <si>
    <t>12/23/2022 09:05:26</t>
  </si>
  <si>
    <t>12/27/2022 05:48:59</t>
  </si>
  <si>
    <t xml:space="preserve">Make sure that next time you clock right </t>
  </si>
  <si>
    <t>01/13/2023 12:34:24</t>
  </si>
  <si>
    <t>01/13/2023 12:39:34</t>
  </si>
  <si>
    <t>01/16/2023 08:31:31</t>
  </si>
  <si>
    <t>01/17/2023 12:16:54</t>
  </si>
  <si>
    <t>01/19/2023 06:54:20</t>
  </si>
  <si>
    <t>01/19/2023 07:31:34</t>
  </si>
  <si>
    <t>01/19/2023 12:23:03</t>
  </si>
  <si>
    <t>01/23/2023 06:54:22</t>
  </si>
  <si>
    <t>01/23/2023 13:01:07</t>
  </si>
  <si>
    <t>01/24/2023 06:26:15</t>
  </si>
  <si>
    <t>01/24/2023 08:11:34</t>
  </si>
  <si>
    <t>01/24/2023 06:35:07</t>
  </si>
  <si>
    <t>01/24/2023 08:11:42</t>
  </si>
  <si>
    <t>01/24/2023 07:23:24</t>
  </si>
  <si>
    <t>01/24/2023 08:12:35</t>
  </si>
  <si>
    <t>01/25/2023 15:02:35</t>
  </si>
  <si>
    <t>01/26/2023 06:21:35</t>
  </si>
  <si>
    <t>01/27/2023 09:24:11</t>
  </si>
  <si>
    <t>01/27/2023 09:30:11</t>
  </si>
  <si>
    <t>02/13/2023 10:35:52</t>
  </si>
  <si>
    <t>02/15/2023 07:49:03</t>
  </si>
  <si>
    <t>02/15/2023 10:07:45</t>
  </si>
  <si>
    <t>02/16/2023 12:25:30</t>
  </si>
  <si>
    <t>02/17/2023 08:13:16</t>
  </si>
  <si>
    <t>02/17/2023 08:23:55</t>
  </si>
  <si>
    <t>02/20/2023 09:02:20</t>
  </si>
  <si>
    <t>02/20/2023 10:18:27</t>
  </si>
  <si>
    <t>02/20/2023 10:43:06</t>
  </si>
  <si>
    <t>02/20/2023 10:56:04</t>
  </si>
  <si>
    <t>02/20/2023 13:50:33</t>
  </si>
  <si>
    <t>02/21/2023 07:10:40</t>
  </si>
  <si>
    <t>02/21/2023 07:27:51</t>
  </si>
  <si>
    <t>02/21/2023 07:40:14</t>
  </si>
  <si>
    <t>02/21/2023 08:04:43</t>
  </si>
  <si>
    <t>02/21/2023 08:22:13</t>
  </si>
  <si>
    <t>02/21/2023 12:02:04</t>
  </si>
  <si>
    <t>02/27/2023 10:38:49</t>
  </si>
  <si>
    <t>03/13/2023 12:42:38</t>
  </si>
  <si>
    <t>03/13/2023 13:36:43</t>
  </si>
  <si>
    <t>03/14/2023 09:16:28</t>
  </si>
  <si>
    <t>03/14/2023 09:40:07</t>
  </si>
  <si>
    <t>03/17/2023 07:09:01</t>
  </si>
  <si>
    <t>03/17/2023 13:55:26</t>
  </si>
  <si>
    <t>03/20/2023 06:14:33</t>
  </si>
  <si>
    <t>03/20/2023 06:18:01</t>
  </si>
  <si>
    <t>03/20/2023 07:21:33</t>
  </si>
  <si>
    <t>03/21/2023 12:24:19</t>
  </si>
  <si>
    <t>03/22/2023 06:18:48</t>
  </si>
  <si>
    <t>03/22/2023 11:11:35</t>
  </si>
  <si>
    <t>03/23/2023 07:01:47</t>
  </si>
  <si>
    <t>Kindly come and collect it</t>
  </si>
  <si>
    <t>03/23/2023 07:09:56</t>
  </si>
  <si>
    <t>03/28/2023 07:08:47</t>
  </si>
  <si>
    <t>03/28/2023 07:14:09</t>
  </si>
  <si>
    <t>03/28/2023 14:04:57</t>
  </si>
  <si>
    <t>03/29/2023 09:05:52</t>
  </si>
  <si>
    <t>03/29/2023 09:08:08</t>
  </si>
  <si>
    <t>04/13/2023 09:03:39</t>
  </si>
  <si>
    <t>04/13/2023 10:11:58</t>
  </si>
  <si>
    <t>04/13/2023 15:06:09</t>
  </si>
  <si>
    <t>04/17/2023 03:55:19</t>
  </si>
  <si>
    <t>04/14/2023 09:22:53</t>
  </si>
  <si>
    <t>04/14/2023 10:07:28</t>
  </si>
  <si>
    <t>04/17/2023 08:47:15</t>
  </si>
  <si>
    <t>please provide more information</t>
  </si>
  <si>
    <t>04/17/2023 12:33:06</t>
  </si>
  <si>
    <t>04/17/2023 12:32:19</t>
  </si>
  <si>
    <t>04/17/2023 12:33:48</t>
  </si>
  <si>
    <t>04/17/2023 12:32:33</t>
  </si>
  <si>
    <t>04/17/2023 13:20:00</t>
  </si>
  <si>
    <t>04/17/2023 14:32:50</t>
  </si>
  <si>
    <t>04/18/2023 08:06:04</t>
  </si>
  <si>
    <t>04/18/2023 08:28:00</t>
  </si>
  <si>
    <t>04/18/2023 08:30:17</t>
  </si>
  <si>
    <t>04/19/2023 07:35:28</t>
  </si>
  <si>
    <t>04/19/2023 07:53:29</t>
  </si>
  <si>
    <t>04/24/2023 14:31:17</t>
  </si>
  <si>
    <t>04/25/2023 05:09:46</t>
  </si>
  <si>
    <t>04/25/2023 07:47:59</t>
  </si>
  <si>
    <t>04/25/2023 08:36:39</t>
  </si>
  <si>
    <t>You will be provided with a laptop; Mme Mo has already requested a modem for your survey trip.</t>
  </si>
  <si>
    <t>05/15/2023 14:45:17</t>
  </si>
  <si>
    <t>05/16/2023 09:07:47</t>
  </si>
  <si>
    <t>05/16/2023 08:37:43</t>
  </si>
  <si>
    <t>05/16/2023 08:41:41</t>
  </si>
  <si>
    <t>05/16/2023 09:08:16</t>
  </si>
  <si>
    <t>05/17/2023 08:01:02</t>
  </si>
  <si>
    <t>05/18/2023 07:30:02</t>
  </si>
  <si>
    <t>05/18/2023 14:31:11</t>
  </si>
  <si>
    <t>05/20/2023 08:09:51</t>
  </si>
  <si>
    <t>05/24/2023 08:54:40</t>
  </si>
  <si>
    <t>05/24/2023 09:30:14</t>
  </si>
  <si>
    <t>05/29/2023 05:54:25</t>
  </si>
  <si>
    <t>05/29/2023 06:02:36</t>
  </si>
  <si>
    <t>05/31/2023 09:28:26</t>
  </si>
  <si>
    <t>06/15/2023 08:20:57</t>
  </si>
  <si>
    <t>06/16/2023 07:02:52</t>
  </si>
  <si>
    <t>06/16/2023 09:55:12</t>
  </si>
  <si>
    <t>06/16/2023 13:38:54</t>
  </si>
  <si>
    <t>06/19/2023 05:37:28</t>
  </si>
  <si>
    <t>06/19/2023 07:50:05</t>
  </si>
  <si>
    <t>06/19/2023 09:24:34</t>
  </si>
  <si>
    <t>06/19/2023 10:00:15</t>
  </si>
  <si>
    <t>06/21/2023 08:36:32</t>
  </si>
  <si>
    <t>06/27/2023 08:53:30</t>
  </si>
  <si>
    <t>06/27/2023 14:18:02</t>
  </si>
  <si>
    <t>06/28/2023 08:21:02</t>
  </si>
  <si>
    <t>06/28/2023 08:48:10</t>
  </si>
  <si>
    <t>06/28/2023 12:37:43</t>
  </si>
  <si>
    <t>07/13/2023 05:13:05</t>
  </si>
  <si>
    <t>07/13/2023 09:33:58</t>
  </si>
  <si>
    <t>07/13/2023 10:51:58</t>
  </si>
  <si>
    <t>07/18/2023 12:55:21</t>
  </si>
  <si>
    <t>07/19/2023 09:03:57</t>
  </si>
  <si>
    <t>07/19/2023 09:09:44</t>
  </si>
  <si>
    <t>07/20/2023 07:27:11</t>
  </si>
  <si>
    <t>07/20/2023 07:28:06</t>
  </si>
  <si>
    <t>07/21/2023 08:07:13</t>
  </si>
  <si>
    <t>07/21/2023 08:20:31</t>
  </si>
  <si>
    <t>07/24/2023 09:51:09</t>
  </si>
  <si>
    <t>07/24/2023 12:49:10</t>
  </si>
  <si>
    <t>07/27/2023 13:42:23</t>
  </si>
  <si>
    <t>07/28/2023 09:02:11</t>
  </si>
  <si>
    <t>07/31/2023 08:53:17</t>
  </si>
  <si>
    <t>08/14/2023 08:12:12</t>
  </si>
  <si>
    <t>08/15/2023 12:43:54</t>
  </si>
  <si>
    <t>08/17/2023 10:51:48</t>
  </si>
  <si>
    <t>08/21/2023 06:12:13</t>
  </si>
  <si>
    <t>08/21/2023 06:57:24</t>
  </si>
  <si>
    <t>08/21/2023 15:02:11</t>
  </si>
  <si>
    <t>08/22/2023 14:15:18</t>
  </si>
  <si>
    <t>08/23/2023 07:17:15</t>
  </si>
  <si>
    <t>08/23/2023 07:29:49</t>
  </si>
  <si>
    <t>08/23/2023 10:03:02</t>
  </si>
  <si>
    <t>08/23/2023 10:26:36</t>
  </si>
  <si>
    <t>08/24/2023 06:30:22</t>
  </si>
  <si>
    <t>08/25/2023 07:42:45</t>
  </si>
  <si>
    <t>08/28/2023 05:51:45</t>
  </si>
  <si>
    <t>08/31/2023 14:39:11</t>
  </si>
  <si>
    <t>09/13/2023 08:15:00</t>
  </si>
  <si>
    <t>09/21/2023 13:59:39</t>
  </si>
  <si>
    <t>09/25/2023 08:24:43</t>
  </si>
  <si>
    <t>09/26/2023 08:58:27</t>
  </si>
  <si>
    <t>09/26/2023 02:28:13</t>
  </si>
  <si>
    <t>09/27/2023 08:51:41</t>
  </si>
  <si>
    <t>10/13/2023 07:58:53</t>
  </si>
  <si>
    <t>10/16/2023 13:21:00</t>
  </si>
  <si>
    <t>10/17/2023 06:39:04</t>
  </si>
  <si>
    <t>10/19/2023 08:00:19</t>
  </si>
  <si>
    <t>10/25/2023 07:29:24</t>
  </si>
  <si>
    <t>10/26/2023 09:17:56</t>
  </si>
  <si>
    <t>10/26/2023 09:42:41</t>
  </si>
  <si>
    <t>10/26/2023 10:17:45</t>
  </si>
  <si>
    <t>10/30/2023 07:44:54</t>
  </si>
  <si>
    <t>10/30/2023 12:58:11</t>
  </si>
  <si>
    <t>10/31/2023 12:50:34</t>
  </si>
  <si>
    <t>10/31/2023 13:08:21</t>
  </si>
  <si>
    <t>11/15/2023 13:24:23</t>
  </si>
  <si>
    <t>11/16/2023 06:51:25</t>
  </si>
  <si>
    <t>11/25/2023 07:54:55</t>
  </si>
  <si>
    <t>11/25/2023 07:56:44</t>
  </si>
  <si>
    <t>11/27/2023 06:36:26</t>
  </si>
  <si>
    <t>11/30/2023 05:12:18</t>
  </si>
  <si>
    <t>We noticed your issue ntate Deon. Please be aware that the issue is rectified so the connection is back.</t>
  </si>
  <si>
    <t>12/14/2023 07:11:06</t>
  </si>
  <si>
    <t>12/14/2023 15:48:59</t>
  </si>
  <si>
    <t>12/15/2023 08:10:08</t>
  </si>
  <si>
    <t>12/15/2023 22:28:27</t>
  </si>
  <si>
    <t>12/20/2023 07:04:20</t>
  </si>
  <si>
    <t>12/22/2023 12:44:30</t>
  </si>
  <si>
    <t>01/15/2024 16:22:34</t>
  </si>
  <si>
    <t>01/18/2024 10:07:26</t>
  </si>
  <si>
    <t>01/23/2024 12:52:23</t>
  </si>
  <si>
    <t>01/24/2024 07:35:23</t>
  </si>
  <si>
    <t>01/24/2024 08:23:15</t>
  </si>
  <si>
    <t>01/26/2024 09:25:10</t>
  </si>
  <si>
    <t>01/29/2024 12:22:23</t>
  </si>
  <si>
    <t>01/30/2024 08:12:47</t>
  </si>
  <si>
    <t>02/14/2024 07:26:34</t>
  </si>
  <si>
    <t>02/19/2024 10:55:55</t>
  </si>
  <si>
    <t>02/20/2024 09:01:35</t>
  </si>
  <si>
    <t>02/28/2024 06:44:47</t>
  </si>
  <si>
    <t>03/14/2024 06:54:21</t>
  </si>
  <si>
    <t>03/20/2024 05:33:45</t>
  </si>
  <si>
    <t>03/21/2024 07:56:40</t>
  </si>
  <si>
    <t>06/18/2024 12:54:19</t>
  </si>
  <si>
    <t>06/18/2024 01:44:22</t>
  </si>
  <si>
    <t>Thank you for Mme, Your request is noted and will be attended to soon.</t>
  </si>
  <si>
    <t>06/19/2024 01:33:26</t>
  </si>
  <si>
    <t>Thank you for notifying us. We will attend to your problem soon.</t>
  </si>
  <si>
    <t>06/20/2024 02:47:50</t>
  </si>
  <si>
    <t>Re fumane kopo ea hao. Re tla tla ho uena ho tla buisana ka eona.</t>
  </si>
  <si>
    <t>06/26/2024 06:27:29</t>
  </si>
  <si>
    <t>06/27/2024 02:05:49</t>
  </si>
  <si>
    <t>Can you notify us when you are around or come with your laptop to IT desk</t>
  </si>
  <si>
    <t>10/22/2024 01:22:14</t>
  </si>
  <si>
    <t>01/16/2025 07:16:04</t>
  </si>
  <si>
    <t>Email address</t>
  </si>
  <si>
    <t>Email Address</t>
  </si>
  <si>
    <t>Select your Department</t>
  </si>
  <si>
    <t>Priority</t>
  </si>
  <si>
    <t xml:space="preserve">Choose option you want to be helped on? </t>
  </si>
  <si>
    <t>Complaint Type</t>
  </si>
  <si>
    <t>Problem Description (e.g Laptop not connecting to the internet)</t>
  </si>
  <si>
    <t>Attachment (Optional) e.g Share a screenshot of the problem</t>
  </si>
  <si>
    <t>Item Requested</t>
  </si>
  <si>
    <t>What do you need for?</t>
  </si>
  <si>
    <t>Attachment (Optional) e.g Share a photo of items Checked out</t>
  </si>
  <si>
    <t>Full Names</t>
  </si>
  <si>
    <t>Respondent's Email Address</t>
  </si>
  <si>
    <t>Request # [DO NOT DELETE]</t>
  </si>
  <si>
    <t>Unique Request # [DO NOT DELETE]</t>
  </si>
  <si>
    <t>Final Status [DO NOT DELETE]</t>
  </si>
  <si>
    <t>Kamohelo</t>
  </si>
  <si>
    <t>motebanglekhooana@gmail.com</t>
  </si>
  <si>
    <t>kamohelo0329@gmail.com</t>
  </si>
  <si>
    <t>Kamohelo Makaaka</t>
  </si>
  <si>
    <t>mohlomirasekeiti@gmail.com</t>
  </si>
  <si>
    <t>Operations and Maintanance</t>
  </si>
  <si>
    <t>Morema Thabo Mafantiri</t>
  </si>
  <si>
    <t>Hardware, do not have a monitor also.</t>
  </si>
  <si>
    <t>VGA to HDMI Converter</t>
  </si>
  <si>
    <t>Would like to have the mentioned tool please</t>
  </si>
  <si>
    <t>lsmatsepe@gmail.com</t>
  </si>
  <si>
    <t>Lebalang Sophia Relebohile 'Makhotso Matsepe</t>
  </si>
  <si>
    <t>WIFI problem</t>
  </si>
  <si>
    <t xml:space="preserve">why do you hate me so, why can i never connect to the wifi? ha! Do i not deserve nice things also?
</t>
  </si>
  <si>
    <t>lebalang matsepe</t>
  </si>
  <si>
    <t>Tool Request</t>
  </si>
  <si>
    <t>I need MS office</t>
  </si>
  <si>
    <t>tums@1pwrafrica.com</t>
  </si>
  <si>
    <t>Email</t>
  </si>
  <si>
    <t>My 1pwr email only works when I'm logged in as a guest user on my chrome browser.</t>
  </si>
  <si>
    <t>David Song</t>
  </si>
  <si>
    <t>Calendar</t>
  </si>
  <si>
    <t>When I get a calendar invite, I sometimes have an issue of a time showing up in my calendar that is different from the original sender's time. Also, this form should include a way to upload document. I could share an email that shows the issue or I could send a screen shot. Also, should you have a separate "department" for management?</t>
  </si>
  <si>
    <t>Calendar Time Zones</t>
  </si>
  <si>
    <t>Neo S sent me an invite shows in my outlook that it was set in Amman Jordan Time. But we checked his settings, and it's in Maseru time. Can you please check this? Our meeting is one hour off. I think maybe Moeketse changed the invite, and maybe that messed things up?</t>
  </si>
  <si>
    <t>I often get multiple responses to a calendar invite that I sent out.</t>
  </si>
  <si>
    <t>https://drive.google.com/open?id=1Nk0z0tde8cduNqGwj_qB2-6uqBLJkuUe</t>
  </si>
  <si>
    <t>Device Issue (laptop, tablet or mobile phone)</t>
  </si>
  <si>
    <t xml:space="preserve">I need to install Java &amp; Asycuda World the LRA Portal that allows me to retrieve VAT 11 documents for all motor vehicles procured, I need admin login details on the laptop. </t>
  </si>
  <si>
    <t>outlook error message: sending reported error (0x800CCC78), verify email in account properties: server responded: 452 space shortage, please try later</t>
  </si>
  <si>
    <t>Operations and Maintainance</t>
  </si>
  <si>
    <t>SMS gateway not functional, customers complain that when they sent call back to check their balance they don't get their balance and they say it's been a while now.</t>
  </si>
  <si>
    <t>SMS gateway not functional. M-Pesa messages appear on the App but SMS gateway doesn't automatically credit customers as usual.</t>
  </si>
  <si>
    <t>Some m-pesa transactions date and time on SMS gateway invalid and gateway not crediting customers.</t>
  </si>
  <si>
    <t>Tumelo</t>
  </si>
  <si>
    <t>Internet Issue</t>
  </si>
  <si>
    <t>Very very poor connectivity yesterday and today</t>
  </si>
  <si>
    <t xml:space="preserve">I am unable to send email they bounce back with the following message: 
"This message was created automatically by mail delivery software.
A message that you sent could not be delivered to one or more of its recipients. This is a permanent error. The following address(es) failed:
    Domain 1pwrafrica.com has exceeded the max defers and failures per hour (150/150 (92%)) allowed. Message discarded"
</t>
  </si>
  <si>
    <t>teboho@1pwrafrica.com</t>
  </si>
  <si>
    <t>TEBOHO NOKO</t>
  </si>
  <si>
    <t>can not login to my emails, Screenshot attached</t>
  </si>
  <si>
    <t>https://drive.google.com/open?id=10MhZyDLQ3wml9LuB9ykhQ91TLoUWuOJr</t>
  </si>
  <si>
    <t>Complaint Ticket</t>
  </si>
  <si>
    <t>Budget Request</t>
  </si>
  <si>
    <t>Cad</t>
  </si>
  <si>
    <t>Test</t>
  </si>
  <si>
    <t>Tlhoks</t>
  </si>
  <si>
    <t>test@gmail.com</t>
  </si>
  <si>
    <t>Testing</t>
  </si>
  <si>
    <t>Morema</t>
  </si>
  <si>
    <t>Equipment Request</t>
  </si>
  <si>
    <t xml:space="preserve">mouse </t>
  </si>
  <si>
    <t>hakena mouse</t>
  </si>
  <si>
    <t>Motebang</t>
  </si>
  <si>
    <t>h@gmail.com</t>
  </si>
  <si>
    <t>Jos</t>
  </si>
  <si>
    <t>High</t>
  </si>
  <si>
    <t>testing</t>
  </si>
  <si>
    <t>Deon</t>
  </si>
  <si>
    <t>Medium</t>
  </si>
  <si>
    <t>Report Issue</t>
  </si>
  <si>
    <t>Clockify / HR Portal</t>
  </si>
  <si>
    <t>Please assist Kubutu using HR Portal to submit his timecards. The problem seems to be with OT, remarks and exceptions. He was unable to submit timecards for April and still can't submit for May.</t>
  </si>
  <si>
    <t>https://drive.google.com/open?id=1QoU3gPP-iIragUSSWaIUPcIm-uOtNsk3, https://drive.google.com/open?id=1OwKrAvkCaTZ_g7mh3E5WHblBWc0wF9hL</t>
  </si>
  <si>
    <t>1PWR2 Wifi in Production area had no internet access yesterday and today its not available at all.</t>
  </si>
  <si>
    <t>Follow up on ticket #23 which was not solved as reported. Still no internet access.</t>
  </si>
  <si>
    <t>https://drive.google.com/open?id=1Sqg7lAWPi03A3yFZVM2uUVIRJ55ARDoa</t>
  </si>
  <si>
    <t>1PWR2 connection only worked for about one hour after Econet service. No internet access available currently.</t>
  </si>
  <si>
    <t>Everyday work for Mlanjeni. His personal laptop's performance is deteriorating by the week.</t>
  </si>
  <si>
    <t>Low</t>
  </si>
  <si>
    <t>Web site</t>
  </si>
  <si>
    <t>the O&amp;M JD link is broken (https://1pwrafrica.com/?post_type=job_listing&amp;p=3235); also does this form need to be two pages?</t>
  </si>
  <si>
    <t>tumelo@1pwrafrica.com</t>
  </si>
  <si>
    <t>When I open my email to log in, I a message saying: " Your connection is not private". A screen shot of  the message is attached.</t>
  </si>
  <si>
    <t>https://drive.google.com/open?id=1By_JccXQUuHSiTEEvEtnPu3hwcCvbraP</t>
  </si>
  <si>
    <t>cad</t>
  </si>
  <si>
    <t>Teboho</t>
  </si>
  <si>
    <t xml:space="preserve">Map reviewing, on boarding and tool training </t>
  </si>
  <si>
    <t>Mosehle mokoatle</t>
  </si>
  <si>
    <t xml:space="preserve">On boarding training </t>
  </si>
  <si>
    <t>Kubutu Makhakhe</t>
  </si>
  <si>
    <t>Not being able to submit my time cards</t>
  </si>
  <si>
    <t>Laptop, Monitor</t>
  </si>
  <si>
    <t>For daily execution of PM tasks at HQ and when on-site. My personal laptop's screen is cracked, this unfortunate incident therefore subsequently hinders the progress and ease of work done.</t>
  </si>
  <si>
    <t xml:space="preserve">Sello Monoane </t>
  </si>
  <si>
    <t xml:space="preserve">Laptop has a problem of launching dropbox desktop app. RET006
It loads and then nothing. </t>
  </si>
  <si>
    <t>Leloko  Monese</t>
  </si>
  <si>
    <t>Photo of items checked out</t>
  </si>
  <si>
    <t>Site to Tosing</t>
  </si>
  <si>
    <t>Photo will show</t>
  </si>
  <si>
    <t>https://drive.google.com/open?id=1wEIgGDN-QIxwWPes0HCJHpr-wy9MJ2nT</t>
  </si>
  <si>
    <t>multiplug not returned</t>
  </si>
  <si>
    <t xml:space="preserve">Teboho </t>
  </si>
  <si>
    <t>Sebapala Trip</t>
  </si>
  <si>
    <t xml:space="preserve">Photo will show </t>
  </si>
  <si>
    <t>https://drive.google.com/open?id=1RdQWielMsC66Rsecugehif4nbe-tkpXq</t>
  </si>
  <si>
    <t>Returned</t>
  </si>
  <si>
    <t>Mokoatle</t>
  </si>
  <si>
    <t xml:space="preserve">Photo will explain </t>
  </si>
  <si>
    <t>Matsoing</t>
  </si>
  <si>
    <t>https://drive.google.com/open?id=1hRM8F_Q0uwYEeIDxAbsv46Xnn83muF6u</t>
  </si>
  <si>
    <t xml:space="preserve">Lebusa Makoetje </t>
  </si>
  <si>
    <t>Tlhanyaku</t>
  </si>
  <si>
    <t>Photo will explain</t>
  </si>
  <si>
    <t>https://drive.google.com/open?id=1B7YTk8fq-X_OJdTMJTWSV5AGd3Ww92n5</t>
  </si>
  <si>
    <t>Leoma Jopi</t>
  </si>
  <si>
    <t>Casual contact drafting</t>
  </si>
  <si>
    <t>Smart Kicka 5 Plus screen broken</t>
  </si>
  <si>
    <t>JONASE NTHUNYA</t>
  </si>
  <si>
    <t>Mashai &amp; Sehonghong SITE Visit</t>
  </si>
  <si>
    <t>PR Form</t>
  </si>
  <si>
    <t>Is there a way to improve the attachment view? Right now, I have to download the Excel files because they're not completely legible when following the link.</t>
  </si>
  <si>
    <t>With the desktop I use, whenever the elecricity goes down I lose all my current work.</t>
  </si>
  <si>
    <t>Bokang Mothomotsoana</t>
  </si>
  <si>
    <t>back up rooter</t>
  </si>
  <si>
    <t>Backup router</t>
  </si>
  <si>
    <t>Laptop, Extension cord</t>
  </si>
  <si>
    <t>Laptop for work. Extension cord for extending socket for heater</t>
  </si>
  <si>
    <t>Abele Mahao</t>
  </si>
  <si>
    <t>Power Bank</t>
  </si>
  <si>
    <t>Going to Haramabanta and my phone is off</t>
  </si>
  <si>
    <t>PhokaRaphoka</t>
  </si>
  <si>
    <t>Need a screen replacement on the mobile phone I am using(Com 03) it is cracked</t>
  </si>
  <si>
    <t>EXtension cord</t>
  </si>
  <si>
    <t>heater plug</t>
  </si>
  <si>
    <t>screen needs to be replaced</t>
  </si>
  <si>
    <t>Mouse stopped working</t>
  </si>
  <si>
    <t>locker keys</t>
  </si>
  <si>
    <t>To have access to the maps and IT lockers</t>
  </si>
  <si>
    <t>The USB-C to HMDI adaptor is no longer working.</t>
  </si>
  <si>
    <t>Temporary phone while the one assigned to me is taken for repairs.</t>
  </si>
  <si>
    <t>Phone assigned to me accidentally fell and cracked the screen on the top right corner, a request for repairs has been sent out and is approved.</t>
  </si>
  <si>
    <t>https://drive.google.com/open?id=13s_KoPyV6OrdlcD01DyTgeyn8CmPW3fT</t>
  </si>
  <si>
    <t>Lebusa Makoetje</t>
  </si>
  <si>
    <t>HR portal doesn't allow me to edit the card that have to be revised and resubmitted.</t>
  </si>
  <si>
    <t>https://drive.google.com/open?id=1jASQG81zkL9wJd7NDLjCVnWbIRWqVNPi, https://drive.google.com/open?id=1HvIB6xn-AkW7e5nVwfraVl6tuAbRRmP7</t>
  </si>
  <si>
    <t>Multiplug adaptor</t>
  </si>
  <si>
    <t>To connect my monitor, laptop, phone charger and monitor</t>
  </si>
  <si>
    <t xml:space="preserve">Ts'episo Ramatla </t>
  </si>
  <si>
    <t xml:space="preserve">I have to revise and resubmit timecard and   no option for edit and submi on timecard. I need help on there.. </t>
  </si>
  <si>
    <t>https://drive.google.com/open?id=1K6lACKHivnMIvlzIHYu5MhbjjfjBNaWR, https://drive.google.com/open?id=1c1kGefG2ymwosPdkzXPR9yN5gk-LvPwR</t>
  </si>
  <si>
    <t>Molefe motebang</t>
  </si>
  <si>
    <t>I want to change my one power email password....ever since I was given it, I wasn't able to log in</t>
  </si>
  <si>
    <t xml:space="preserve">My one power email not active; am not able to use it due to invalid password </t>
  </si>
  <si>
    <t>Work from home to update TOS on uGridPLAN as the power tripping at work keeps causing me to lose work</t>
  </si>
  <si>
    <t>internet</t>
  </si>
  <si>
    <t>internet connection on overtime</t>
  </si>
  <si>
    <t>M25</t>
  </si>
  <si>
    <t xml:space="preserve">The laptop can't open Excel, it needs password for  office to login. </t>
  </si>
  <si>
    <t>https://drive.google.com/open?id=14zkFvWfbAPa-9yxmL_pMKiO6cXGZJjNI</t>
  </si>
  <si>
    <t>uGrid Plan</t>
  </si>
  <si>
    <t>The Tool does not save the changes when i update and export the SHG SC file.
The changes made are discarded after I export and reopen the file.</t>
  </si>
  <si>
    <t xml:space="preserve">The internet keep on cutting so I cant follow up the problem I want to solve for RIB offset properly
</t>
  </si>
  <si>
    <t>Laptop, Mouse Pad</t>
  </si>
  <si>
    <t>I need a mouse pad for use on my desktop.</t>
  </si>
  <si>
    <t>Wifi connection</t>
  </si>
  <si>
    <t>Google forms</t>
  </si>
  <si>
    <t>Can you please make the email address on all google forms a drop down? I pretty regularly get typos, and then I have to forward the approval email or tell them something has been approved. It would save some time for the requestor as well.</t>
  </si>
  <si>
    <t xml:space="preserve">Lichaba West </t>
  </si>
  <si>
    <t xml:space="preserve">Desktop won't start up. Tried it twice the on third time it </t>
  </si>
  <si>
    <t>I'm facing a problem with replying my emails. Getting attached error message reporting to be a SPAM message.</t>
  </si>
  <si>
    <t>https://drive.google.com/open?id=1TjIhTtuMANt33xO2tXwSNeccAUm-x8zp</t>
  </si>
  <si>
    <t>To monitor the sites and do the payments reconciliation. Rasekeiti and I don't have monitors. The TV's that we used before seem to be affecting our eyes hence the request to have access to the monitors.</t>
  </si>
  <si>
    <t>Laptop charger break up</t>
  </si>
  <si>
    <t>https://drive.google.com/open?id=1qisSzxAjebEpiJSPOAmLWxNSh3oGwwo-</t>
  </si>
  <si>
    <t>my emails to Gmail addresses are failing</t>
  </si>
  <si>
    <t>https://drive.google.com/open?id=1-ibTcmOoxe9gqjWsrRYmuyCOCCrWeVvd</t>
  </si>
  <si>
    <t xml:space="preserve">Teboho Moloantoa </t>
  </si>
  <si>
    <t>For work. I was borrowed Neo's monitor, he said he'll be back before the end of the week and he will need it back.</t>
  </si>
  <si>
    <t xml:space="preserve">Working with maps and networks </t>
  </si>
  <si>
    <t xml:space="preserve">Morongwa Saku </t>
  </si>
  <si>
    <t xml:space="preserve">Use as an input device </t>
  </si>
  <si>
    <t>Neo Makosholo</t>
  </si>
  <si>
    <t>Commission report</t>
  </si>
  <si>
    <t>Dropbox</t>
  </si>
  <si>
    <t xml:space="preserve">Eng folder is accessible by only ee even though we are not the primary users of this folder. Possibly there has been a split somewhere where there is a proper ENG folder and a "fake" ee ENG folder floating around Dropbox </t>
  </si>
  <si>
    <t xml:space="preserve">Laptop, Tablet, Phone, Modem, invertor </t>
  </si>
  <si>
    <t xml:space="preserve">Work </t>
  </si>
  <si>
    <t>https://drive.google.com/open?id=1VAe39IPAqJHldqbmbXPsCFC-rL7amcqT</t>
  </si>
  <si>
    <t>Kubutu makhakhe</t>
  </si>
  <si>
    <t xml:space="preserve">Dropbox </t>
  </si>
  <si>
    <t xml:space="preserve">Teboho Makhoalinane </t>
  </si>
  <si>
    <t>Laptop, Chargeer, mouse</t>
  </si>
  <si>
    <t xml:space="preserve">Map viewing </t>
  </si>
  <si>
    <t>https://drive.google.com/open?id=1E17A2OgEl-P-Kujnqeftvbf9Nb-_ykHm</t>
  </si>
  <si>
    <t>For TLH</t>
  </si>
  <si>
    <t>https://drive.google.com/open?id=1AEIBMrUGZeHpYsORzSSpXiUhzo0G8VbF</t>
  </si>
  <si>
    <t>Laptop, USB CABLE, SOLAR CHARGER,laptop charger</t>
  </si>
  <si>
    <t>Work</t>
  </si>
  <si>
    <t>https://drive.google.com/open?id=1mU0UVtVWyGhRAapnSkmDkTGjcifPv_rw</t>
  </si>
  <si>
    <t xml:space="preserve">Mokoatle Mokoatle </t>
  </si>
  <si>
    <t>Laptop, Mouse,USB CABLE,solar charger,laptop charger</t>
  </si>
  <si>
    <t>https://drive.google.com/open?id=1-zgD5IUdb5aerYeTwE-ZDksiLZsuiu8b</t>
  </si>
  <si>
    <t xml:space="preserve">Rethabile Monaheng </t>
  </si>
  <si>
    <t>Working at site</t>
  </si>
  <si>
    <t>https://drive.google.com/open?id=10amT3OiML6sYOcyHOsCURybLPGb-Brs8</t>
  </si>
  <si>
    <t>Solar charger returned</t>
  </si>
  <si>
    <t>Laptop, Mouse,laptop charger,usb cable,solar charger</t>
  </si>
  <si>
    <t>https://drive.google.com/open?id=1YJ77fCrj0AgsfVE4rdWSjNUEoaijEvJU</t>
  </si>
  <si>
    <t>No internet access at workshop mezzanine area.</t>
  </si>
  <si>
    <t>HDMI to Macbook Adapter</t>
  </si>
  <si>
    <t>screen extension while doing daily work</t>
  </si>
  <si>
    <t>https://drive.google.com/open?id=1dSaCzwsh1sW1MYykgGIJeF4FnydhVKgt, https://drive.google.com/open?id=1SIJELObYh9AxCKDVX40oMIMU5sMBfZSK</t>
  </si>
  <si>
    <t>Palama kelepa</t>
  </si>
  <si>
    <t>Internet Issue, Email</t>
  </si>
  <si>
    <t>Ethernet cable not workin. Seems like i cant sync emails on outlook ( cant search for any emails that are from 18th June), at times they take too long to show in my inbox</t>
  </si>
  <si>
    <t>EHS laptop has ran out of space I cannot open documents  or do anything on it, it keeps displaying white screen, and no space notification.</t>
  </si>
  <si>
    <t>Internet connection is too slow and there are intermittent loss of internet connection</t>
  </si>
  <si>
    <t>When I send email to Keke her email address shows up as Jonase's</t>
  </si>
  <si>
    <t>https://drive.google.com/open?id=11ZCuGqJ-QgnXLwDuqHawJ9SOThOIDXvN</t>
  </si>
  <si>
    <t xml:space="preserve">I was trying to update more poles on uGridPlan, but it showed permission error. Can i get some help </t>
  </si>
  <si>
    <t>https://drive.google.com/open?id=1-lCnFx44RxK5oeqwG_wfIwoiOVWRTpFV, https://drive.google.com/open?id=1lJOuoviksptvGq49JLiBVYldqf9KFwzo</t>
  </si>
  <si>
    <t>Laptop, Tablet, Phone</t>
  </si>
  <si>
    <t xml:space="preserve">For reticulation deployment to Tosing
</t>
  </si>
  <si>
    <t>https://drive.google.com/open?id=1_MfrUdAsEFzIUoIAThvS8T1YsqWqjkAM</t>
  </si>
  <si>
    <t>desktop pc</t>
  </si>
  <si>
    <t>Solidworks 2022 CAD/CAM</t>
  </si>
  <si>
    <t xml:space="preserve">Lineo Mosoeunyane </t>
  </si>
  <si>
    <t xml:space="preserve">Extension cord </t>
  </si>
  <si>
    <t>Heater</t>
  </si>
  <si>
    <t xml:space="preserve">Multi plug </t>
  </si>
  <si>
    <t>No internet access on 1PWR2 in production area</t>
  </si>
  <si>
    <t>The current laptop I'm using doesn't have ethernet port so I am not able to connect to Sustain Solar container components (inverters, loggers etc)</t>
  </si>
  <si>
    <t>Mokhalahali I. Ralefaso</t>
  </si>
  <si>
    <t>Automobile OBD Diagnostic Instrument</t>
  </si>
  <si>
    <t>To diagnose Jeep</t>
  </si>
  <si>
    <t>I need help with recovering my Click-up Password.</t>
  </si>
  <si>
    <t>Click-up Password</t>
  </si>
  <si>
    <t xml:space="preserve">I need to retrieve password to enable me to log into Click </t>
  </si>
  <si>
    <t>USB flash</t>
  </si>
  <si>
    <t>Work: Scanning Documents</t>
  </si>
  <si>
    <t>RAM</t>
  </si>
  <si>
    <t>To upgrade my desktop so I can run solidworks and start to make some CAD drawings</t>
  </si>
  <si>
    <t>Mouse, keyboard, wifi dongle for my new desktop pc received</t>
  </si>
  <si>
    <t>Interface with pc and internet access</t>
  </si>
  <si>
    <t>HDMI to VGA converter</t>
  </si>
  <si>
    <t>HDMI to VGA conversion (monitor uses HDMI, PC uses VGA</t>
  </si>
  <si>
    <t>speaker</t>
  </si>
  <si>
    <t>Motebang's birthday</t>
  </si>
  <si>
    <t>Rethabile lebajoa</t>
  </si>
  <si>
    <t>The battery does n't work properly it needs to be on source everytime it's in use.</t>
  </si>
  <si>
    <t xml:space="preserve">Makhoalinyane </t>
  </si>
  <si>
    <t xml:space="preserve">Laptop not opening scripts but have been doing so when I last checked. Using command prompt </t>
  </si>
  <si>
    <t xml:space="preserve">Morongwa </t>
  </si>
  <si>
    <t>Mouse pad</t>
  </si>
  <si>
    <t>Surface for mouse placement</t>
  </si>
  <si>
    <t>Plugging the heater.</t>
  </si>
  <si>
    <t>Speaker</t>
  </si>
  <si>
    <t>Friday vibes</t>
  </si>
  <si>
    <t>Some laptop keypad buttons not functional and after restart they are functional for a while.</t>
  </si>
  <si>
    <t xml:space="preserve">Internet at hq is too slow for me to connect with RET team on team viewer </t>
  </si>
  <si>
    <t>No internet access on 1PWR2 or !PWR_CAPPED in workshop area</t>
  </si>
  <si>
    <t>Temperature sensor</t>
  </si>
  <si>
    <t>MAK power house installation</t>
  </si>
  <si>
    <t>USB Cable (C Type)</t>
  </si>
  <si>
    <t>Transferring documents from cellphone to desktop</t>
  </si>
  <si>
    <t>Ntate Mandla has been assigned to Facilities team and I request if Ntate Maks can be assigned as his supervisor to approve his timecards as Mandla is working with Maks now.</t>
  </si>
  <si>
    <t>Speakers</t>
  </si>
  <si>
    <t>For daily operation: analyzing mini grid and clinic data, reconciliation of Mpesa transactions, designing.</t>
  </si>
  <si>
    <t>Video Port to HDMI</t>
  </si>
  <si>
    <t>Need it to connect TV monitor in order to display the weather station, lightning tower and temp and humudility sensor</t>
  </si>
  <si>
    <t>Time entry overlap</t>
  </si>
  <si>
    <t>https://drive.google.com/open?id=1EJ60rwerXEPWT6g8qQCctgTrbWwZlrXn</t>
  </si>
  <si>
    <t>Solidworks software not installed correctly on Lichaba's PC</t>
  </si>
  <si>
    <t>Uninstall Solidworks then allow me temporary admin access to install SW correctly</t>
  </si>
  <si>
    <t>EXTREEEEMLY SLOOOOOW internet in production area - we can't continue to work like this</t>
  </si>
  <si>
    <t>USB-C to HDMI convertertor</t>
  </si>
  <si>
    <t>To connect to the monitor. I forgot mine at home.</t>
  </si>
  <si>
    <t>Can Kubutu's HR Portal timesheet of 18 Jul to 24 Jul be sent back to me for approval. No need for him to revise i, as his OT was approved.</t>
  </si>
  <si>
    <t>Adaptor</t>
  </si>
  <si>
    <t>Needed for laptop charger, the one I had is burnt</t>
  </si>
  <si>
    <t>Mlanjeni Joshua</t>
  </si>
  <si>
    <t>Committees' phones may be need whatsApp update. 2 have already reported that need. 1 has mistakenly uninstalled the app. Phones may need a system update as well</t>
  </si>
  <si>
    <t xml:space="preserve">Mokhalahali </t>
  </si>
  <si>
    <t xml:space="preserve">To assist fleet team at all times </t>
  </si>
  <si>
    <t>Device Issue (laptop, tablet or mobile phone), Simcard Connection</t>
  </si>
  <si>
    <t>Simcard does not seem to have connection, the phone can not read it. Message says to insert Sim.</t>
  </si>
  <si>
    <t xml:space="preserve">Tumisang Mathaba </t>
  </si>
  <si>
    <t xml:space="preserve">Not able to edit documents and freezing </t>
  </si>
  <si>
    <t xml:space="preserve">I can't connect to the internet on my desktop to do edits in uGridPLAN </t>
  </si>
  <si>
    <t>Mouse or mouse battery</t>
  </si>
  <si>
    <t>For work</t>
  </si>
  <si>
    <t xml:space="preserve">Bokang </t>
  </si>
  <si>
    <t>Mouse or Mouse battery</t>
  </si>
  <si>
    <t>Bokang</t>
  </si>
  <si>
    <t>work</t>
  </si>
  <si>
    <t>MacBook charger</t>
  </si>
  <si>
    <t>charging my work computer</t>
  </si>
  <si>
    <t>https://drive.google.com/open?id=11mIMP31rheAWqOncvOuDz3WGcXSKLbAE, https://drive.google.com/open?id=1xixQ79-dPDvSK7DAThp09HixHs17gPwY, https://drive.google.com/open?id=1tFuUMTW2Ic0WvukxOe4NiBwEJHrdhU8n, https://drive.google.com/open?id=1nQ5e7eSf4DEBFYRO3ECaeoUkIulmy5up, https://drive.google.com/open?id=1xj14NMaD4GEOMgTPaY23Q8NNg1W5ESUC, https://drive.google.com/open?id=1xQoIrfqivXrzTY8l37FmV5okE5ozoJKQ, https://drive.google.com/open?id=1kNNhP7dzFYsgixQ2DtuHZiyk0M9R3yrz</t>
  </si>
  <si>
    <t>Phone WhatsApp need to be updated</t>
  </si>
  <si>
    <t>Commitee Phone WhatsApp need to be updated</t>
  </si>
  <si>
    <t>Microsoft Office</t>
  </si>
  <si>
    <t>Preforming daily task</t>
  </si>
  <si>
    <t xml:space="preserve">MS Office </t>
  </si>
  <si>
    <t>MS Office ran out</t>
  </si>
  <si>
    <t>Lebusa  Makoetje</t>
  </si>
  <si>
    <t>dropbox</t>
  </si>
  <si>
    <t xml:space="preserve">Ret 004 offline dropbox not working </t>
  </si>
  <si>
    <t>Seshemane Lefa</t>
  </si>
  <si>
    <t xml:space="preserve">thakhisinthabiseng@gmail.com </t>
  </si>
  <si>
    <t>Multi adapter</t>
  </si>
  <si>
    <t>Plug heater and monitor</t>
  </si>
  <si>
    <t>Nthabiseng</t>
  </si>
  <si>
    <t>Can the Production team PC have Dropbox installed and be synced 1PWR Dropbox?</t>
  </si>
  <si>
    <t xml:space="preserve">leloko@1pwrafrica.com </t>
  </si>
  <si>
    <t xml:space="preserve">Excell not working </t>
  </si>
  <si>
    <t>https://drive.google.com/open?id=1T2L4cEVV_8hYzj7PtYeyAW3Xlo_AL7My</t>
  </si>
  <si>
    <t>LELOKO MONESE</t>
  </si>
  <si>
    <t xml:space="preserve">May I please be assisted with installing dropbox on the desktop </t>
  </si>
  <si>
    <t>May I also have the mouse mat/pad</t>
  </si>
  <si>
    <t>Work, Matt Personal Computer is not working</t>
  </si>
  <si>
    <t>office activation</t>
  </si>
  <si>
    <t>Microsoft office needs activation</t>
  </si>
  <si>
    <t xml:space="preserve">lichabajameswest@gmail.com </t>
  </si>
  <si>
    <t xml:space="preserve">As my desktop is currently being used. I feel it will be beneficial to me to borrow one of the RET laptops (and take it home where I have a stable internet connection) to do some big updates to the SEH supercluster </t>
  </si>
  <si>
    <t>Monoane@1pwrafrica.com</t>
  </si>
  <si>
    <t>For software engineering and data analysis. the one I was assigned has been temporarily assigned to Paepae</t>
  </si>
  <si>
    <t>Google earth software</t>
  </si>
  <si>
    <t>Work Site Visits</t>
  </si>
  <si>
    <t>EE world champion league</t>
  </si>
  <si>
    <t>kikinetlhokomelo@gmail.com</t>
  </si>
  <si>
    <t>I keep getting an error when I try downloading videos from dropbox</t>
  </si>
  <si>
    <t>https://drive.google.com/open?id=12CaXMPwjQ_8eyBuIbFppflwoknUOrs9t</t>
  </si>
  <si>
    <t>Clockify overlap on 8th morning hours</t>
  </si>
  <si>
    <t>https://drive.google.com/open?id=1D8ue26OYEcoiY2C8Ya-qywjtFxDh9uav</t>
  </si>
  <si>
    <t xml:space="preserve">Installing AutoCAD so that I will use it to finish up the drawings for LEB. bridge </t>
  </si>
  <si>
    <t>Size AA Battery for wireless mouse has depleted.</t>
  </si>
  <si>
    <t>Entry overlap where there's no overlap</t>
  </si>
  <si>
    <t>External Hard Drive</t>
  </si>
  <si>
    <t>To transfer the data from my personal computer to 1pwr laptop</t>
  </si>
  <si>
    <t>Work. My personal computer has issues.</t>
  </si>
  <si>
    <t>8 GB MicroSD card (with adapter)</t>
  </si>
  <si>
    <t>Smart Meter design (Raspberry Pi OS)</t>
  </si>
  <si>
    <t>8GB MicroSD card with adapter</t>
  </si>
  <si>
    <t>Smart meter design (Raspberry Pi OS)</t>
  </si>
  <si>
    <t>Itumeleng Mokona is not listed in my HR Portal for timecard approval</t>
  </si>
  <si>
    <t>Modem and a sim card</t>
  </si>
  <si>
    <t>Troubleshoot Wi-Fi Router Problem at MAK</t>
  </si>
  <si>
    <t>My dropbox seems to be unable to sync</t>
  </si>
  <si>
    <t>Charging cable</t>
  </si>
  <si>
    <t>Charging survey phone and power bank</t>
  </si>
  <si>
    <t>One</t>
  </si>
  <si>
    <t>tlaba@1pwrafrica.com</t>
  </si>
  <si>
    <t>to draw/design</t>
  </si>
  <si>
    <t xml:space="preserve">bokang@fouromarket.co.ls </t>
  </si>
  <si>
    <t>Music it's Friday moss</t>
  </si>
  <si>
    <t>Laptop too slow</t>
  </si>
  <si>
    <t>tlali@1pwrafrica.com</t>
  </si>
  <si>
    <t xml:space="preserve">Clockify information empty in the HR portal </t>
  </si>
  <si>
    <t xml:space="preserve">Morongoenyane </t>
  </si>
  <si>
    <t>I need a second screen to evaluate reticulation designs and for programming. The one I was using was lent to Paepae while new monitors are awaiting procurement.</t>
  </si>
  <si>
    <t>The laptop I am currently using has no Microsoft Office. I would like to use Excel to complete reticulation network design analysis.</t>
  </si>
  <si>
    <t>refiloe@1pwrafrica.com</t>
  </si>
  <si>
    <t>hr portal has recorded extra hours (81)which becomes a problem for me to submit</t>
  </si>
  <si>
    <t xml:space="preserve">For operation, the laptop that was used had some problems </t>
  </si>
  <si>
    <t xml:space="preserve">tumisang@1pwrafrica.com </t>
  </si>
  <si>
    <t xml:space="preserve">Ethernet cable and solar charger </t>
  </si>
  <si>
    <t xml:space="preserve">Utilities installation </t>
  </si>
  <si>
    <t>1 solar charger and 30m Ethernet cable 8 head</t>
  </si>
  <si>
    <t>tumisang@1pwrafrica.com</t>
  </si>
  <si>
    <t xml:space="preserve">Modem </t>
  </si>
  <si>
    <t xml:space="preserve">Communication at site </t>
  </si>
  <si>
    <t>thabanghatlane.tdh@gmail.com</t>
  </si>
  <si>
    <t>Meeting</t>
  </si>
  <si>
    <t xml:space="preserve">modem </t>
  </si>
  <si>
    <t xml:space="preserve"> that i'll be using for website security tonight.</t>
  </si>
  <si>
    <t>matete@1pwrafrica.com</t>
  </si>
  <si>
    <t>Modem</t>
  </si>
  <si>
    <t>Internet access onsite</t>
  </si>
  <si>
    <t>Matete Nkhethoa</t>
  </si>
  <si>
    <t xml:space="preserve">bokang@1pwrafrica.com </t>
  </si>
  <si>
    <t>Dropbox can't enable me to edit</t>
  </si>
  <si>
    <t>Free uping space</t>
  </si>
  <si>
    <t xml:space="preserve">Bokang Mothomotsoana </t>
  </si>
  <si>
    <t>Slow internet speed. Therefore, I request CAPPED password just for today.</t>
  </si>
  <si>
    <t>motlatsi.manka@gmail.com</t>
  </si>
  <si>
    <t>Access to CAPPED</t>
  </si>
  <si>
    <t>To work on the Design Comparisons work breakdown,  this requires a fully online person as we work on shared files available online, as a result,  it requires a stable internet</t>
  </si>
  <si>
    <t>tlal@1pwrafrica.com</t>
  </si>
  <si>
    <t xml:space="preserve">portal not synchronizing with clockify </t>
  </si>
  <si>
    <t>Can I please borrow a mouse, I forgot the one I'm using at home.</t>
  </si>
  <si>
    <t>mlanjeni@1pwrafrica.com</t>
  </si>
  <si>
    <t>i want to link my 1pwr email account to purchase request or overtime request forms</t>
  </si>
  <si>
    <t>mlanjeni joshua</t>
  </si>
  <si>
    <t>komete@1pwrafrica.com</t>
  </si>
  <si>
    <t xml:space="preserve">HR PORTAL does not capture my time records from clockify 
And this happened several times </t>
  </si>
  <si>
    <t xml:space="preserve">Mokhethi Komete </t>
  </si>
  <si>
    <t>molefi@1pwrafrica.com</t>
  </si>
  <si>
    <t>Need WhatsApp installed in the HR phone</t>
  </si>
  <si>
    <t xml:space="preserve">kola@1pwrafrica.com </t>
  </si>
  <si>
    <t>Hr Portal (entry overlap )</t>
  </si>
  <si>
    <t>Kola Moqasa</t>
  </si>
  <si>
    <t>On HR Portal - Please assign Matete to Facilities Team with Maks as lead for approval of timecards starting from 19 Sept</t>
  </si>
  <si>
    <t>EHS survey phone charger (hisense)</t>
  </si>
  <si>
    <t>charging phone</t>
  </si>
  <si>
    <t xml:space="preserve">The laptop 004 just switched it's self off(shut down) while we were working on it </t>
  </si>
  <si>
    <t>nthabiseng@1pwrafrica.com</t>
  </si>
  <si>
    <t xml:space="preserve">Technical support </t>
  </si>
  <si>
    <t>Technical whatspp error for com phones</t>
  </si>
  <si>
    <t xml:space="preserve">Nthabiseng </t>
  </si>
  <si>
    <t>Multiplug</t>
  </si>
  <si>
    <t>Replacement of faulty multiplug</t>
  </si>
  <si>
    <t>my drobox is not working</t>
  </si>
  <si>
    <t xml:space="preserve">Screen protector has air pockets and some cracks, it needs to be replaced. </t>
  </si>
  <si>
    <t>SMS gateway not processing payments</t>
  </si>
  <si>
    <t>trantsane96@gmail.com</t>
  </si>
  <si>
    <t>Unusual sound when booting up the desk top</t>
  </si>
  <si>
    <t>Ts'osane Rantsane</t>
  </si>
  <si>
    <t>Matete was transferred to Facilities 3 weeks ago so please assign Maks as his supervisor to approve his timecards on HR Portal.</t>
  </si>
  <si>
    <t>Error in hours reporting</t>
  </si>
  <si>
    <t>I need my email account configuration as requested last week.</t>
  </si>
  <si>
    <t>https://drive.google.com/open?id=1Lrq-idzFesa1FQdyeQcBkkX-XfAZhUhy</t>
  </si>
  <si>
    <t>lichaba@1pwrafrica.com</t>
  </si>
  <si>
    <t>WiFi router</t>
  </si>
  <si>
    <t xml:space="preserve">System communications at the MAS temporary powerhouse </t>
  </si>
  <si>
    <t xml:space="preserve">Need Adobe </t>
  </si>
  <si>
    <t xml:space="preserve">Want to edit some documents </t>
  </si>
  <si>
    <t xml:space="preserve">Mokhalahali Ralefaso </t>
  </si>
  <si>
    <t xml:space="preserve">rafube@1pwrafrica.com </t>
  </si>
  <si>
    <t xml:space="preserve">Hr portal shows some over lapping entry which we tried to solve but can't reach solution. </t>
  </si>
  <si>
    <t>https://drive.google.com/open?id=1Z_Qv0Xo2tAkcrshh7eQw_EdkHBwr45PM, https://drive.google.com/open?id=1_29A9SAwjRbEdeZU6GbbbF992Mhw7f83</t>
  </si>
  <si>
    <t>Soldering Flux</t>
  </si>
  <si>
    <t>Soldiering items on site (MAS gen site)</t>
  </si>
  <si>
    <t>Lichaba</t>
  </si>
  <si>
    <t>Timecards Records not showing</t>
  </si>
  <si>
    <t xml:space="preserve">repair </t>
  </si>
  <si>
    <t>Laptop screen has cracked</t>
  </si>
  <si>
    <t>A meeting</t>
  </si>
  <si>
    <t>My HDMI Cable does not properly support my screen projector anymore. It keeps beeping so it is not stable.</t>
  </si>
  <si>
    <t>Screen Projector</t>
  </si>
  <si>
    <t xml:space="preserve">Duplicated time entries </t>
  </si>
  <si>
    <t>Mamoritsoane Tlaba</t>
  </si>
  <si>
    <t xml:space="preserve">thabo@1pwrafrica.com </t>
  </si>
  <si>
    <t xml:space="preserve">Network cable </t>
  </si>
  <si>
    <t>Reliable internet connection</t>
  </si>
  <si>
    <t>Network Cable</t>
  </si>
  <si>
    <t xml:space="preserve">Stable internet </t>
  </si>
  <si>
    <t xml:space="preserve">I can't connect to the internet </t>
  </si>
  <si>
    <t>No internet in Production area on any of 1PWR_Capped, 1PWR Mobile, 1PWR2</t>
  </si>
  <si>
    <t>Desktop PC</t>
  </si>
  <si>
    <t>CAD/CAM design and manufacturing replacement desktop.</t>
  </si>
  <si>
    <t>Not able to connect</t>
  </si>
  <si>
    <t>Can I please get confirmation by email that Matete has transitioned to Fascilities on HR Portal as previously requested.</t>
  </si>
  <si>
    <t>tlali@1pwrafrica</t>
  </si>
  <si>
    <t xml:space="preserve">document editing recovery </t>
  </si>
  <si>
    <t xml:space="preserve">Document comments made online not showing </t>
  </si>
  <si>
    <t>I forgot mine</t>
  </si>
  <si>
    <t>Password to Hr portal denied</t>
  </si>
  <si>
    <t>Mojabeng</t>
  </si>
  <si>
    <t>No access to internet in Production area on 1PWR_Capped, 1PWR2, 1PWR Mobile since yesterday.</t>
  </si>
  <si>
    <t xml:space="preserve">I need a mouse to use my desktop as there is no mouse here now after I have been away for almost a month </t>
  </si>
  <si>
    <t>Tumisang@1pwrafrica.con</t>
  </si>
  <si>
    <t xml:space="preserve">Need to download the schematic </t>
  </si>
  <si>
    <t xml:space="preserve">Laptop </t>
  </si>
  <si>
    <t>My last week clockify data did not sync into the HR Portal</t>
  </si>
  <si>
    <t xml:space="preserve">Am having problems when connecting </t>
  </si>
  <si>
    <t xml:space="preserve">makhoalinyane@1pwrafrica.com </t>
  </si>
  <si>
    <t xml:space="preserve">Design reviewing </t>
  </si>
  <si>
    <t>https://drive.google.com/open?id=1Plcl_-IptrC4Rfc-cf2H_uUP5YhJIjrr</t>
  </si>
  <si>
    <t xml:space="preserve">Teboho Makhoalinyane </t>
  </si>
  <si>
    <t xml:space="preserve">My excel is not editable </t>
  </si>
  <si>
    <t>Laptop not connecting to the internet-Mme Lisebo</t>
  </si>
  <si>
    <t>clockify</t>
  </si>
  <si>
    <t>No internet access in production area to 1PWR Mobile, 1PWR Capped, 1PWR2 since yesterday.</t>
  </si>
  <si>
    <t>Headset  port not functional-EHS 02</t>
  </si>
  <si>
    <t>hrportal login failure</t>
  </si>
  <si>
    <t>Internet Issue, synced dropbox mulfunctioning</t>
  </si>
  <si>
    <t>laptop not connecting to internet and laptop very slow with synced dropbox</t>
  </si>
  <si>
    <t xml:space="preserve">moroka@1pwrafrica.com </t>
  </si>
  <si>
    <t xml:space="preserve">Mouse </t>
  </si>
  <si>
    <t xml:space="preserve">Moroka </t>
  </si>
  <si>
    <t>jordan@1pwrafrica.com</t>
  </si>
  <si>
    <t>Mashai+ Sehong-Hong generation site monitoring</t>
  </si>
  <si>
    <t>Jordan Stephens</t>
  </si>
  <si>
    <t>Mouse (wireless)</t>
  </si>
  <si>
    <t>using on my laptop</t>
  </si>
  <si>
    <t>one (1)</t>
  </si>
  <si>
    <t xml:space="preserve">Microsoft Office </t>
  </si>
  <si>
    <t xml:space="preserve"> Microsoft Office setup installation</t>
  </si>
  <si>
    <t xml:space="preserve">For network </t>
  </si>
  <si>
    <t>https://drive.google.com/open?id=1_jgO5I-byJZVy5CfgE_NrK9KrpRnNUUy</t>
  </si>
  <si>
    <t xml:space="preserve">Moroka Tlhabeli </t>
  </si>
  <si>
    <t xml:space="preserve">Laptop, Charger s </t>
  </si>
  <si>
    <t xml:space="preserve">For office work </t>
  </si>
  <si>
    <t xml:space="preserve">1charger for moden and 1charger for laptop, 1 laptop </t>
  </si>
  <si>
    <t>https://drive.google.com/open?id=1UNxVnvA3wl4sOdiKmPfSjX_taF3c9Wwb</t>
  </si>
  <si>
    <t>Importing my data from clockify</t>
  </si>
  <si>
    <t xml:space="preserve">Clockify fails to stop running time. </t>
  </si>
  <si>
    <t>https://drive.google.com/open?id=15XJuZIeQDeNM9ObRLwly8JFXYJh2IGPA</t>
  </si>
  <si>
    <t>Need administrator access to my desktop PC to install Solidworks</t>
  </si>
  <si>
    <t>desktop is not connecting to the internet</t>
  </si>
  <si>
    <t>Wifi backup rooter</t>
  </si>
  <si>
    <t>Effective connection to wifi</t>
  </si>
  <si>
    <t xml:space="preserve">spam management </t>
  </si>
  <si>
    <t>Hr portal denying overtime hours</t>
  </si>
  <si>
    <t xml:space="preserve">gabriellamorongwa@gmail.com </t>
  </si>
  <si>
    <t xml:space="preserve">TDL ISSUE </t>
  </si>
  <si>
    <t>Unable to join the list</t>
  </si>
  <si>
    <t>Wifi adapter</t>
  </si>
  <si>
    <t>Adapting Wifi ethernet cable</t>
  </si>
  <si>
    <t>dropbox seems to not be synching</t>
  </si>
  <si>
    <t>tumelo</t>
  </si>
  <si>
    <t>Mouse Battery</t>
  </si>
  <si>
    <t>Mouse usage</t>
  </si>
  <si>
    <t>Josias</t>
  </si>
  <si>
    <t>Lisebo@1pwrafrica.co.za</t>
  </si>
  <si>
    <t>Laptop charger</t>
  </si>
  <si>
    <t>To charge my phone</t>
  </si>
  <si>
    <t>Lisebo</t>
  </si>
  <si>
    <t>Pictures its month end</t>
  </si>
  <si>
    <t>lisebo@1pwrafrica.com</t>
  </si>
  <si>
    <t>To charge laptop</t>
  </si>
  <si>
    <t>Microsoft office issue</t>
  </si>
  <si>
    <t>Microsoft sign in</t>
  </si>
  <si>
    <t>Office</t>
  </si>
  <si>
    <t>Activation of Office on PC</t>
  </si>
  <si>
    <t>deon</t>
  </si>
  <si>
    <t>USB 2.0 Printer Cable</t>
  </si>
  <si>
    <t>Extract data from Genset at MAK</t>
  </si>
  <si>
    <t xml:space="preserve">Rasekeiti Mohlomi </t>
  </si>
  <si>
    <t>Internet Connection</t>
  </si>
  <si>
    <t>https://drive.google.com/open?id=1h0dlZWyKhciYZaXWtCyDUcvK326yrDwx, https://drive.google.com/open?id=1cJBrZ82wLppNmOV3ROY6n_HiqykxrU7H</t>
  </si>
  <si>
    <t xml:space="preserve">Utilities module testing </t>
  </si>
  <si>
    <t>mokgalemamello@gmail.com</t>
  </si>
  <si>
    <t>project my small screen</t>
  </si>
  <si>
    <t>mamello</t>
  </si>
  <si>
    <t xml:space="preserve">mahlela@1pwrafrica.com </t>
  </si>
  <si>
    <t xml:space="preserve">Laptop, Charger,mouse </t>
  </si>
  <si>
    <t xml:space="preserve">Site work </t>
  </si>
  <si>
    <t>https://drive.google.com/open?id=1u7pJzmwaDIoH5FSnnJKCgCcmSkg0Wkrt</t>
  </si>
  <si>
    <t xml:space="preserve">Tiisetso Mahlehla </t>
  </si>
  <si>
    <t>Lisebo@1pwrafrica.com</t>
  </si>
  <si>
    <t>Set time on my laptop</t>
  </si>
  <si>
    <t xml:space="preserve">Laptop charger </t>
  </si>
  <si>
    <t xml:space="preserve">Charger (ret001) not working properly when charging laptop </t>
  </si>
  <si>
    <t xml:space="preserve">For SEB deployment </t>
  </si>
  <si>
    <t>https://drive.google.com/open?id=1jSD2rfZ_B85DwIuczkMbfn57Uqf7z6Hs</t>
  </si>
  <si>
    <t>To install Ubuntu on laptop</t>
  </si>
  <si>
    <t xml:space="preserve">seshemane@1pwrafrica.com </t>
  </si>
  <si>
    <t xml:space="preserve">PHO 003- poles marking and community and onepower staff communication </t>
  </si>
  <si>
    <t>https://drive.google.com/open?id=1FdDNu6R1lO8HpRaHDcS-Yx4kkCPFvpls</t>
  </si>
  <si>
    <t xml:space="preserve">Lefa Seshemane </t>
  </si>
  <si>
    <t>Laptop, Router, signal booster, mouse, Ethernet cable and Ethernet heads</t>
  </si>
  <si>
    <t xml:space="preserve">Mashai system maintenance </t>
  </si>
  <si>
    <t>1 each</t>
  </si>
  <si>
    <t>Tumisang</t>
  </si>
  <si>
    <t xml:space="preserve">Ralekaota@1pwrafrica.com </t>
  </si>
  <si>
    <t>Phone, Multiplug, pwr bank 0008</t>
  </si>
  <si>
    <t>Site work</t>
  </si>
  <si>
    <t>3 items</t>
  </si>
  <si>
    <t>https://drive.google.com/open?id=16ju3p7RVzhcQveMUOc_x36cSfCYI_30n</t>
  </si>
  <si>
    <t>Lebohang Ralekaota</t>
  </si>
  <si>
    <t>Working temporarily I do not see mine</t>
  </si>
  <si>
    <t>sms gateway app keeps crushing</t>
  </si>
  <si>
    <t>motlatsi@1pwrafrica.com</t>
  </si>
  <si>
    <t>HDMI CABLE</t>
  </si>
  <si>
    <t>My HDMI cable has issues,  I need to replace it</t>
  </si>
  <si>
    <t>Motkatsi Manka</t>
  </si>
  <si>
    <t>Adobe</t>
  </si>
  <si>
    <t xml:space="preserve">I need to be helped with having Adobe functionality on my laptop. </t>
  </si>
  <si>
    <t xml:space="preserve">Laptop charger damaged due to the faulty generator which seems to be damaging equipment. </t>
  </si>
  <si>
    <t>Overlap issues in the portal</t>
  </si>
  <si>
    <t>Mamello Mohale</t>
  </si>
  <si>
    <t>Work desktop struggles when using solidworks</t>
  </si>
  <si>
    <t>Some days everything is running smoothly while other days it just struggles even when making sure everything else is closed and any windows updates have been installed. Even after restarting the desktop it still hangs severely when trying to do simple models on solidworks. I sometimes get a popup which disappears very quickly saying something about the system memory is struggling to compute the models but today as I opened up task manager I saw CPU at 99% due to solidworks but it quickly went back down before I could take a screenshot.</t>
  </si>
  <si>
    <t>Engineering dropbox account</t>
  </si>
  <si>
    <t>It would be useful to have a designated engineering dropbox account which has access to the relevant dropbox folders needed for engineering tasks. Currently I am utilizing EE dropbox which has access to most folders but I am still missing a few such as 1PWR PV trackers. This would be useful to have access to as sometimes Jordan will give me things to read about in those other folders but I am not able to do so due to not having access to the relevant folders.</t>
  </si>
  <si>
    <t>Clockify not running</t>
  </si>
  <si>
    <t>Google form response - Purchase requests</t>
  </si>
  <si>
    <t>I submitted 2 or 3 purchase requests this morning, but don't see any record of it being submitted as usual.</t>
  </si>
  <si>
    <t xml:space="preserve">Purchase requests not going through </t>
  </si>
  <si>
    <t>Mlanjeni</t>
  </si>
  <si>
    <t>Purchase requests not going through.</t>
  </si>
  <si>
    <t xml:space="preserve">I have sent out three purchase requests and no email notifications have come through to me and to admin team. </t>
  </si>
  <si>
    <t>SEB site</t>
  </si>
  <si>
    <t>https://drive.google.com/open?id=1urGxYhCD8ojBB2ZODSYUl80n6O67jwU1</t>
  </si>
  <si>
    <t>Phone, Charger (58662433)+phone hisense</t>
  </si>
  <si>
    <t>https://drive.google.com/open?id=1EnhYk2v6jS72ZYAGsZm6mF3gNtzOzBgg</t>
  </si>
  <si>
    <t>Site supervisor (58692610)</t>
  </si>
  <si>
    <t xml:space="preserve">Lebohang Ralekaota </t>
  </si>
  <si>
    <t>no workable internet access</t>
  </si>
  <si>
    <t>sms gateway not processing payments today and yesterday</t>
  </si>
  <si>
    <t>https://drive.google.com/open?id=1KLXkSntvhhGRKMbFoqD8g76xvXD07Tnh</t>
  </si>
  <si>
    <t>petlane.lekau@gmail.com</t>
  </si>
  <si>
    <t>For communications at work</t>
  </si>
  <si>
    <t>https://drive.google.com/open?id=1xvBYmWxIZStq0ADS1PXib4ZfTrTBNMgf</t>
  </si>
  <si>
    <t>Onepower work</t>
  </si>
  <si>
    <t>https://drive.google.com/open?id=1jB29vqSz_HIeAoGtwAEmOq05QwhEHAi5</t>
  </si>
  <si>
    <t xml:space="preserve">Entry overlap not resolved </t>
  </si>
  <si>
    <t xml:space="preserve">It shows entry overlap but hose bothata </t>
  </si>
  <si>
    <t>It says entry overlap on the Monday entries even though there is no overlap</t>
  </si>
  <si>
    <t>I forgot my password, and I had to clear out my cache today. How do I reset the password? This is urgent, as I need to complete my time card by EOD today.</t>
  </si>
  <si>
    <t>Request a permanent solution to the recurring poor internet access in production area.</t>
  </si>
  <si>
    <t>Internet Issue, Teams connection</t>
  </si>
  <si>
    <t>Request a test in using Teams via the new internet connection at my desk for a meeting tomorrow</t>
  </si>
  <si>
    <t>Ethernet Adapter EA008</t>
  </si>
  <si>
    <t>Intenert</t>
  </si>
  <si>
    <t>mamoritsoanet@gmail.com</t>
  </si>
  <si>
    <t xml:space="preserve">Laptop screen not responding </t>
  </si>
  <si>
    <t>Mamoritsoane</t>
  </si>
  <si>
    <t>https://drive.google.com/open?id=1LrNzUvS3icLhWfwe9PlvOifxTcATe7xP</t>
  </si>
  <si>
    <t xml:space="preserve">not able to see files in fellow dropbox </t>
  </si>
  <si>
    <t>Phone PHO006, tablet TAB012</t>
  </si>
  <si>
    <t>Work at site</t>
  </si>
  <si>
    <t>The laptop cannot display the screen. I first got the report from Mr Kubutu about the issue. I used the laptop perfectly  for few days until one time when it indeed could not display the screen. 
I charge the laptop in the vehicle therefore i believe there must have been some kind of pressure that acted on it thus leading to the problem at hand.</t>
  </si>
  <si>
    <t>charlotte_oster@alumni.brown.edu</t>
  </si>
  <si>
    <t>I have a personal computer that is working fine, but I am not able to use Microsoft Project on it. I need a PC or another kind of computer that I can use for Microsoft Project.</t>
  </si>
  <si>
    <t>Charlotte Oster</t>
  </si>
  <si>
    <t>moroka@1pwrafrica.com</t>
  </si>
  <si>
    <t>For massages</t>
  </si>
  <si>
    <t>https://drive.google.com/open?id=1Z9V4AJ-cz5SORZTmEQoQQt86RUml9oa-</t>
  </si>
  <si>
    <t>Laptop, modem  (with data) and speaker</t>
  </si>
  <si>
    <t>tomorrow's meeting 30/11/2022 in Qacha's Nek district council</t>
  </si>
  <si>
    <t>Laptop, Speaker and modem (with data)</t>
  </si>
  <si>
    <t>Tomorrow's meeting in Qacha's Nek district council</t>
  </si>
  <si>
    <t>1 per item</t>
  </si>
  <si>
    <t>I get a privacy when trying to access my 1PWR email address from the web. Please see attached screenshot.</t>
  </si>
  <si>
    <t>https://drive.google.com/open?id=1EVzZ_9gGwQ4Xv6dHVsmUCrJD1fXYkvgY</t>
  </si>
  <si>
    <t xml:space="preserve">jabi.sonopo@gmail.com </t>
  </si>
  <si>
    <t>HR portal login failure</t>
  </si>
  <si>
    <t>laptop key buttons not functional</t>
  </si>
  <si>
    <t xml:space="preserve">Teams </t>
  </si>
  <si>
    <t xml:space="preserve">login in  </t>
  </si>
  <si>
    <t>Lost phone(Samsung com35) and solar charger</t>
  </si>
  <si>
    <t>ralehane@1pwrafrica.com</t>
  </si>
  <si>
    <t>Laptop does not start</t>
  </si>
  <si>
    <t>Mapapo Ralehane</t>
  </si>
  <si>
    <t>To-Do</t>
  </si>
  <si>
    <t xml:space="preserve">Unable to view all tasks assigned to me </t>
  </si>
  <si>
    <t>Need help to set up asset management dropbox</t>
  </si>
  <si>
    <t>morema@1pwrarfica.com</t>
  </si>
  <si>
    <t>Device Issue (laptop, tablet or mobile phone), unable to install Ubuntu in dual boot mode</t>
  </si>
  <si>
    <t>When installing Ubuntu, I get a message that the current Windows installation is not detected</t>
  </si>
  <si>
    <t>laptop charger replacement</t>
  </si>
  <si>
    <t>To charge the laptop, I use. The current one has too many connectors and many times one of the gets lose and the laptop uses battery while I think it is charging.</t>
  </si>
  <si>
    <t xml:space="preserve">Content gathering at Sites </t>
  </si>
  <si>
    <t xml:space="preserve">Mahlela@1pwrafrica.com </t>
  </si>
  <si>
    <t xml:space="preserve">Site phone </t>
  </si>
  <si>
    <t>https://drive.google.com/open?id=1bq_t-nXKgoUcnEs9596_C-Bczc7O8iLz</t>
  </si>
  <si>
    <t>Ubuntu installation was successful but the Windows Boot loader is not missing</t>
  </si>
  <si>
    <t>Mistakenly deleted Windows when installing Ubuntu. I need help with a fresh Windows installation.</t>
  </si>
  <si>
    <t xml:space="preserve">Software issue </t>
  </si>
  <si>
    <t xml:space="preserve">Microsoft office is not activated on my computer so I cannot save my work </t>
  </si>
  <si>
    <t>Device Issue (laptop, tablet or mobile phone), Clockify / HR Portal</t>
  </si>
  <si>
    <t>Can’t access my HR portal</t>
  </si>
  <si>
    <t>https://drive.google.com/open?id=1sVHL9aTYn6DghVgzNzJHFNVwoHyLPNvc</t>
  </si>
  <si>
    <t>https://drive.google.com/open?id=1YVwUCBqxWKbEyIRHMI_xIN_0hI4sCq0O</t>
  </si>
  <si>
    <t>lempe@1pwrafrica.com</t>
  </si>
  <si>
    <t>Lap Top use</t>
  </si>
  <si>
    <t>Rethabile Lempe</t>
  </si>
  <si>
    <t>Seshema@1pwrafrica.com</t>
  </si>
  <si>
    <t>Help with laptop problem in locking some apps</t>
  </si>
  <si>
    <t>Lefa seshemane</t>
  </si>
  <si>
    <t>I would like to focus intensely for about 2 hours</t>
  </si>
  <si>
    <t>petlane@1pwrafrica.com</t>
  </si>
  <si>
    <t>My time card has error called overlap</t>
  </si>
  <si>
    <t>Overlap error</t>
  </si>
  <si>
    <t>Microsoft teams Set Up</t>
  </si>
  <si>
    <t>To focus during the workday</t>
  </si>
  <si>
    <t>We need the "Development and Testing Phone" to perform functionality tests on the Meter Systems.</t>
  </si>
  <si>
    <t>Spam</t>
  </si>
  <si>
    <t xml:space="preserve">I received an email notifying me of a termination of employment at One Power MSO has confirmed it as Spam and to be reported to IT to look into it, I have attached a screenshot of it. </t>
  </si>
  <si>
    <t>https://drive.google.com/open?id=1Q0twvivPBo0FQFE-xdBRhfhUEHGrV1qr</t>
  </si>
  <si>
    <t>Ke Friday</t>
  </si>
  <si>
    <t>Github</t>
  </si>
  <si>
    <t>I would like to configure repositories so that the branches do not get automatically deleted when making pull requests.</t>
  </si>
  <si>
    <t>Can I please have the Dev and Testing phone in order to test 1PWR smart meters?</t>
  </si>
  <si>
    <t>Monday focus</t>
  </si>
  <si>
    <t>Morema Mafaniti</t>
  </si>
  <si>
    <t>I would like to set that for all of our codebases, the "develop" and the main are never deleted when merging pull requests.</t>
  </si>
  <si>
    <t>I seem to have an issue with my email attachments. They don't go through sometimes.</t>
  </si>
  <si>
    <t>Receiving emails  but not able to send them.</t>
  </si>
  <si>
    <t>I am failing to use the word pad</t>
  </si>
  <si>
    <t>Failing to use word pad</t>
  </si>
  <si>
    <t>USB Stick</t>
  </si>
  <si>
    <t>To print service agreements copies.</t>
  </si>
  <si>
    <t>Drone control</t>
  </si>
  <si>
    <t xml:space="preserve"> jabi.sonopo@gmail.com</t>
  </si>
  <si>
    <t>USB Cable</t>
  </si>
  <si>
    <t>tranfer files</t>
  </si>
  <si>
    <t>Monitor, Vehicle trackers</t>
  </si>
  <si>
    <t>Vehicle trackers</t>
  </si>
  <si>
    <t>Mandla Mokake</t>
  </si>
  <si>
    <t>SD card reader</t>
  </si>
  <si>
    <t>No SD card slot on PC</t>
  </si>
  <si>
    <t xml:space="preserve">Internet not working. I had to reset it this morning when I got to hq and then it started working but not consistently and now it's giving the same error again and resetting it isn't helping. The router has a steady red light on internet
</t>
  </si>
  <si>
    <t>Cordless Mouse</t>
  </si>
  <si>
    <t>Laptop operation</t>
  </si>
  <si>
    <t>moliehi@1pwrafrica.com</t>
  </si>
  <si>
    <t>I will be on call from the 27th to 30th there will be working from home</t>
  </si>
  <si>
    <t xml:space="preserve">music vibes </t>
  </si>
  <si>
    <t>tebohom@1pwrafrica.com</t>
  </si>
  <si>
    <t>19th Dec. entry says overlap but I can't see what the issue is because the times, dates, are not overlapping.</t>
  </si>
  <si>
    <t>New Year's welcome for the team.</t>
  </si>
  <si>
    <t>1.5V AA Battery (Mouse Battery)</t>
  </si>
  <si>
    <t>Mouse Usage (Work)</t>
  </si>
  <si>
    <t>Monitor, Mouse</t>
  </si>
  <si>
    <t>Equipment for new engineering fellow to make it easier to do tasks</t>
  </si>
  <si>
    <t>Wifi router in production area keeps having issues and having a red light under internet but a reset usually solves it. Just posting this for reference</t>
  </si>
  <si>
    <t>Hours for all leave days do not reflect on portal</t>
  </si>
  <si>
    <t>O&amp;M desktops don't have internet connection</t>
  </si>
  <si>
    <t>no data on HR portal for the past two weeks</t>
  </si>
  <si>
    <t>COM 01 phone has network connection problem.</t>
  </si>
  <si>
    <t xml:space="preserve">It needs to be fixed... </t>
  </si>
  <si>
    <t>email time configuration</t>
  </si>
  <si>
    <t>https://drive.google.com/open?id=1ftJOMHUlQKP9v1Pd4cVZbCeuBG5mSmgn</t>
  </si>
  <si>
    <t>lineo@1pwrafrica.com</t>
  </si>
  <si>
    <t>my emails keep bouncing back</t>
  </si>
  <si>
    <t>https://drive.google.com/open?id=1xHtx_3yNXiVIGlkXmBkrVg7QGTINfN3F</t>
  </si>
  <si>
    <t>Connect laptop to printer</t>
  </si>
  <si>
    <t>Laptop not connecting to printer</t>
  </si>
  <si>
    <t>Need to draw</t>
  </si>
  <si>
    <t>LAPTOP  CHARGER</t>
  </si>
  <si>
    <t>CHARGING-OKD ONE DAMAGED, CANNOT CHARGE AS PREVIOUSLY REPORTED</t>
  </si>
  <si>
    <t>https://drive.google.com/open?id=1o5OZXOKD3jGDxL9T0wlH5Bs3-xD9BY9U</t>
  </si>
  <si>
    <t xml:space="preserve">Monitor, Screen Protector </t>
  </si>
  <si>
    <t>Need a new screen protector for mobile phone and a monitor for use on my desk.</t>
  </si>
  <si>
    <t>pkelepa@gmail.com</t>
  </si>
  <si>
    <t>Timecard entries show as entry overlaps even though there appear to be no overlaps, these are for the time periods of  December 19–26 and 26–1.</t>
  </si>
  <si>
    <t>No able to connect</t>
  </si>
  <si>
    <t xml:space="preserve">Morongoemnyane </t>
  </si>
  <si>
    <t>keyboard and touch pad not working</t>
  </si>
  <si>
    <t>HR portal not synchronising data</t>
  </si>
  <si>
    <t>clockify does not respond</t>
  </si>
  <si>
    <t>Laptop not charging</t>
  </si>
  <si>
    <t xml:space="preserve">Ralefaso </t>
  </si>
  <si>
    <t>I can not send meeting invites to colleagues on Outlook.</t>
  </si>
  <si>
    <t>Drone breaking flexy</t>
  </si>
  <si>
    <t>https://drive.google.com/open?id=1eEqf4lz-8OMhrZBtGT7IQCNnAdC1tVGg, https://drive.google.com/open?id=1bTum-9bB2HUn6QCUT1bNYmBLu7QZ8KtW</t>
  </si>
  <si>
    <t>leloko@1pwrafrica</t>
  </si>
  <si>
    <t>Office activation</t>
  </si>
  <si>
    <t>I would like to request a new mailing list titled koios@1pwrafrica.com with Amy, Rethabile, Matt and myself as members.</t>
  </si>
  <si>
    <t>Desktop scratch disk clean up</t>
  </si>
  <si>
    <t>Softwares failure to run</t>
  </si>
  <si>
    <t>Lisebo@1pwrafrica</t>
  </si>
  <si>
    <t>Hr portal error</t>
  </si>
  <si>
    <t>HR portal entry overlap problem</t>
  </si>
  <si>
    <t>cannot open excel and word documents, there is an error message that pops up</t>
  </si>
  <si>
    <t>https://drive.google.com/open?id=1efYR3F3pDmy2CH5K9TOmsboD-puzC4Nb</t>
  </si>
  <si>
    <t>REFILOE RAMALEFANE</t>
  </si>
  <si>
    <t>The LAN cable in the boardroom seems to have bent and has many issues</t>
  </si>
  <si>
    <t>Device Issue (laptop, tablet or mobile phone), Email</t>
  </si>
  <si>
    <t>The monitor freezes when I open excel also the emails keeps saying the space is small as a results gets full everytime.</t>
  </si>
  <si>
    <t>I can't log in to my emails since this afternoon.</t>
  </si>
  <si>
    <t>unfunctional Excel</t>
  </si>
  <si>
    <t>ralehemane@1pwrafrica.com</t>
  </si>
  <si>
    <t>THE PHONE WAS HIT BY A STAMBER AND CRACKED SCREEN</t>
  </si>
  <si>
    <t>MAPAPO RALEHEMANE</t>
  </si>
  <si>
    <t>Request to Install arcGIS</t>
  </si>
  <si>
    <t>Work and Studying</t>
  </si>
  <si>
    <t xml:space="preserve">tlaba@1pwrafrica.com </t>
  </si>
  <si>
    <t>Cant access Microsoft word</t>
  </si>
  <si>
    <t>To have a meeting with Jordan at 9:30</t>
  </si>
  <si>
    <t>Friday Hours not appearing in the HR Portal and are captured in Clockify, I need to have it rectified for submission.</t>
  </si>
  <si>
    <t>The screen blinks and then it says not responding.</t>
  </si>
  <si>
    <t>mouse battery</t>
  </si>
  <si>
    <t>maks@1pwrafrica.com</t>
  </si>
  <si>
    <t>Battery for the mouse. (AA)</t>
  </si>
  <si>
    <t>For the mouse</t>
  </si>
  <si>
    <t xml:space="preserve">Please help me with setting up AutoCAD. </t>
  </si>
  <si>
    <t>I am going to need your assistance with keying in the admin. password for installing this software.</t>
  </si>
  <si>
    <t>Payments cannot go through to sparkmeter from the sms gateway</t>
  </si>
  <si>
    <t>Friday Vibes</t>
  </si>
  <si>
    <t xml:space="preserve">tebesi@1pwrafrica.com </t>
  </si>
  <si>
    <t>Clockify 06/02/20 to 12/02/2023</t>
  </si>
  <si>
    <t xml:space="preserve">Tebesi Mohainyane </t>
  </si>
  <si>
    <t xml:space="preserve">Submiting Time card with OT </t>
  </si>
  <si>
    <t>entry overlap</t>
  </si>
  <si>
    <t>Candidate interview</t>
  </si>
  <si>
    <t>Itumeleng Mokone timecards for Feb not available on supervisor HR portal for approval</t>
  </si>
  <si>
    <t>Timecard 30 Jan - 5 Feb for Itumeleng Mokone was sent for Revise and Resubmit, but it does not appear on his new HR portal</t>
  </si>
  <si>
    <t>Can't login</t>
  </si>
  <si>
    <t xml:space="preserve">emails not synchronizing. </t>
  </si>
  <si>
    <t>Phone charger</t>
  </si>
  <si>
    <t>To charge EHS phone</t>
  </si>
  <si>
    <t>MAT Customer Service</t>
  </si>
  <si>
    <t xml:space="preserve">USB charger (c type) </t>
  </si>
  <si>
    <t xml:space="preserve">Power bank charging (SEB deployment)
</t>
  </si>
  <si>
    <t>Connection to printer</t>
  </si>
  <si>
    <t>Rasekeiti@1pwrafrica.com</t>
  </si>
  <si>
    <t xml:space="preserve">SMS gateway </t>
  </si>
  <si>
    <t>SMS gateway is missing payments. This happens because the phone is using onepowerlesotho Google accounts which crushes the payment system whenever an google authentication is needed.</t>
  </si>
  <si>
    <t>https://drive.google.com/open?id=1Q5PygMDHGIZPfVEal-hZVhctPAer20DN</t>
  </si>
  <si>
    <t>Dropbox account doesn't have space</t>
  </si>
  <si>
    <t>I was trying to add dropbox folders to the engineering dropbox account but from the first link I encountered the issue where there is not enough space available on the dropbox account</t>
  </si>
  <si>
    <t>https://drive.google.com/open?id=1Q0dyM7DD9mg1JONpoMFh7V1Wbn0iOXZd</t>
  </si>
  <si>
    <t>Site phone charger which was damaged when there was a generator malfunction and we request for a power bank</t>
  </si>
  <si>
    <t>Site using</t>
  </si>
  <si>
    <t>1each</t>
  </si>
  <si>
    <t>wifi port</t>
  </si>
  <si>
    <t xml:space="preserve">the printer is not printing out materials. </t>
  </si>
  <si>
    <t xml:space="preserve">Purchase request </t>
  </si>
  <si>
    <t>I am unable to attach documents to the PR platform, it shows a rejection message.</t>
  </si>
  <si>
    <t>mojabeng@1pwrafrica.com</t>
  </si>
  <si>
    <t xml:space="preserve">Password reset </t>
  </si>
  <si>
    <t>USB Software Lock not detected on production PC</t>
  </si>
  <si>
    <t>https://drive.google.com/open?id=1HCDveFRVB-H7QcdFr_D8c5cwpvadt5ER</t>
  </si>
  <si>
    <t>8 ports portable switch</t>
  </si>
  <si>
    <t>MAT and TLH commisioning</t>
  </si>
  <si>
    <t>i cant log into webmail- it says it cant reach it</t>
  </si>
  <si>
    <t>Laptop, Monitor, Camera, power bank, modem</t>
  </si>
  <si>
    <t>Coverage</t>
  </si>
  <si>
    <t>Laptop, Camera, modem, powerbank</t>
  </si>
  <si>
    <t>Content shooting</t>
  </si>
  <si>
    <t>Mojabeng SONOPO</t>
  </si>
  <si>
    <t>To perform daily O&amp;M tasks</t>
  </si>
  <si>
    <t xml:space="preserve">the desktop excel keeps on freezing then delete all the data inserted </t>
  </si>
  <si>
    <t>Device Issue (laptop, tablet or mobile phone), Flash</t>
  </si>
  <si>
    <t>Flash that cannot open and displays some errors</t>
  </si>
  <si>
    <t>to use for Desktop</t>
  </si>
  <si>
    <t xml:space="preserve">ralekaota@1pwrafrica.com </t>
  </si>
  <si>
    <t xml:space="preserve">Running slow,hardware update needed </t>
  </si>
  <si>
    <t>The current one can't load the google earth so we can hardly work on it when we need to make some changes on a tool</t>
  </si>
  <si>
    <t>PB03 and MOD04</t>
  </si>
  <si>
    <t>Work at MAT: access to the internet and charge the gateway phone</t>
  </si>
  <si>
    <t>Provisioning</t>
  </si>
  <si>
    <t>my HR portal report as if i did not take a break yet i did</t>
  </si>
  <si>
    <t>Device Issue (laptop, tablet or mobile phone), Laptop charger not working</t>
  </si>
  <si>
    <t>Laptop charger not charging</t>
  </si>
  <si>
    <t>Tablet, power bank , moderm</t>
  </si>
  <si>
    <t>Survey</t>
  </si>
  <si>
    <t>tablets (4), power bank (2) moderm (2)</t>
  </si>
  <si>
    <t>Vehicle approval form</t>
  </si>
  <si>
    <t>The form disappeared</t>
  </si>
  <si>
    <t>Ralefaso M</t>
  </si>
  <si>
    <t>System update</t>
  </si>
  <si>
    <t>Lisebo Ntsane</t>
  </si>
  <si>
    <t>software</t>
  </si>
  <si>
    <t>system update, windows office, dropbox sync speed</t>
  </si>
  <si>
    <t>nthethemohapi@gmail.com</t>
  </si>
  <si>
    <t>IT support</t>
  </si>
  <si>
    <t>I encounter problem in accessing material from the dropbox</t>
  </si>
  <si>
    <t>Nthethe Mohapi</t>
  </si>
  <si>
    <t>Can't access dropbox</t>
  </si>
  <si>
    <t>The link i was send to join TDL isnt working</t>
  </si>
  <si>
    <t xml:space="preserve">Mamoritsoane </t>
  </si>
  <si>
    <t>Battery for the Mouse</t>
  </si>
  <si>
    <t>Work: Battery for the mouse</t>
  </si>
  <si>
    <t>1Pwr Microsoft account needed to be renewed</t>
  </si>
  <si>
    <t>Battery Mouse</t>
  </si>
  <si>
    <t>Work: Mouse Battery</t>
  </si>
  <si>
    <t>Entry overlap</t>
  </si>
  <si>
    <t xml:space="preserve">Black laptop back sticker that aren't sensitive to stain </t>
  </si>
  <si>
    <t xml:space="preserve">Laptop protection </t>
  </si>
  <si>
    <t xml:space="preserve">Taole Letseka </t>
  </si>
  <si>
    <t>No data in Hr Portal</t>
  </si>
  <si>
    <t>To join PM teams meeting</t>
  </si>
  <si>
    <t xml:space="preserve">Inverter </t>
  </si>
  <si>
    <t>https://drive.google.com/open?id=17C2v3X9q1TUN0L-IwlTZcehTDgwzGzVM</t>
  </si>
  <si>
    <t>pulekatleho85@gmail.com</t>
  </si>
  <si>
    <t>Printer</t>
  </si>
  <si>
    <t>printer not printing.</t>
  </si>
  <si>
    <t>Video Editing Software</t>
  </si>
  <si>
    <t>I need help with installation of a good video editing software</t>
  </si>
  <si>
    <t>Uninstalling apps</t>
  </si>
  <si>
    <t>Disk full</t>
  </si>
  <si>
    <t>microsoft word not responding</t>
  </si>
  <si>
    <t>microsoft word not respondind</t>
  </si>
  <si>
    <t>hr portal data synchronizing failure</t>
  </si>
  <si>
    <t>reatile@1pwrafrica.com</t>
  </si>
  <si>
    <t>Ethernet to type c adapter</t>
  </si>
  <si>
    <t>to connect to internet with phone, for production team</t>
  </si>
  <si>
    <t>Reatile Sehloho</t>
  </si>
  <si>
    <t>Laptop, Moderm</t>
  </si>
  <si>
    <t>Site visit</t>
  </si>
  <si>
    <t>Camera</t>
  </si>
  <si>
    <t>Laptop, Modem, power bank, laptop charger.</t>
  </si>
  <si>
    <t>SEH. gen. site visit and SEH. council meeting</t>
  </si>
  <si>
    <t>1 of each.</t>
  </si>
  <si>
    <t>My desktop pc password expired, need assistance to recover and update password.</t>
  </si>
  <si>
    <t>HR survey link</t>
  </si>
  <si>
    <t>HR survey link not working.</t>
  </si>
  <si>
    <t>Unable to login on HR portal, how can I reset my password?</t>
  </si>
  <si>
    <t>Bluetooth Speaker</t>
  </si>
  <si>
    <t xml:space="preserve">Ramatla@1pwrafrica.com </t>
  </si>
  <si>
    <t xml:space="preserve">I have a problem with password recovery. </t>
  </si>
  <si>
    <t>Microsoft 365 not working</t>
  </si>
  <si>
    <t xml:space="preserve">Adaptor </t>
  </si>
  <si>
    <t>Drill charge</t>
  </si>
  <si>
    <t>https://drive.google.com/open?id=1Ny0Kzc1a_ON0AqWqc5abwWHIuOwWMFvB</t>
  </si>
  <si>
    <t xml:space="preserve">Password on my desktop seems to have been changed as I can't log in as usual </t>
  </si>
  <si>
    <t>Charger phone</t>
  </si>
  <si>
    <t>To charge phone</t>
  </si>
  <si>
    <t>Tablet, 4 tablets, 4 power banks and 1 modern</t>
  </si>
  <si>
    <t xml:space="preserve">MECS survey </t>
  </si>
  <si>
    <t>Microsoft teams set up</t>
  </si>
  <si>
    <t>Laptop, moderm</t>
  </si>
  <si>
    <t>site visit</t>
  </si>
  <si>
    <t>Approval of requests</t>
  </si>
  <si>
    <t xml:space="preserve">David keeps on asking why requests (purchase &amp; OT) is going to him for approval if Production does not report to David, but to Matt. </t>
  </si>
  <si>
    <t>Failing to open an MPP document on my desktop.</t>
  </si>
  <si>
    <t>katleho pule</t>
  </si>
  <si>
    <t xml:space="preserve">Makhoalinyane@1pwrafrica.com </t>
  </si>
  <si>
    <t>Laptop 001</t>
  </si>
  <si>
    <t>Slowness at some point</t>
  </si>
  <si>
    <t>Lichaba@1pwrafrica.com</t>
  </si>
  <si>
    <t>Modem with VCL sim</t>
  </si>
  <si>
    <t>Will most likely need an internet connection for commissioning MAT + TLH</t>
  </si>
  <si>
    <t>I can not submit my previous week clockify because of an overlap error that needs to be resolved.</t>
  </si>
  <si>
    <t>LEBOHANG RALEKAOTA</t>
  </si>
  <si>
    <t>mojabeng@1pwrafrica .com</t>
  </si>
  <si>
    <t xml:space="preserve">   iphone  cable charger</t>
  </si>
  <si>
    <t>charging</t>
  </si>
  <si>
    <t xml:space="preserve">Lineo's computer is not operational it seems to be crashing, she needs to resume doing her work. </t>
  </si>
  <si>
    <t xml:space="preserve">SEH security </t>
  </si>
  <si>
    <t>https://drive.google.com/open?id=1puLoYYxmGQ7ZKICR7a2B0ooqcG08Aqmu, https://drive.google.com/open?id=1uAVQRY9aZd11mOSsU-byCRSFz9d2VxLs</t>
  </si>
  <si>
    <t>the desktop stopped responding and shut down after a long updating system note from the machine, it ended up not opening ever again which i believe has trashed because of the large excel data i was dealing with.</t>
  </si>
  <si>
    <t>mojabeng@1pwrafica.com</t>
  </si>
  <si>
    <t>Site surveys</t>
  </si>
  <si>
    <t>Jabra Speaker and MODEM</t>
  </si>
  <si>
    <t>1 FOR EACH</t>
  </si>
  <si>
    <t xml:space="preserve">O&amp;M department does not appear on production job card </t>
  </si>
  <si>
    <t>https://drive.google.com/open?id=15BCcpLT8lj1Unw22U4H0DYmnfBP7wVfd</t>
  </si>
  <si>
    <t>Clockify / HR Portal, Email</t>
  </si>
  <si>
    <t>Clocking hours on Sunday does not reflect into HR portal even though Sunday is part of that week</t>
  </si>
  <si>
    <t xml:space="preserve">Phone have internal problem </t>
  </si>
  <si>
    <t>https://drive.google.com/open?id=1rZdVtJneFqysEAOwyqBBHlH3veYLOda_</t>
  </si>
  <si>
    <t>phone not charging</t>
  </si>
  <si>
    <t>Dropbox documents</t>
  </si>
  <si>
    <t>Documents appearing corrupt while accessing on dropbox</t>
  </si>
  <si>
    <t xml:space="preserve">ODK </t>
  </si>
  <si>
    <t>The ODK failure to send files</t>
  </si>
  <si>
    <t>I am not receiving messages sent via All Hands</t>
  </si>
  <si>
    <t>mlanjeni@1pwrafrica</t>
  </si>
  <si>
    <t>desktop set up. monitor already available</t>
  </si>
  <si>
    <t>Asset Management fellow</t>
  </si>
  <si>
    <t>mlanjeni tikiso</t>
  </si>
  <si>
    <t xml:space="preserve">request assistance in setting up a google form for asset management assets/invetory requests. Integrated to spreadsheet </t>
  </si>
  <si>
    <t>na</t>
  </si>
  <si>
    <t xml:space="preserve">laptop 003 needs an IT password to use adobe reader also there is also mcfee pop up every time whic says its detecting virus and needs to be updated soon. </t>
  </si>
  <si>
    <t>Ketsotsitsinyane@gmail.com</t>
  </si>
  <si>
    <t>Activation problem</t>
  </si>
  <si>
    <t>Ketd Tsitsinyane</t>
  </si>
  <si>
    <t>Please attend to laptop PMTEAM02, its touch pad is not working</t>
  </si>
  <si>
    <t>Laptop not connecting to Capped internet.</t>
  </si>
  <si>
    <t>Engineering desktop has been picked for pieces so it currently has no power cable, mouse or keyboard and monitor has no hdmi cable or power cable</t>
  </si>
  <si>
    <t xml:space="preserve">the laptop 003 locked the keyboard, </t>
  </si>
  <si>
    <t xml:space="preserve">Can't login to engineering desktop as it wants the ee-team account to sign into Microsoft </t>
  </si>
  <si>
    <t>Clockify / HR Portal, Installing Dropbox on this laptop - LAP018</t>
  </si>
  <si>
    <t xml:space="preserve">Offline Dropbox </t>
  </si>
  <si>
    <t>mosese@1pwrafrica.com</t>
  </si>
  <si>
    <t>Email password reset</t>
  </si>
  <si>
    <t>Kutloano Mosese</t>
  </si>
  <si>
    <t>Repair functionality of Production Job Card system</t>
  </si>
  <si>
    <t>Job cards submitted are not displayed on dashboard since end of last week</t>
  </si>
  <si>
    <t>Komete@1pwrafrica.com</t>
  </si>
  <si>
    <t>My clockify locked out</t>
  </si>
  <si>
    <t xml:space="preserve">Laptop freezes during operation </t>
  </si>
  <si>
    <t>Unable to submit and manage jobcards due to poor internet connectivity</t>
  </si>
  <si>
    <t>I urgently  request asset management to have its own dropbox login in details. we are currently using PM</t>
  </si>
  <si>
    <t>Safety officer</t>
  </si>
  <si>
    <t>Can't open MS files</t>
  </si>
  <si>
    <t>katleho</t>
  </si>
  <si>
    <t>Ethernet cable</t>
  </si>
  <si>
    <t>To connect to laptop 018</t>
  </si>
  <si>
    <t>CPU017 jams quite a lot, and no MS files can be opened.</t>
  </si>
  <si>
    <t xml:space="preserve">Hrportal password </t>
  </si>
  <si>
    <t>I forgot my password on hr portal</t>
  </si>
  <si>
    <t>Ts'episo Ramatla</t>
  </si>
  <si>
    <t xml:space="preserve">Seshemane@1pwrafrica.com </t>
  </si>
  <si>
    <t>Laptop blinks</t>
  </si>
  <si>
    <t xml:space="preserve">Lefa seshemane </t>
  </si>
  <si>
    <t>HDMI to laptop adapter</t>
  </si>
  <si>
    <t>Connect laptop to monitor</t>
  </si>
  <si>
    <t>Production Job Card</t>
  </si>
  <si>
    <t>Request update on restoring the functionality of Job Card System</t>
  </si>
  <si>
    <t xml:space="preserve">Komete@1pwrafrica.komete@1pwrafrica.com </t>
  </si>
  <si>
    <t xml:space="preserve">1 for site </t>
  </si>
  <si>
    <t>https://drive.google.com/open?id=11wbEyFiEYu9kN6YO4SbavjucmLseTJ9Q</t>
  </si>
  <si>
    <t>Laptop slow. Assistance required for connecting to printer in finance office.</t>
  </si>
  <si>
    <t>Usb cable (A - micro B)</t>
  </si>
  <si>
    <t>1Meter prototype testing</t>
  </si>
  <si>
    <t>phone &amp; screen protector</t>
  </si>
  <si>
    <t>Mann</t>
  </si>
  <si>
    <t>Laptop, Mouse (temporarily)</t>
  </si>
  <si>
    <t>To setup the mac virtual box</t>
  </si>
  <si>
    <t>Laptop usage at HQ.</t>
  </si>
  <si>
    <t>Internet very slow and hard to be part of meetings/do work</t>
  </si>
  <si>
    <t>Mouse + mousepad</t>
  </si>
  <si>
    <t>To use my desktop as they are missing and I can't use a desktop without one</t>
  </si>
  <si>
    <t>Flooded laptop. following keys not working - d g h m s</t>
  </si>
  <si>
    <t>oronoenyaneTlali</t>
  </si>
  <si>
    <t>Memory Card Adapter</t>
  </si>
  <si>
    <t>To program the SD card on a PC (1Meter Gateway tests)</t>
  </si>
  <si>
    <t>tshabalala@1pwrafrica.com</t>
  </si>
  <si>
    <t>The current Customer Care phone for MAT is unable to recieve calls except for whatsapp calls. could you please exchange with a different phone preferebly a bigger phone because Customer Care will use the phone to handle a large number of calls and messages as this phone will also be used for TLH and other conccessions .</t>
  </si>
  <si>
    <t>Water spilled on the laptop keyboard, and some key no longer working</t>
  </si>
  <si>
    <t>the desktop crushed few months ago, and there was a document that was left in there, which i ask that the IT department recover for me.</t>
  </si>
  <si>
    <t>LINEO</t>
  </si>
  <si>
    <t>My desktop PC</t>
  </si>
  <si>
    <t>Job cards submitted on 28 July is on master sheet but not displayed on dashboard.</t>
  </si>
  <si>
    <t>Laptop, morderm,  laptop charger and powewrbank, camera and stand</t>
  </si>
  <si>
    <t>Monitor, CPU</t>
  </si>
  <si>
    <t xml:space="preserve">Work: for fellows to have access to dropbox. And have an efficient pc for work related tasks. </t>
  </si>
  <si>
    <t>moeketsi@1pwrafrica.com</t>
  </si>
  <si>
    <t>My clockify password is always rejected when i enter it and requires me to change password every time when i have to log in.</t>
  </si>
  <si>
    <t xml:space="preserve">Moeketsi Mohai </t>
  </si>
  <si>
    <t>No power</t>
  </si>
  <si>
    <t xml:space="preserve">Struggling to use my desktop for work as the power keeps tripping making me lose progress and slowing down my efficiency </t>
  </si>
  <si>
    <t>Repair of phone port</t>
  </si>
  <si>
    <t>seleket3@gmail.com</t>
  </si>
  <si>
    <t>Ethernet adapter</t>
  </si>
  <si>
    <t>Internet Connectivity</t>
  </si>
  <si>
    <t>Tsepang Seleke</t>
  </si>
  <si>
    <t>USB HUB</t>
  </si>
  <si>
    <t>Extension to USB ports on laptop.</t>
  </si>
  <si>
    <t>Laptop for Engineering department. Should be powerful enough to run solidworks for models and simulations. This is being requested because Jordan is soon to leave and currently his laptops are the ones used by engineering team</t>
  </si>
  <si>
    <t>I receive pop up messages.</t>
  </si>
  <si>
    <t>https://drive.google.com/open?id=1A9PZeJaNRqTp9NMQDrgcwAuHcS-5rG_I</t>
  </si>
  <si>
    <t>Keyboard is acting up and I think it needs replacement batteries (AA)</t>
  </si>
  <si>
    <t>It looks like my onepower email is full. I cannot view the sent items and new inboxes</t>
  </si>
  <si>
    <t>Ethernet to type C adapter</t>
  </si>
  <si>
    <t>Ethernet connection to notebook</t>
  </si>
  <si>
    <t>Portal doesn't extract from clockify</t>
  </si>
  <si>
    <t>Phone Case &amp; Screen Protector</t>
  </si>
  <si>
    <t xml:space="preserve">Protection of Mobile device (Cell Phone). </t>
  </si>
  <si>
    <t>One of Each</t>
  </si>
  <si>
    <t>The gateway phone(MAT) sim 2 slot not working, hence the payments from Mpesa are not going through the sms sync app.</t>
  </si>
  <si>
    <t xml:space="preserve">Won't let me create timecard </t>
  </si>
  <si>
    <t>WeChat account for eng phone or another phone that can access wechat</t>
  </si>
  <si>
    <t>To communicate with SYL/Sinosoar engineers</t>
  </si>
  <si>
    <t>I need to upload SolidWorks software to 1PWR dropbox with size of 16GB and need assistance or approval to do this.
www.dropbox.com/home/1PWR PROD TEAM/8) Software</t>
  </si>
  <si>
    <t>HR Portal not available</t>
  </si>
  <si>
    <t xml:space="preserve">Laptop cannot start/turn on. </t>
  </si>
  <si>
    <t>I need engineering dropbox to have access to more 1PWR folders as I have been given a task to organize the documents and update accordingly. But I cannot do so if I dont have access to the relevant folders to update</t>
  </si>
  <si>
    <t>Seleket3@gmail.com</t>
  </si>
  <si>
    <t xml:space="preserve">Mousepad </t>
  </si>
  <si>
    <t>Smooth motion &amp; usage</t>
  </si>
  <si>
    <t xml:space="preserve">Tsepang Seleke </t>
  </si>
  <si>
    <t>I need to borrow a phone that can run the following app for commissioning:
Name: SUN2000 (by Huawai)
https://url.cloud.huawei.com/lYmXjLlmkE</t>
  </si>
  <si>
    <t>Job Cards</t>
  </si>
  <si>
    <t>Not been updating the last week</t>
  </si>
  <si>
    <t>There seems to a problem with the phone's mic</t>
  </si>
  <si>
    <t>ketsotsinyane@gmail.com</t>
  </si>
  <si>
    <t>PC RAM</t>
  </si>
  <si>
    <t>PC upgrade</t>
  </si>
  <si>
    <t>Ketso Tsitsinyane</t>
  </si>
  <si>
    <t>unable to attach files on WhatsApp, emails, quick books etc</t>
  </si>
  <si>
    <t>Need access to ME Team folders to view manufacturing designs and drawings</t>
  </si>
  <si>
    <t>Some keyboard buttons do not work.</t>
  </si>
  <si>
    <t>Suddenly becomes off</t>
  </si>
  <si>
    <t>Sleep, shut down and restart do not respond. Have to long press power button to shut down.</t>
  </si>
  <si>
    <t>https://drive.google.com/open?id=1IXJP5yalHdFtIFpP3SemsT4xiPfF5k94</t>
  </si>
  <si>
    <t>Production Job Cards</t>
  </si>
  <si>
    <t>Job cards dashboard not updating from master sheet since yesterday</t>
  </si>
  <si>
    <t>Lichaba@1pwrfrica.com</t>
  </si>
  <si>
    <t>We have a new fellow now who will need to use ME desktop for some of here tasks so I will also need access to a computer during those times to continue with my tasks.</t>
  </si>
  <si>
    <t>Internet is not working this morning and I need it for my current work. Computer also struggling to connect to my phone hotspot for some reason</t>
  </si>
  <si>
    <t xml:space="preserve">Ethernet cable + switcher </t>
  </si>
  <si>
    <t>For production mezzanine so Mapitso can connect her laptop to the already existing ethernet system without taking the cable from anyone else</t>
  </si>
  <si>
    <t>I could not connect to internet</t>
  </si>
  <si>
    <t>Ethernet cables + splitter</t>
  </si>
  <si>
    <t>ME fellows to use the internet as the wifi is very slow and spotty on the production mezzanine</t>
  </si>
  <si>
    <t>My email is failing to download attached documents. Please help.</t>
  </si>
  <si>
    <t xml:space="preserve">Device Issue (laptop, tablet or mobile phone), </t>
  </si>
  <si>
    <t>ME desktop just spontaneously lost connection to the screen then shut down. After this I tried to switch it back on but it kept displaying a message that no operating system found. Then I unplugged all the power cord components and plugged it back in and it works again. But I though it bets to report incase it happens again or is the beginning of a more underlying issue</t>
  </si>
  <si>
    <t>https://drive.google.com/open?id=1ndu-qI0JG853YvbzksSNlspBNDUbd4g0</t>
  </si>
  <si>
    <t>Not been updating for about 2 weeks now.</t>
  </si>
  <si>
    <t>Power Bank, 10m Ethernet Cable, Charger Head, Extension cord, 10 RJ-45</t>
  </si>
  <si>
    <t>For MAN and MET clinics</t>
  </si>
  <si>
    <t>https://drive.google.com/open?id=1rsVzQo40nW2MB55Ojvp1SZVUhBe44tH4</t>
  </si>
  <si>
    <t>I get an error when I try to submit my time card in the new portal</t>
  </si>
  <si>
    <t>https://drive.google.com/open?id=1vTINH4Sud47v7oOEH2yufMOTZlOejE9Q</t>
  </si>
  <si>
    <t>evelynlehlabaphiri@gmail.com</t>
  </si>
  <si>
    <t>installation of AutoCad on my laptop</t>
  </si>
  <si>
    <t>not  a problem, needed for practice on Engineering drawings</t>
  </si>
  <si>
    <t>Mapitso Lehlabaphiri</t>
  </si>
  <si>
    <t>Phone charger not working</t>
  </si>
  <si>
    <t xml:space="preserve">Laptop fan continuously turning. Laptop feels hot. </t>
  </si>
  <si>
    <t>Job Card</t>
  </si>
  <si>
    <t>Production Job Card system has no O&amp;M listed in department drop-down.</t>
  </si>
  <si>
    <t>Job card dashboard still not updating</t>
  </si>
  <si>
    <t xml:space="preserve"> Flash drives for PM Team</t>
  </si>
  <si>
    <t>For scaned documents from the printer</t>
  </si>
  <si>
    <t>Wireless Access Point device</t>
  </si>
  <si>
    <t>to connect sms gateway phones  wirelessly.</t>
  </si>
  <si>
    <t>2 vonets devices, 2 memory cards</t>
  </si>
  <si>
    <t>these will be used to connect indoor cams at Ketane and Nkau clinics</t>
  </si>
  <si>
    <t>2 each</t>
  </si>
  <si>
    <t>kelebone@1pwrafrica.com</t>
  </si>
  <si>
    <t>Phone Screen craked</t>
  </si>
  <si>
    <t>Fleet phone screen cracked it needs to be replaced.</t>
  </si>
  <si>
    <t>Kelebone Bohloko</t>
  </si>
  <si>
    <t>maqelepomofokeng@gmail.com</t>
  </si>
  <si>
    <t>printing cable</t>
  </si>
  <si>
    <t xml:space="preserve">to connect desktop with the print since it is not printing via wifi </t>
  </si>
  <si>
    <t>Maqelepo Mofokeng</t>
  </si>
  <si>
    <t>Facilities site works - drafting of SOPs</t>
  </si>
  <si>
    <t>USB flash drive</t>
  </si>
  <si>
    <t>Manual extraction of data from PCS at MAT</t>
  </si>
  <si>
    <t>1 (2GB)</t>
  </si>
  <si>
    <t>Mouse for ME laptop as it is very difficult working on SOLIDWORKS using a trackpad</t>
  </si>
  <si>
    <t>I do not get a notification when my supervisor returns my timecard for revision</t>
  </si>
  <si>
    <t>Nexus</t>
  </si>
  <si>
    <t>I was unable to log into nexus when I needed to update some things on my timecard but was able to log into hr portal successfully</t>
  </si>
  <si>
    <t>https://drive.google.com/open?id=13sfmH7vVXaK79n62fqSbvPwh1dz8vCsv</t>
  </si>
  <si>
    <t>Hecker email from richard</t>
  </si>
  <si>
    <t>Cannot log into email</t>
  </si>
  <si>
    <t>https://drive.google.com/open?id=1PkQtT5zQMixxI8sebYVzdPNXbEN0LXy_</t>
  </si>
  <si>
    <t>I cant log in. keep going to an error page when I try to log in to submit my timecards</t>
  </si>
  <si>
    <t>MAS Gateway phone, switched itself off and got stuck at boot up. this is not the first time it happens.</t>
  </si>
  <si>
    <t>Please help me with doing away with cookies</t>
  </si>
  <si>
    <t>No access to internet via network cable</t>
  </si>
  <si>
    <t>No wireless or wired internet access in Production area</t>
  </si>
  <si>
    <t xml:space="preserve">wifi repeater </t>
  </si>
  <si>
    <t>For MAK newly installed Current Transformer meters</t>
  </si>
  <si>
    <t>communication switch</t>
  </si>
  <si>
    <t>For MAK router</t>
  </si>
  <si>
    <t>kananelo@1pwrafrica.com</t>
  </si>
  <si>
    <t>Desktop won't move past the start-up window. The black command window pops up with instruction to re-boot but after the option has been selected no other command works.</t>
  </si>
  <si>
    <t>Hr portal omitted other days being 01/12/2023</t>
  </si>
  <si>
    <t>Email account is at 80% capacity</t>
  </si>
  <si>
    <t>https://drive.google.com/open?id=1OM0qAI3eBkixIWTRUzfVezy2ELev7ZA4</t>
  </si>
  <si>
    <t>Keep on getting message of Timeout trying to login to HR Portal</t>
  </si>
  <si>
    <t>https://drive.google.com/open?id=1R5ts_217xEExTTnEpCas5bHlWSSZ5hr6</t>
  </si>
  <si>
    <t>ME desktop not starting up. Issue appears to be the harddrive but I wish to open it up and try disconnecting/connecting some components to see if anything can be resolved. If not I may have to collect another laptop for temporary use while waiting for a solution.</t>
  </si>
  <si>
    <t>0007 Laptop to be repaired, screen and keyboard</t>
  </si>
  <si>
    <t>https://drive.google.com/open?id=1A5KEAr4Axjkyn_j3nFbrDze7SPlodvIB</t>
  </si>
  <si>
    <t>My Dropbox seems to be out of sync and can not sync.</t>
  </si>
  <si>
    <t>Battery for Hisense does not last. lasts about 20 mins and shutsdown</t>
  </si>
  <si>
    <t>Problem opening HR portal</t>
  </si>
  <si>
    <t>https://drive.google.com/open?id=10HngSy2_BOoNS0VeKtsvquDnG7TyZxhX</t>
  </si>
  <si>
    <t>HR Portal connection timeout (resubmitting IT request as it didn't get confirmation of request submitted)</t>
  </si>
  <si>
    <t>https://drive.google.com/open?id=1fFlJIQDr4vRfhh1rqMyFxY66s2gPAxFR</t>
  </si>
  <si>
    <t>Solidworks</t>
  </si>
  <si>
    <t>Access to Solidworks CAD on AWS on Prodution team desktop for team members.</t>
  </si>
  <si>
    <t>Laptop, Phone, Charger</t>
  </si>
  <si>
    <t xml:space="preserve">MAT deployment </t>
  </si>
  <si>
    <t>Laptop, Phone, Ret001, PHO039, Ret007</t>
  </si>
  <si>
    <t>tlalliQ1pwrafrica.com</t>
  </si>
  <si>
    <t xml:space="preserve">cannot access </t>
  </si>
  <si>
    <t xml:space="preserve">Laptop sometimes shows horizontal lines across the screen </t>
  </si>
  <si>
    <t>https://drive.google.com/open?id=1dety2YXn4oOfAPw-D0q2jXffD07U3jUe</t>
  </si>
  <si>
    <t>I can not login with updated details.</t>
  </si>
  <si>
    <t>USB flash drive corrupt</t>
  </si>
  <si>
    <t>Customer care phone screen broken</t>
  </si>
  <si>
    <t>https://drive.google.com/open?id=1bG4JctNB3FxoZmaDM6A2hHVS_IxiZP4K</t>
  </si>
  <si>
    <t>thabontsoeu@gmail.com</t>
  </si>
  <si>
    <t xml:space="preserve">Ethernet cable </t>
  </si>
  <si>
    <t xml:space="preserve">Lose connection </t>
  </si>
  <si>
    <t>https://drive.google.com/open?id=1h_Uv5YJDQuaDkhASmQYdBFSY_GDzaeiM</t>
  </si>
  <si>
    <t xml:space="preserve">Thabo Ntsoeu </t>
  </si>
  <si>
    <t>lichaba@1pwrafrica.con</t>
  </si>
  <si>
    <t>HDMI to Display port cable</t>
  </si>
  <si>
    <t xml:space="preserve">To connect my computer to a monitor </t>
  </si>
  <si>
    <t xml:space="preserve">Drawing on solid works </t>
  </si>
  <si>
    <t>Thabo Ntsoeu</t>
  </si>
  <si>
    <t>the laptop's screen becomes blue in colour, laptop automatically shuts down and restarts itself. It has been happening since yesterday.</t>
  </si>
  <si>
    <t>Molefi</t>
  </si>
  <si>
    <t>Remove figurine ads from O&amp;M monitor</t>
  </si>
  <si>
    <t>Assist O&amp;M to remove figurine ads from O&amp;M site monitoring monitor/computer.</t>
  </si>
  <si>
    <t>pp Retha</t>
  </si>
  <si>
    <t xml:space="preserve">camera , weather station and spark meter kits. </t>
  </si>
  <si>
    <t>KET installs</t>
  </si>
  <si>
    <t>the procurement Microsoft account subscription has been cancelled, as the some of the features we need to use has been disabled.</t>
  </si>
  <si>
    <t>the procurement Microsoft account subscription has been cancelled, as the result some of the features we need to use will be disabled soon.</t>
  </si>
  <si>
    <t>Lineo Mosouenyane</t>
  </si>
  <si>
    <t>Motebang@1pwrafrica.com</t>
  </si>
  <si>
    <t>Dropbox login</t>
  </si>
  <si>
    <t>Can I please be assisted to login to 1PWR dropbox, I can't recall my login details.</t>
  </si>
  <si>
    <t>laptop charger</t>
  </si>
  <si>
    <t xml:space="preserve">to charger the laptop that i use, the charger that i have keeps stopping when charging. </t>
  </si>
  <si>
    <t xml:space="preserve">to charge the laptop that i use for work, the charger that i use keeps giving me problems when i am charging. It stops charging. </t>
  </si>
  <si>
    <t xml:space="preserve">Laptop switches itself off </t>
  </si>
  <si>
    <t>Mapapo Ralehemane</t>
  </si>
  <si>
    <t>customer care whatsap phone does not read sim card and is not able to coonect to wifi</t>
  </si>
  <si>
    <t>WhatsApp on personal phone</t>
  </si>
  <si>
    <t>Company WhatsApp groups' photos automatically download on Maphoka's phone</t>
  </si>
  <si>
    <t xml:space="preserve">may I be assisted with sticker design that we had a meeting about last week </t>
  </si>
  <si>
    <t>sticker design to be placed in the main DB here at HQ</t>
  </si>
  <si>
    <t>Dropbox access</t>
  </si>
  <si>
    <t>Need help to sign in to access 1PWR dropbox</t>
  </si>
  <si>
    <t xml:space="preserve">Monaheng@1pwrafrica.com </t>
  </si>
  <si>
    <t>Laptop, Laptop  charger</t>
  </si>
  <si>
    <t xml:space="preserve">Work site purpose </t>
  </si>
  <si>
    <t>Laptop, Phone</t>
  </si>
  <si>
    <t xml:space="preserve">maqelepomofokeng@gmail.com </t>
  </si>
  <si>
    <t xml:space="preserve">Keyboard not functioning after power cut </t>
  </si>
  <si>
    <t xml:space="preserve">Maqelepo Mofokeng </t>
  </si>
  <si>
    <t>maphoka@1pwrafrica.com</t>
  </si>
  <si>
    <t>Laptop storage issues that resulted in device being too slow</t>
  </si>
  <si>
    <t>Maphoka Seleke</t>
  </si>
  <si>
    <t xml:space="preserve">Security monitor / computer sometimes automatically reboots </t>
  </si>
  <si>
    <t xml:space="preserve">reatile@1pwrafrica.com </t>
  </si>
  <si>
    <t>Ethernet topology</t>
  </si>
  <si>
    <t>Eternity line does not allow us to open the door</t>
  </si>
  <si>
    <t>mapitso@1pwrafrica.com</t>
  </si>
  <si>
    <t>Network cable relocation</t>
  </si>
  <si>
    <t>Relocate existing network cable and trunking - it prevents glass door from opening on Production side mezzanine.</t>
  </si>
  <si>
    <t>nexus fleet ticket form</t>
  </si>
  <si>
    <t>add fleet ticket form to nexus</t>
  </si>
  <si>
    <t>kelebone@1pwrafica.com</t>
  </si>
  <si>
    <t>add fleet request form to nexus</t>
  </si>
  <si>
    <t>i need help logging into dropbox, it keeps saying my login details are wrong.</t>
  </si>
  <si>
    <t>help logging into dropbox, it keeps saying my login details are wrong.</t>
  </si>
  <si>
    <t>jaytabkhoase@gmail.com</t>
  </si>
  <si>
    <t>word document</t>
  </si>
  <si>
    <t xml:space="preserve">word document not responding </t>
  </si>
  <si>
    <t>THABANG KHOASE</t>
  </si>
  <si>
    <t>Seshemane@1pwrafrica.com</t>
  </si>
  <si>
    <t xml:space="preserve">Micro soft Exel problem </t>
  </si>
  <si>
    <t xml:space="preserve">Seshemane Lefa </t>
  </si>
  <si>
    <t>Error in email replies</t>
  </si>
  <si>
    <t xml:space="preserve">TDL account not found </t>
  </si>
  <si>
    <t>To be used by TLH security</t>
  </si>
  <si>
    <t>Flash drive</t>
  </si>
  <si>
    <t>To transfer files and scan documents</t>
  </si>
  <si>
    <t>When turned on, the screen remains black, but content is displayed on the external monitor.</t>
  </si>
  <si>
    <t>https://drive.google.com/open?id=1FgYWScgSSyTBA-Sr_6IyRM0-zyu2azzI</t>
  </si>
  <si>
    <t>jjj</t>
  </si>
  <si>
    <t>ydyd</t>
  </si>
  <si>
    <t>jj</t>
  </si>
  <si>
    <t xml:space="preserve">3 pin US standard adaptor </t>
  </si>
  <si>
    <t xml:space="preserve">for replacement of a faulty one </t>
  </si>
  <si>
    <t>My current laptop screen is broken and keyboard is not working</t>
  </si>
  <si>
    <t>I need assistance on how to generate reports from Clockify</t>
  </si>
  <si>
    <t>help with the software</t>
  </si>
  <si>
    <t>Suspicious email received from null@oszone.net to request my email password to be changed</t>
  </si>
  <si>
    <t>Power bank (5000mAh), max current: 2.1A</t>
  </si>
  <si>
    <t>1Meter Testing (For third system)</t>
  </si>
  <si>
    <t xml:space="preserve">foso@1pwrafrica.com </t>
  </si>
  <si>
    <t xml:space="preserve">MAT site Phone takes a long time to be full charged </t>
  </si>
  <si>
    <t>Molupe Foso</t>
  </si>
  <si>
    <t xml:space="preserve">flash drive </t>
  </si>
  <si>
    <t xml:space="preserve">saving documents when scanning </t>
  </si>
  <si>
    <t>Received Dropbox notification: that subscription has ended and out of storage space</t>
  </si>
  <si>
    <t>OneDrive account for prod-team@1pwrafrica.com</t>
  </si>
  <si>
    <t>I received an email notification that the OneDrive account for prod-team@1pwrafrica.com is currently frozen. I am not sure what info is stored on this OneDrive account.</t>
  </si>
  <si>
    <t>TV screen faulty</t>
  </si>
  <si>
    <t xml:space="preserve">Charging system and this laptop is slow, it needs to be refresh or upgrade </t>
  </si>
  <si>
    <t>Charging system</t>
  </si>
  <si>
    <t>ethernet to c-type converter</t>
  </si>
  <si>
    <t>For connecting ethernet cable to laptop</t>
  </si>
  <si>
    <t xml:space="preserve">ethernet to C-type converter </t>
  </si>
  <si>
    <t>The one i was using is lost</t>
  </si>
  <si>
    <t>Microsoft To Do</t>
  </si>
  <si>
    <t>Assist to setup a MS ToDo group for PROD team</t>
  </si>
  <si>
    <t xml:space="preserve">moeketsi@1pwrafrica.com </t>
  </si>
  <si>
    <t>Work purposes</t>
  </si>
  <si>
    <t>Moeketsi Mohai</t>
  </si>
  <si>
    <t>ME team members timecards to be under Deon for approval</t>
  </si>
  <si>
    <t xml:space="preserve">Microsoft word is not responsive </t>
  </si>
  <si>
    <t xml:space="preserve">Moeketsi </t>
  </si>
  <si>
    <t>phone charging  system problem</t>
  </si>
  <si>
    <t>Bohloko</t>
  </si>
  <si>
    <t>Delay of emails when making Production job card</t>
  </si>
  <si>
    <t>Mpitso@1pwrafrica.com</t>
  </si>
  <si>
    <t>Laptop makes a  whistling disturbing sound</t>
  </si>
  <si>
    <t>Mary Mpitso</t>
  </si>
  <si>
    <t>rethanile@1pwrafrica.com</t>
  </si>
  <si>
    <t>Phone does not charge</t>
  </si>
  <si>
    <t xml:space="preserve">Kelebone@1pwrafrica.com </t>
  </si>
  <si>
    <t xml:space="preserve">Charging </t>
  </si>
  <si>
    <t xml:space="preserve">Kelebone Bohloko </t>
  </si>
  <si>
    <t>Urgent software installation</t>
  </si>
  <si>
    <t>Please install Plasma Cutting Software on Production PC urgently.
Dropbox links:
https://www.dropbox.com/scl/fi/9vqob9tqctxx7sbel1ho9/StarCAM-V4.4.exe?rlkey=m2t6bg6k75jxblz2db33q3gt6&amp;st=zpgj7j9p&amp;dl=0
https://www.dropbox.com/scl/fi/qzwgj37yr82a881cs244v/1-1-starcam-install.mp4?rlkey=gibyc3x4pdj6ky3s8citggrnn&amp;st=iglb8k0h&amp;dl=0
https://www.dropbox.com/scl/fi/m8t7o1yl5ukd8z3eltzel/1-2-starcam-install-if-computer-not-have-CD-driver.mp4?rlkey=8aqep0uwg4gyrcyqjyw9f340u&amp;st=v76ccyjy&amp;dl=0</t>
  </si>
  <si>
    <t>HDMI to laptop adaptor</t>
  </si>
  <si>
    <t>for cascading laptop and screen</t>
  </si>
  <si>
    <t>I was typing and curser disappears and left and right buttons stopped functioning, and yellow light appears on the curser sensor</t>
  </si>
  <si>
    <t xml:space="preserve">Device for Remote Monitoring of MAK power plant </t>
  </si>
  <si>
    <t xml:space="preserve">We can discuss needs/solutions for Remote Monitoring of MAK power plant </t>
  </si>
  <si>
    <t xml:space="preserve">1PWR - PUECO folder in dropbox not accessible </t>
  </si>
  <si>
    <t xml:space="preserve">Folder not accessible </t>
  </si>
  <si>
    <t xml:space="preserve">kelebone@1pwrafrica.com </t>
  </si>
  <si>
    <t>Fleet phone is having a serious problem, 50% battery cut off and we recently replaced it.</t>
  </si>
  <si>
    <t>MS office</t>
  </si>
  <si>
    <t>MS office deactivated on my laptop</t>
  </si>
  <si>
    <t>Fleet laptop does not show or reflect Job card number(link) after making Request</t>
  </si>
  <si>
    <t xml:space="preserve">Materials </t>
  </si>
  <si>
    <t>SHG</t>
  </si>
  <si>
    <t>Abc bundle 5000m, Airdag 5050m, Lv stay rod 55, Lv stay plate 55, Lv stay insulators 55, Lv pole top 55, M16 pigtail 70, M16 eye nut 40, Abc strainers 90, Abc suspension 60, Airdag Strainers 100, Pigtail screw 60, 201 TTDS 1200, 151 TTDS 120, Readyboards 20, strap binding 5 Pcs, Pvc conduit 20mm 100, Pvc conduit 25mm 20, Steel conduit 20mm 70, Cable ties 10 Pcs, Saddle steel 4 Pcs, Lv stay wire 300m, Black wire 6mm 500m, Guy grip Lv 100, Steel nails 2kg</t>
  </si>
  <si>
    <t>Clockify not running in realtime.</t>
  </si>
  <si>
    <t>monitoring screens</t>
  </si>
  <si>
    <t>The screen is dim, we suspect LED problem.</t>
  </si>
  <si>
    <t>Makhoalinyane Teboho</t>
  </si>
  <si>
    <t>My laptop battery seems to have died because it only charges to 0% and it immediately shuts down once i remove the charger.</t>
  </si>
  <si>
    <t>Mapitso's timecards not available for 2025</t>
  </si>
  <si>
    <t>https://drive.google.com/open?id=1qoB4BrZMsEacWkDMB8uLN5-WMQK6vzRy</t>
  </si>
  <si>
    <t>Clockify sometimes is unable to log time sheets, sometime does not run the clock in real time.</t>
  </si>
  <si>
    <t>Phoka Raphoka.</t>
  </si>
  <si>
    <t>HR Portal</t>
  </si>
  <si>
    <t>HR Portal not going through ("404 Not Found").</t>
  </si>
  <si>
    <t>sula@1pwrafrica.com</t>
  </si>
  <si>
    <t>laptop (1PWR00633) Draining battery fast at times only operates on charger sometimes works 2 days without need to charge sometimes turns itself off after a minute, yet it was charged for more than 30 minutes. also uses too much data at a go and drains one we have too quickly</t>
  </si>
  <si>
    <t>Keketso Sula</t>
  </si>
  <si>
    <t>OVERHEATING, AUTO-SHUTDOWN, BATTERY NOT WORKING(operates as a desktop)...after thermal pasting process, looks like the screws have become loose...it has been loosing screws one by one....and thermal paste seems to be wearing off with time as its back to rapid auto-shutdown...worsen with Hot weather condition like this of today!</t>
  </si>
  <si>
    <t>PM is now being used by Matt and asked we get new phone for PM, We use it for community engagements (Minigrids project reports/Stakeholder engagement)</t>
  </si>
  <si>
    <t>Equipment Description</t>
  </si>
  <si>
    <t>Checked By</t>
  </si>
  <si>
    <t>Entry Number</t>
  </si>
  <si>
    <t>Counter in check in</t>
  </si>
  <si>
    <t>Availabilty State</t>
  </si>
  <si>
    <t>Main 0374</t>
  </si>
  <si>
    <t>Committee phone</t>
  </si>
  <si>
    <t>Tumelo Makhakhe</t>
  </si>
  <si>
    <t>Laptop, Asus VivoBook X515JAB_X515JA</t>
  </si>
  <si>
    <t>Laptop, Gateway GWTN156-1RG</t>
  </si>
  <si>
    <t>Laptop, Dell Latitude</t>
  </si>
  <si>
    <t>Laptop, Hp Elitebook 840 G3</t>
  </si>
  <si>
    <t>Monitor, Hikvision</t>
  </si>
  <si>
    <t>Finance office</t>
  </si>
  <si>
    <t>Monitor,Telefunken TLEDD-24HD</t>
  </si>
  <si>
    <t>Monitor, Telefunken TLEDD-24HD</t>
  </si>
  <si>
    <t>Monitor, Dell S2421HN</t>
  </si>
  <si>
    <t>Monitor, Samsung</t>
  </si>
  <si>
    <t>Monitor, ViewSonic</t>
  </si>
  <si>
    <t>Tsabalira Phoofolo</t>
  </si>
  <si>
    <t>Monitor, Telefunken</t>
  </si>
  <si>
    <t>EHS-10</t>
  </si>
  <si>
    <t>Laptop, Dell</t>
  </si>
  <si>
    <t>Switch, HiLook</t>
  </si>
  <si>
    <t>Router, ZTE</t>
  </si>
  <si>
    <t>Phone,iServe</t>
  </si>
  <si>
    <t>Hp Laptop,Charger</t>
  </si>
  <si>
    <t>Kuwi Router. No additional accessories</t>
  </si>
  <si>
    <t>Usb Cable</t>
  </si>
  <si>
    <t>Power Cable</t>
  </si>
  <si>
    <t>Sello (Reticulation)</t>
  </si>
  <si>
    <t>CPU with Hdmi,dispaly Cable,wifi adapter</t>
  </si>
  <si>
    <t>Committee Phone</t>
  </si>
  <si>
    <t>Hp Laptop</t>
  </si>
  <si>
    <t>Winnovo Tablet</t>
  </si>
  <si>
    <t>Untaged</t>
  </si>
  <si>
    <t>two pin plug</t>
  </si>
  <si>
    <t>Kuwfi Router</t>
  </si>
  <si>
    <t>Matete</t>
  </si>
  <si>
    <t>Returned by</t>
  </si>
  <si>
    <t>Condition</t>
  </si>
  <si>
    <t>Tlhokomelo</t>
  </si>
  <si>
    <t>Needs Maintainance</t>
  </si>
  <si>
    <t>Good Condition</t>
  </si>
  <si>
    <t>Needs Repair</t>
  </si>
  <si>
    <t>Unrepairable</t>
  </si>
  <si>
    <t>good condition</t>
  </si>
  <si>
    <t xml:space="preserve">Item </t>
  </si>
  <si>
    <t>Tablets</t>
  </si>
  <si>
    <t>Laptop Battery</t>
  </si>
  <si>
    <t>Phone Battery</t>
  </si>
  <si>
    <t>Available</t>
  </si>
  <si>
    <t>Laptops</t>
  </si>
  <si>
    <t>Phones</t>
  </si>
  <si>
    <t>Desktops</t>
  </si>
  <si>
    <t>Other</t>
  </si>
  <si>
    <t>TOTAL</t>
  </si>
  <si>
    <t>Request</t>
  </si>
  <si>
    <t>in maintanace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</si>
</sst>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h:mm:ss"/>
    <numFmt numFmtId="165" formatCode="dd/mm/yyyy hh:mm"/>
    <numFmt numFmtId="166" formatCode="dd/mm/yyyy"/>
    <numFmt numFmtId="167" formatCode="mmm dd, yyy h:mm"/>
    <numFmt numFmtId="168" formatCode="mmm dd, yyy hh:mm"/>
    <numFmt numFmtId="169" formatCode="dd/mm/yyyy hh:mm:ss"/>
    <numFmt numFmtId="170" formatCode="d/m/yyyy hh:mm:ss"/>
    <numFmt numFmtId="171" formatCode="mm/dd/yyyy hh:mm:ss"/>
    <numFmt numFmtId="172" formatCode="yyyy/mm/dd"/>
  </numFmts>
  <fonts count="35">
    <font>
      <sz val="10.0"/>
      <color rgb="FF000000"/>
      <name val="Arial"/>
      <scheme val="minor"/>
    </font>
    <font>
      <i/>
      <sz val="12.0"/>
      <color rgb="FFFF0000"/>
      <name val="Calibri"/>
    </font>
    <font>
      <i/>
      <sz val="11.0"/>
      <color rgb="FFFF0000"/>
      <name val="Calibri"/>
    </font>
    <font>
      <color theme="1"/>
      <name val="Arial"/>
      <scheme val="minor"/>
    </font>
    <font>
      <sz val="11.0"/>
      <color theme="1"/>
      <name val="Arial"/>
    </font>
    <font>
      <sz val="11.0"/>
      <color rgb="FF000000"/>
      <name val="Arial"/>
    </font>
    <font>
      <color rgb="FF000000"/>
      <name val="Arial"/>
    </font>
    <font>
      <b/>
      <sz val="14.0"/>
      <color theme="1"/>
      <name val="Arial"/>
    </font>
    <font>
      <b/>
      <sz val="14.0"/>
      <color theme="1"/>
      <name val="Arial"/>
      <scheme val="minor"/>
    </font>
    <font>
      <sz val="11.0"/>
      <color rgb="FF000000"/>
      <name val="Docs-Calibri"/>
    </font>
    <font>
      <sz val="11.0"/>
      <color theme="1"/>
      <name val="Calibri"/>
    </font>
    <font>
      <sz val="11.0"/>
      <color rgb="FF000000"/>
      <name val="Calibri"/>
    </font>
    <font>
      <b/>
      <sz val="11.0"/>
      <color theme="1"/>
      <name val="Arial"/>
    </font>
    <font>
      <color theme="1"/>
      <name val="Arial"/>
    </font>
    <font>
      <b/>
      <sz val="10.0"/>
      <color theme="1"/>
      <name val="Arial"/>
      <scheme val="minor"/>
    </font>
    <font>
      <color rgb="FFFFFFFF"/>
      <name val="Arial"/>
      <scheme val="minor"/>
    </font>
    <font>
      <u/>
      <color rgb="FF0000FF"/>
    </font>
    <font>
      <b/>
      <color theme="1"/>
      <name val="Arial"/>
      <scheme val="minor"/>
    </font>
    <font>
      <color rgb="FFD53E26"/>
      <name val="Arial"/>
      <scheme val="minor"/>
    </font>
    <font>
      <color rgb="FF1155CC"/>
      <name val="Arial"/>
      <scheme val="minor"/>
    </font>
    <font>
      <color rgb="FFBE9002"/>
      <name val="Arial"/>
      <scheme val="minor"/>
    </font>
    <font>
      <b/>
      <color rgb="FFFFFFFF"/>
      <name val="Arial"/>
      <scheme val="minor"/>
    </font>
    <font>
      <u/>
      <color rgb="FF0000FF"/>
    </font>
    <font>
      <u/>
      <color rgb="FF1155CC"/>
      <name val="Arial"/>
      <scheme val="minor"/>
    </font>
    <font>
      <u/>
      <color rgb="FF1155CC"/>
    </font>
    <font>
      <color theme="1"/>
      <name val="Inconsolata"/>
    </font>
    <font>
      <sz val="11.0"/>
      <color rgb="FF222222"/>
      <name val="Inconsolata"/>
    </font>
    <font>
      <sz val="11.0"/>
      <color rgb="FF000000"/>
      <name val="Inconsolata"/>
    </font>
    <font>
      <sz val="11.0"/>
      <color rgb="FF222222"/>
      <name val="&quot;Google Sans&quot;"/>
    </font>
    <font>
      <sz val="14.0"/>
      <color theme="1"/>
      <name val="Arial"/>
    </font>
    <font>
      <sz val="14.0"/>
      <color rgb="FF000000"/>
      <name val="Arial"/>
    </font>
    <font>
      <b/>
      <sz val="14.0"/>
      <color rgb="FF000000"/>
      <name val="Arial"/>
    </font>
    <font>
      <u/>
      <sz val="14.0"/>
      <color theme="1"/>
      <name val="Arial"/>
    </font>
    <font>
      <u/>
      <sz val="14.0"/>
      <color theme="1"/>
      <name val="Arial"/>
    </font>
    <font>
      <u/>
      <sz val="14.0"/>
      <color theme="1"/>
      <name val="Arial"/>
    </font>
  </fonts>
  <fills count="11">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A8D08D"/>
        <bgColor rgb="FFA8D08D"/>
      </patternFill>
    </fill>
    <fill>
      <patternFill patternType="solid">
        <fgColor rgb="FF1155CC"/>
        <bgColor rgb="FF1155CC"/>
      </patternFill>
    </fill>
    <fill>
      <patternFill patternType="solid">
        <fgColor rgb="FFD9E1F2"/>
        <bgColor rgb="FFD9E1F2"/>
      </patternFill>
    </fill>
    <fill>
      <patternFill patternType="solid">
        <fgColor rgb="FF607D8B"/>
        <bgColor rgb="FF607D8B"/>
      </patternFill>
    </fill>
    <fill>
      <patternFill patternType="solid">
        <fgColor rgb="FFEABD34"/>
        <bgColor rgb="FFEABD34"/>
      </patternFill>
    </fill>
    <fill>
      <patternFill patternType="solid">
        <fgColor rgb="FFB7B7B7"/>
        <bgColor rgb="FFB7B7B7"/>
      </patternFill>
    </fill>
    <fill>
      <patternFill patternType="solid">
        <fgColor theme="4"/>
        <bgColor theme="4"/>
      </patternFill>
    </fill>
  </fills>
  <borders count="4">
    <border/>
    <border>
      <left style="thin">
        <color rgb="FFE7E6E6"/>
      </left>
      <right style="thin">
        <color rgb="FFE7E6E6"/>
      </right>
      <top style="thin">
        <color rgb="FFE7E6E6"/>
      </top>
      <bottom style="thin">
        <color rgb="FFE7E6E6"/>
      </bottom>
    </border>
    <border>
      <left style="thin">
        <color rgb="FFE7E6E6"/>
      </left>
      <right style="thin">
        <color rgb="FFE7E6E6"/>
      </right>
      <bottom style="thin">
        <color rgb="FFE7E6E6"/>
      </bottom>
    </border>
    <border>
      <right style="thin">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textRotation="45" wrapText="0"/>
    </xf>
    <xf borderId="0" fillId="0" fontId="2" numFmtId="49" xfId="0" applyAlignment="1" applyFont="1" applyNumberFormat="1">
      <alignment horizontal="left" readingOrder="0" shrinkToFit="0" textRotation="45" wrapText="0"/>
    </xf>
    <xf borderId="0" fillId="0" fontId="2" numFmtId="0" xfId="0" applyAlignment="1" applyFont="1">
      <alignment horizontal="left" readingOrder="0" shrinkToFit="0" textRotation="45" wrapText="0"/>
    </xf>
    <xf borderId="0" fillId="0" fontId="2" numFmtId="0" xfId="0" applyAlignment="1" applyFont="1">
      <alignment horizontal="left" shrinkToFit="0" textRotation="45" wrapText="0"/>
    </xf>
    <xf borderId="0" fillId="0" fontId="3" numFmtId="0" xfId="0" applyAlignment="1" applyFont="1">
      <alignment horizontal="left" readingOrder="0"/>
    </xf>
    <xf borderId="0" fillId="2" fontId="3" numFmtId="49" xfId="0" applyAlignment="1" applyFill="1" applyFont="1" applyNumberFormat="1">
      <alignment horizontal="left" readingOrder="0"/>
    </xf>
    <xf borderId="0" fillId="0" fontId="4" numFmtId="0" xfId="0" applyAlignment="1" applyFont="1">
      <alignment horizontal="left" readingOrder="0"/>
    </xf>
    <xf borderId="0" fillId="0" fontId="3" numFmtId="0" xfId="0" applyAlignment="1" applyFont="1">
      <alignment horizontal="left"/>
    </xf>
    <xf borderId="0" fillId="0" fontId="5" numFmtId="0" xfId="0" applyAlignment="1" applyFont="1">
      <alignment horizontal="left" readingOrder="0" shrinkToFit="0" vertical="bottom" wrapText="0"/>
    </xf>
    <xf borderId="0" fillId="0" fontId="4" numFmtId="0" xfId="0" applyAlignment="1" applyFont="1">
      <alignment horizontal="left"/>
    </xf>
    <xf borderId="0" fillId="2" fontId="3" numFmtId="49" xfId="0" applyAlignment="1" applyFont="1" applyNumberFormat="1">
      <alignment horizontal="left"/>
    </xf>
    <xf borderId="0" fillId="2" fontId="6" numFmtId="0" xfId="0" applyAlignment="1" applyFont="1">
      <alignment horizontal="left" readingOrder="0"/>
    </xf>
    <xf borderId="0" fillId="2" fontId="5" numFmtId="0" xfId="0" applyAlignment="1" applyFont="1">
      <alignment horizontal="left" readingOrder="0"/>
    </xf>
    <xf borderId="0" fillId="3" fontId="7" numFmtId="49" xfId="0" applyAlignment="1" applyFill="1" applyFont="1" applyNumberFormat="1">
      <alignment horizontal="left" readingOrder="0"/>
    </xf>
    <xf borderId="0" fillId="2" fontId="7" numFmtId="49" xfId="0" applyAlignment="1" applyFont="1" applyNumberFormat="1">
      <alignment horizontal="left" readingOrder="0"/>
    </xf>
    <xf borderId="0" fillId="3" fontId="7" numFmtId="0" xfId="0" applyAlignment="1" applyFont="1">
      <alignment horizontal="left" readingOrder="0"/>
    </xf>
    <xf borderId="0" fillId="0" fontId="8" numFmtId="0" xfId="0" applyAlignment="1" applyFont="1">
      <alignment horizontal="left"/>
    </xf>
    <xf borderId="0" fillId="4" fontId="9" numFmtId="0" xfId="0" applyAlignment="1" applyFill="1" applyFont="1">
      <alignment horizontal="left" readingOrder="0"/>
    </xf>
    <xf borderId="0" fillId="2" fontId="6" numFmtId="0" xfId="0" applyAlignment="1" applyFont="1">
      <alignment horizontal="left"/>
    </xf>
    <xf borderId="0" fillId="2" fontId="9" numFmtId="0" xfId="0" applyAlignment="1" applyFont="1">
      <alignment horizontal="left" readingOrder="0"/>
    </xf>
    <xf borderId="1" fillId="0" fontId="10" numFmtId="0" xfId="0" applyAlignment="1" applyBorder="1" applyFont="1">
      <alignment horizontal="left" vertical="top"/>
    </xf>
    <xf borderId="0" fillId="2" fontId="11" numFmtId="0" xfId="0" applyAlignment="1" applyFont="1">
      <alignment horizontal="left" readingOrder="0"/>
    </xf>
    <xf borderId="2" fillId="0" fontId="10" numFmtId="0" xfId="0" applyAlignment="1" applyBorder="1" applyFont="1">
      <alignment horizontal="left" vertical="top"/>
    </xf>
    <xf borderId="0" fillId="0" fontId="10" numFmtId="0" xfId="0" applyAlignment="1" applyFont="1">
      <alignment horizontal="left" readingOrder="0"/>
    </xf>
    <xf borderId="2" fillId="0" fontId="10" numFmtId="0" xfId="0" applyAlignment="1" applyBorder="1" applyFont="1">
      <alignment horizontal="left" readingOrder="0" vertical="top"/>
    </xf>
    <xf borderId="0" fillId="3" fontId="4" numFmtId="0" xfId="0" applyAlignment="1" applyFont="1">
      <alignment readingOrder="0"/>
    </xf>
    <xf borderId="0" fillId="3" fontId="4" numFmtId="49" xfId="0" applyAlignment="1" applyFont="1" applyNumberFormat="1">
      <alignment readingOrder="0"/>
    </xf>
    <xf borderId="0" fillId="3" fontId="4" numFmtId="0" xfId="0" applyAlignment="1" applyFont="1">
      <alignment readingOrder="0"/>
    </xf>
    <xf borderId="0" fillId="3" fontId="4" numFmtId="0" xfId="0" applyAlignment="1" applyFont="1">
      <alignment horizontal="right" readingOrder="0"/>
    </xf>
    <xf borderId="0" fillId="0" fontId="4" numFmtId="164" xfId="0" applyAlignment="1" applyFont="1" applyNumberFormat="1">
      <alignment readingOrder="0"/>
    </xf>
    <xf borderId="0" fillId="0" fontId="4" numFmtId="49" xfId="0" applyAlignment="1" applyFont="1" applyNumberFormat="1">
      <alignment readingOrder="0"/>
    </xf>
    <xf borderId="0" fillId="0" fontId="4" numFmtId="0" xfId="0" applyFont="1"/>
    <xf borderId="0" fillId="0" fontId="4" numFmtId="0" xfId="0" applyAlignment="1" applyFont="1">
      <alignment readingOrder="0"/>
    </xf>
    <xf borderId="0" fillId="0" fontId="4" numFmtId="0" xfId="0" applyAlignment="1" applyFont="1">
      <alignment horizontal="right"/>
    </xf>
    <xf borderId="0" fillId="0" fontId="4" numFmtId="14" xfId="0" applyAlignment="1" applyFont="1" applyNumberFormat="1">
      <alignment readingOrder="0"/>
    </xf>
    <xf borderId="0" fillId="5" fontId="4" numFmtId="14" xfId="0" applyAlignment="1" applyFill="1" applyFont="1" applyNumberFormat="1">
      <alignment readingOrder="0"/>
    </xf>
    <xf borderId="0" fillId="0" fontId="3" numFmtId="164" xfId="0" applyAlignment="1" applyFont="1" applyNumberFormat="1">
      <alignment readingOrder="0"/>
    </xf>
    <xf borderId="0" fillId="0" fontId="3" numFmtId="0" xfId="0" applyAlignment="1" applyFont="1">
      <alignment readingOrder="0"/>
    </xf>
    <xf borderId="0" fillId="0" fontId="3" numFmtId="0" xfId="0" applyFont="1"/>
    <xf borderId="0" fillId="0" fontId="3" numFmtId="0" xfId="0" applyAlignment="1" applyFont="1">
      <alignment horizontal="right" readingOrder="0"/>
    </xf>
    <xf borderId="0" fillId="0" fontId="3" numFmtId="0" xfId="0" applyAlignment="1" applyFont="1">
      <alignment horizontal="right"/>
    </xf>
    <xf borderId="0" fillId="0" fontId="4" numFmtId="0" xfId="0" applyAlignment="1" applyFont="1">
      <alignment readingOrder="0"/>
    </xf>
    <xf borderId="0" fillId="2" fontId="5" numFmtId="0" xfId="0" applyAlignment="1" applyFont="1">
      <alignment horizontal="right" readingOrder="0"/>
    </xf>
    <xf borderId="0" fillId="5" fontId="4" numFmtId="0" xfId="0" applyAlignment="1" applyFont="1">
      <alignment readingOrder="0"/>
    </xf>
    <xf borderId="0" fillId="0" fontId="4" numFmtId="0" xfId="0" applyAlignment="1" applyFont="1">
      <alignment horizontal="right" readingOrder="0"/>
    </xf>
    <xf borderId="0" fillId="0" fontId="5" numFmtId="49" xfId="0" applyAlignment="1" applyFont="1" applyNumberFormat="1">
      <alignment readingOrder="0" shrinkToFit="0" vertical="bottom" wrapText="0"/>
    </xf>
    <xf borderId="0" fillId="0" fontId="5" numFmtId="0" xfId="0" applyAlignment="1" applyFont="1">
      <alignment horizontal="right" readingOrder="0" shrinkToFit="0" vertical="bottom" wrapText="0"/>
    </xf>
    <xf borderId="0" fillId="5" fontId="4" numFmtId="0" xfId="0" applyFont="1"/>
    <xf borderId="0" fillId="0" fontId="5" numFmtId="49" xfId="0" applyAlignment="1" applyFont="1" applyNumberFormat="1">
      <alignment horizontal="right" readingOrder="0" shrinkToFit="0" vertical="bottom" wrapText="0"/>
    </xf>
    <xf borderId="0" fillId="0" fontId="4" numFmtId="49" xfId="0" applyAlignment="1" applyFont="1" applyNumberFormat="1">
      <alignment horizontal="right" vertical="bottom"/>
    </xf>
    <xf borderId="0" fillId="3" fontId="5" numFmtId="49" xfId="0" applyAlignment="1" applyFont="1" applyNumberFormat="1">
      <alignment readingOrder="0" shrinkToFit="0" vertical="bottom" wrapText="0"/>
    </xf>
    <xf borderId="0" fillId="0" fontId="5" numFmtId="0" xfId="0" applyAlignment="1" applyFont="1">
      <alignment horizontal="right" shrinkToFit="0" vertical="bottom" wrapText="0"/>
    </xf>
    <xf borderId="0" fillId="0" fontId="5" numFmtId="0" xfId="0" applyAlignment="1" applyFont="1">
      <alignment readingOrder="0" shrinkToFit="0" vertical="top" wrapText="0"/>
    </xf>
    <xf borderId="0" fillId="0" fontId="4" numFmtId="49" xfId="0" applyFont="1" applyNumberFormat="1"/>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6" fontId="4" numFmtId="49" xfId="0" applyAlignment="1" applyFill="1" applyFont="1" applyNumberFormat="1">
      <alignment readingOrder="0" vertical="bottom"/>
    </xf>
    <xf borderId="0" fillId="0" fontId="5" numFmtId="49" xfId="0" applyAlignment="1" applyFont="1" applyNumberFormat="1">
      <alignment readingOrder="0" vertical="bottom"/>
    </xf>
    <xf borderId="0" fillId="6" fontId="5" numFmtId="49" xfId="0" applyAlignment="1" applyFont="1" applyNumberFormat="1">
      <alignment readingOrder="0" vertical="bottom"/>
    </xf>
    <xf borderId="0" fillId="0" fontId="12" numFmtId="0" xfId="0" applyAlignment="1" applyFont="1">
      <alignment readingOrder="0"/>
    </xf>
    <xf borderId="0" fillId="0" fontId="12" numFmtId="0" xfId="0" applyAlignment="1" applyFont="1">
      <alignment horizontal="right" readingOrder="0"/>
    </xf>
    <xf borderId="0" fillId="5" fontId="12" numFmtId="0" xfId="0" applyAlignment="1" applyFont="1">
      <alignment readingOrder="0"/>
    </xf>
    <xf borderId="0" fillId="0" fontId="5" numFmtId="0" xfId="0" applyAlignment="1" applyFont="1">
      <alignment readingOrder="0" shrinkToFit="0" vertical="bottom" wrapText="0"/>
    </xf>
    <xf borderId="0" fillId="0" fontId="13" numFmtId="0" xfId="0" applyAlignment="1" applyFont="1">
      <alignment readingOrder="0"/>
    </xf>
    <xf borderId="0" fillId="5" fontId="3" numFmtId="0" xfId="0" applyAlignment="1" applyFont="1">
      <alignment readingOrder="0"/>
    </xf>
    <xf borderId="0" fillId="5" fontId="3" numFmtId="0" xfId="0" applyFont="1"/>
    <xf borderId="0" fillId="0" fontId="3" numFmtId="165" xfId="0" applyAlignment="1" applyFont="1" applyNumberFormat="1">
      <alignment readingOrder="0"/>
    </xf>
    <xf borderId="0" fillId="0" fontId="3" numFmtId="166" xfId="0" applyAlignment="1" applyFont="1" applyNumberFormat="1">
      <alignment readingOrder="0"/>
    </xf>
    <xf borderId="0" fillId="3" fontId="3" numFmtId="0" xfId="0" applyFont="1"/>
    <xf borderId="0" fillId="3" fontId="3" numFmtId="0" xfId="0" applyAlignment="1" applyFont="1">
      <alignment readingOrder="0"/>
    </xf>
    <xf borderId="0" fillId="3" fontId="3" numFmtId="0" xfId="0" applyAlignment="1" applyFont="1">
      <alignment horizontal="right"/>
    </xf>
    <xf borderId="3" fillId="0" fontId="14" numFmtId="0" xfId="0" applyAlignment="1" applyBorder="1" applyFont="1">
      <alignment readingOrder="0"/>
    </xf>
    <xf borderId="0" fillId="0" fontId="14" numFmtId="0" xfId="0" applyAlignment="1" applyFont="1">
      <alignment readingOrder="0"/>
    </xf>
    <xf borderId="3" fillId="6" fontId="14" numFmtId="0" xfId="0" applyBorder="1" applyFont="1"/>
    <xf borderId="0" fillId="0" fontId="14" numFmtId="0" xfId="0" applyFont="1"/>
    <xf borderId="3" fillId="0" fontId="3" numFmtId="0" xfId="0" applyAlignment="1" applyBorder="1" applyFont="1">
      <alignment readingOrder="0"/>
    </xf>
    <xf borderId="3" fillId="6" fontId="3" numFmtId="0" xfId="0" applyBorder="1" applyFont="1"/>
    <xf borderId="3" fillId="0" fontId="5" numFmtId="0" xfId="0" applyAlignment="1" applyBorder="1" applyFont="1">
      <alignment readingOrder="0" shrinkToFit="0" vertical="bottom" wrapText="0"/>
    </xf>
    <xf borderId="3" fillId="0" fontId="3" numFmtId="0" xfId="0" applyBorder="1" applyFont="1"/>
    <xf borderId="3" fillId="0" fontId="13" numFmtId="0" xfId="0" applyAlignment="1" applyBorder="1" applyFont="1">
      <alignment readingOrder="0"/>
    </xf>
    <xf borderId="3" fillId="0" fontId="5" numFmtId="0" xfId="0" applyAlignment="1" applyBorder="1" applyFont="1">
      <alignment shrinkToFit="0" vertical="bottom" wrapText="0"/>
    </xf>
    <xf borderId="0" fillId="7" fontId="15" numFmtId="0" xfId="0" applyAlignment="1" applyFill="1" applyFont="1">
      <alignment readingOrder="0"/>
    </xf>
    <xf borderId="0" fillId="0" fontId="3" numFmtId="167" xfId="0" applyAlignment="1" applyFont="1" applyNumberFormat="1">
      <alignment readingOrder="0"/>
    </xf>
    <xf borderId="0" fillId="0" fontId="3" numFmtId="0" xfId="0" applyAlignment="1" applyFont="1">
      <alignment readingOrder="0"/>
    </xf>
    <xf borderId="0" fillId="0" fontId="16" numFmtId="0" xfId="0" applyAlignment="1" applyFont="1">
      <alignment readingOrder="0"/>
    </xf>
    <xf borderId="0" fillId="0" fontId="3" numFmtId="168" xfId="0" applyFont="1" applyNumberFormat="1"/>
    <xf borderId="0" fillId="8" fontId="17" numFmtId="0" xfId="0" applyAlignment="1" applyFill="1" applyFont="1">
      <alignment horizontal="center" readingOrder="0" vertical="center"/>
    </xf>
    <xf borderId="0" fillId="8" fontId="17" numFmtId="0" xfId="0" applyAlignment="1" applyFont="1">
      <alignment horizontal="center" readingOrder="0"/>
    </xf>
    <xf borderId="0" fillId="8" fontId="17" numFmtId="0" xfId="0" applyFont="1"/>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18" numFmtId="0" xfId="0" applyAlignment="1" applyFont="1">
      <alignment horizontal="center" readingOrder="0" vertical="center"/>
    </xf>
    <xf borderId="0" fillId="0" fontId="19" numFmtId="0" xfId="0" applyAlignment="1" applyFont="1">
      <alignment horizontal="center" readingOrder="0" vertical="center"/>
    </xf>
    <xf borderId="0" fillId="0" fontId="20" numFmtId="0" xfId="0" applyAlignment="1" applyFont="1">
      <alignment horizontal="center" readingOrder="0" vertical="center"/>
    </xf>
    <xf borderId="0" fillId="0" fontId="3" numFmtId="169" xfId="0" applyAlignment="1" applyFont="1" applyNumberFormat="1">
      <alignment horizontal="center" readingOrder="0" vertical="center"/>
    </xf>
    <xf borderId="0" fillId="0" fontId="3" numFmtId="169" xfId="0" applyAlignment="1" applyFont="1" applyNumberFormat="1">
      <alignment readingOrder="0"/>
    </xf>
    <xf borderId="0" fillId="0" fontId="3" numFmtId="0" xfId="0" applyAlignment="1" applyFont="1">
      <alignment horizontal="center" vertical="center"/>
    </xf>
    <xf borderId="0" fillId="0" fontId="3" numFmtId="170" xfId="0" applyAlignment="1" applyFont="1" applyNumberFormat="1">
      <alignment horizontal="center" readingOrder="0" vertical="center"/>
    </xf>
    <xf borderId="0" fillId="0" fontId="3" numFmtId="170" xfId="0" applyAlignment="1" applyFont="1" applyNumberFormat="1">
      <alignment readingOrder="0"/>
    </xf>
    <xf borderId="0" fillId="0" fontId="3" numFmtId="14" xfId="0" applyAlignment="1" applyFont="1" applyNumberFormat="1">
      <alignment horizontal="center" readingOrder="0" vertical="center"/>
    </xf>
    <xf borderId="0" fillId="0" fontId="3" numFmtId="171" xfId="0" applyAlignment="1" applyFont="1" applyNumberFormat="1">
      <alignment horizontal="center" vertical="center"/>
    </xf>
    <xf borderId="0" fillId="0" fontId="20" numFmtId="0" xfId="0" applyAlignment="1" applyFont="1">
      <alignment horizontal="center" vertical="center"/>
    </xf>
    <xf borderId="0" fillId="7" fontId="21" numFmtId="0" xfId="0" applyAlignment="1" applyFont="1">
      <alignment horizontal="center" readingOrder="0" vertical="center"/>
    </xf>
    <xf borderId="0" fillId="8" fontId="21" numFmtId="0" xfId="0" applyAlignment="1" applyFont="1">
      <alignment horizontal="center" readingOrder="0" vertical="center"/>
    </xf>
    <xf borderId="0" fillId="5" fontId="17" numFmtId="0" xfId="0" applyAlignment="1" applyFont="1">
      <alignment horizontal="center" readingOrder="0" vertical="center"/>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xf borderId="0" fillId="5" fontId="3" numFmtId="0" xfId="0" applyAlignment="1" applyFont="1">
      <alignment readingOrder="0"/>
    </xf>
    <xf borderId="0" fillId="5" fontId="25" numFmtId="0" xfId="0" applyAlignment="1" applyFont="1">
      <alignment readingOrder="0"/>
    </xf>
    <xf borderId="0" fillId="0" fontId="3" numFmtId="49" xfId="0" applyFont="1" applyNumberFormat="1"/>
    <xf borderId="0" fillId="2" fontId="26" numFmtId="0" xfId="0" applyAlignment="1" applyFont="1">
      <alignment readingOrder="0"/>
    </xf>
    <xf borderId="0" fillId="0" fontId="27" numFmtId="0" xfId="0" applyFont="1"/>
    <xf quotePrefix="1" borderId="0" fillId="0" fontId="3" numFmtId="0" xfId="0" applyAlignment="1" applyFont="1">
      <alignment readingOrder="0"/>
    </xf>
    <xf borderId="0" fillId="0" fontId="27" numFmtId="0" xfId="0" applyAlignment="1" applyFont="1">
      <alignment readingOrder="0"/>
    </xf>
    <xf borderId="0" fillId="0" fontId="3" numFmtId="49" xfId="0" applyAlignment="1" applyFont="1" applyNumberFormat="1">
      <alignment readingOrder="0"/>
    </xf>
    <xf borderId="0" fillId="3" fontId="4" numFmtId="49" xfId="0" applyAlignment="1" applyFont="1" applyNumberFormat="1">
      <alignment readingOrder="0" vertical="bottom"/>
    </xf>
    <xf borderId="0" fillId="3" fontId="5" numFmtId="49" xfId="0" applyAlignment="1" applyFont="1" applyNumberFormat="1">
      <alignment readingOrder="0" vertical="bottom"/>
    </xf>
    <xf borderId="0" fillId="0" fontId="3" numFmtId="172" xfId="0" applyAlignment="1" applyFont="1" applyNumberFormat="1">
      <alignment readingOrder="0"/>
    </xf>
    <xf borderId="0" fillId="3" fontId="26" numFmtId="0" xfId="0" applyAlignment="1" applyFont="1">
      <alignment readingOrder="0"/>
    </xf>
    <xf borderId="0" fillId="3" fontId="27" numFmtId="0" xfId="0" applyAlignment="1" applyFont="1">
      <alignment readingOrder="0"/>
    </xf>
    <xf borderId="0" fillId="2" fontId="28" numFmtId="0" xfId="0" applyAlignment="1" applyFont="1">
      <alignment readingOrder="0"/>
    </xf>
    <xf borderId="0" fillId="5" fontId="5" numFmtId="49" xfId="0" applyAlignment="1" applyFont="1" applyNumberFormat="1">
      <alignment readingOrder="0" vertical="bottom"/>
    </xf>
    <xf borderId="0" fillId="0" fontId="17" numFmtId="0" xfId="0" applyAlignment="1" applyFont="1">
      <alignment readingOrder="0"/>
    </xf>
    <xf borderId="0" fillId="0" fontId="17" numFmtId="0" xfId="0" applyFont="1"/>
    <xf borderId="0" fillId="0" fontId="7" numFmtId="0" xfId="0" applyAlignment="1" applyFont="1">
      <alignment horizontal="center" readingOrder="0"/>
    </xf>
    <xf borderId="0" fillId="0" fontId="7" numFmtId="0" xfId="0" applyAlignment="1" applyFont="1">
      <alignment readingOrder="0"/>
    </xf>
    <xf borderId="0" fillId="9" fontId="29" numFmtId="0" xfId="0" applyAlignment="1" applyFill="1" applyFont="1">
      <alignment readingOrder="0"/>
    </xf>
    <xf borderId="0" fillId="0" fontId="29" numFmtId="0" xfId="0" applyFont="1"/>
    <xf borderId="0" fillId="0" fontId="7" numFmtId="0" xfId="0" applyFont="1"/>
    <xf borderId="0" fillId="2" fontId="30" numFmtId="0" xfId="0" applyFont="1"/>
    <xf borderId="0" fillId="3" fontId="30" numFmtId="0" xfId="0" applyFont="1"/>
    <xf borderId="0" fillId="3" fontId="29" numFmtId="0" xfId="0" applyAlignment="1" applyFont="1">
      <alignment readingOrder="0"/>
    </xf>
    <xf borderId="0" fillId="2" fontId="31" numFmtId="0" xfId="0" applyFont="1"/>
    <xf borderId="0" fillId="3" fontId="29" numFmtId="0" xfId="0" applyFont="1"/>
    <xf borderId="0" fillId="10" fontId="7" numFmtId="0" xfId="0" applyAlignment="1" applyFill="1" applyFont="1">
      <alignment readingOrder="0"/>
    </xf>
    <xf borderId="0" fillId="2" fontId="30" numFmtId="0" xfId="0" applyAlignment="1" applyFont="1">
      <alignment readingOrder="0"/>
    </xf>
    <xf borderId="0" fillId="2" fontId="30" numFmtId="0" xfId="0" applyAlignment="1" applyFont="1">
      <alignment horizontal="right" readingOrder="0"/>
    </xf>
    <xf borderId="0" fillId="3" fontId="7" numFmtId="0" xfId="0" applyFont="1"/>
    <xf borderId="0" fillId="6" fontId="29" numFmtId="0" xfId="0" applyFont="1"/>
    <xf borderId="0" fillId="3" fontId="7" numFmtId="0" xfId="0" applyAlignment="1" applyFont="1">
      <alignment horizontal="center" readingOrder="0"/>
    </xf>
    <xf borderId="0" fillId="2" fontId="32" numFmtId="0" xfId="0" applyAlignment="1" applyFont="1">
      <alignment readingOrder="0"/>
    </xf>
    <xf borderId="0" fillId="2" fontId="33" numFmtId="0" xfId="0" applyAlignment="1" applyFont="1">
      <alignment shrinkToFit="0" wrapText="0"/>
    </xf>
    <xf borderId="0" fillId="2" fontId="34" numFmtId="0" xfId="0" applyFont="1"/>
    <xf borderId="0" fillId="10" fontId="30" numFmtId="0" xfId="0" applyFont="1"/>
    <xf borderId="0" fillId="2" fontId="29" numFmtId="0" xfId="0" applyFont="1"/>
    <xf borderId="0" fillId="2" fontId="31" numFmtId="0" xfId="0" applyAlignment="1" applyFont="1">
      <alignment horizontal="left" readingOrder="0"/>
    </xf>
  </cellXfs>
  <cellStyles count="1">
    <cellStyle xfId="0" name="Normal" builtinId="0"/>
  </cellStyles>
  <dxfs count="4">
    <dxf>
      <font/>
      <fill>
        <patternFill patternType="solid">
          <fgColor theme="0"/>
          <bgColor theme="0"/>
        </patternFill>
      </fill>
      <border/>
    </dxf>
    <dxf>
      <font/>
      <fill>
        <patternFill patternType="solid">
          <fgColor theme="4"/>
          <bgColor theme="4"/>
        </patternFill>
      </fill>
      <border/>
    </dxf>
    <dxf>
      <font/>
      <fill>
        <patternFill patternType="solid">
          <fgColor theme="9"/>
          <bgColor theme="9"/>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lhokomelo Kikine" id="{ed1ed1a9-01a3-4f5b-a09a-d35bd4920504}" providerId="google-sheets"/>
  <x18tc:person displayName="Morema Mafantiri" id="{0260cb02-92cd-4013-9df6-2e754f02496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5" dT="2022-07-22T14:19:12.00" personId="{ed1ed1a9-01a3-4f5b-a09a-d35bd4920504}" id="{2808f7ad-862f-430b-84b5-982488ea0e62}" done="0">
    <x18tc:text xml:space="preserve">Customer Support</x18tc:text>
  </x18tc:threadedComment>
  <x18tc:threadedComment ref="H61" dT="2022-07-18T17:52:39.00" personId="{0260cb02-92cd-4013-9df6-2e754f024961}" id="{058ed04a-16af-4821-895c-914a3b5ffb74}" done="0">
    <x18tc:text xml:space="preserve">Doesn't ring</x18tc:text>
  </x18tc:threadedComment>
  <x18tc:threadedComment ref="H60" dT="2022-07-18T17:50:51.00" personId="{0260cb02-92cd-4013-9df6-2e754f024961}" id="{e76994a5-57f9-4f61-9db8-56e4927e634b}" done="0">
    <x18tc:text xml:space="preserve">Not available</x18tc:text>
  </x18tc:threadedComment>
  <x18tc:threadedComment ref="B52" dT="2022-07-22T14:17:47.00" personId="{ed1ed1a9-01a3-4f5b-a09a-d35bd4920504}" id="{c3d869c2-e67a-4f1a-b60b-75a5d73b3206}" done="0">
    <x18tc:text xml:space="preserve">Sms Gateway in O&amp;M</x18tc:text>
  </x18tc:threadedComment>
  <x18tc:threadedComment ref="I51" dT="2022-07-18T18:56:39.00" personId="{0260cb02-92cd-4013-9df6-2e754f024961}" id="{5636c5ae-5064-4045-a450-e0a26b20e23b}" done="0">
    <x18tc:text xml:space="preserve">SIM in modem with Leloko.</x18tc:text>
  </x18tc:threadedComment>
  <x18tc:threadedComment ref="H77" dT="2022-07-18T17:47:34.00" personId="{0260cb02-92cd-4013-9df6-2e754f024961}" id="{1cf628f4-44f4-400d-87cb-fd7555c57d92}" done="0">
    <x18tc:text xml:space="preserve">R1</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forms/d/e/1FAIpQLSfozIV5FQqcQNjQaUk40v9z-N0PHEZT8xM98Ndh72nkn88rVw/viewform?edit2=2_ABaOnuecrtdfp4dLK5zxwKJufZRTJ8GiN4GjM-Yuwya_JnJ7NlIaA4o3lH0dljQXfYsiLrA" TargetMode="External"/><Relationship Id="rId11" Type="http://schemas.openxmlformats.org/officeDocument/2006/relationships/hyperlink" Target="https://docs.google.com/forms/d/e/1FAIpQLSfozIV5FQqcQNjQaUk40v9z-N0PHEZT8xM98Ndh72nkn88rVw/viewform?edit2=2_ABaOnufqRSi40ZhvlzspC-Vk8CDJ5RbjEG5ck5Zohcb1QQECiu38SMaTlsAH6VUM4_tRjYY" TargetMode="External"/><Relationship Id="rId22" Type="http://schemas.openxmlformats.org/officeDocument/2006/relationships/drawing" Target="../drawings/drawing4.xml"/><Relationship Id="rId10" Type="http://schemas.openxmlformats.org/officeDocument/2006/relationships/hyperlink" Target="https://docs.google.com/forms/d/e/1FAIpQLSfozIV5FQqcQNjQaUk40v9z-N0PHEZT8xM98Ndh72nkn88rVw/viewform?edit2=2_ABaOnudJzcqFjAG1XvUNWcKlFZeawfyXRSiLHHmz0QhFN40yJkJXoIMRY_6NyWx0uxXGU1A" TargetMode="External"/><Relationship Id="rId21" Type="http://schemas.openxmlformats.org/officeDocument/2006/relationships/hyperlink" Target="https://docs.google.com/forms/d/e/1FAIpQLSfozIV5FQqcQNjQaUk40v9z-N0PHEZT8xM98Ndh72nkn88rVw/viewform?edit2=2_ABaOnufWELP0RrG4QN1k4zZsFcckF7oztfwh4edD8w9itsYPC7T3xUH1Ysr6w41F4abFC-8" TargetMode="External"/><Relationship Id="rId13" Type="http://schemas.openxmlformats.org/officeDocument/2006/relationships/hyperlink" Target="https://docs.google.com/forms/d/e/1FAIpQLSfozIV5FQqcQNjQaUk40v9z-N0PHEZT8xM98Ndh72nkn88rVw/viewform?edit2=2_ABaOnueqMXi5tSqNk49VVxy61YJ-VKr5aAxrZUJjOFqb_g_46CdV0T-WZbtEnCZDtgzeO8U" TargetMode="External"/><Relationship Id="rId12" Type="http://schemas.openxmlformats.org/officeDocument/2006/relationships/hyperlink" Target="https://docs.google.com/forms/d/e/1FAIpQLSfozIV5FQqcQNjQaUk40v9z-N0PHEZT8xM98Ndh72nkn88rVw/viewform?edit2=2_ABaOnuczbTnIl-__iv7abFm9k7FdjOi1zpdcVefX2FPV5FjjMl_JdFO5ZLMPwAwYkjdtXWw" TargetMode="External"/><Relationship Id="rId23" Type="http://schemas.openxmlformats.org/officeDocument/2006/relationships/vmlDrawing" Target="../drawings/vmlDrawing3.vml"/><Relationship Id="rId1" Type="http://schemas.openxmlformats.org/officeDocument/2006/relationships/comments" Target="../comments3.xml"/><Relationship Id="rId2" Type="http://schemas.openxmlformats.org/officeDocument/2006/relationships/hyperlink" Target="https://docs.google.com/forms/d/e/1FAIpQLSfozIV5FQqcQNjQaUk40v9z-N0PHEZT8xM98Ndh72nkn88rVw/viewform?edit2=2_ABaOnue4Eu6_Ad35HQhEU7MQSDxx17F95eiNQfCTzbj_F8Xk82lcrT_WxsY8_naD6h68x0g" TargetMode="External"/><Relationship Id="rId3" Type="http://schemas.openxmlformats.org/officeDocument/2006/relationships/hyperlink" Target="https://docs.google.com/forms/d/e/1FAIpQLSfozIV5FQqcQNjQaUk40v9z-N0PHEZT8xM98Ndh72nkn88rVw/viewform?edit2=2_ABaOnudjurLp6LV8QSahFYxPW0qh8ygNrZhaYXI-VylRQ5sgRXEOmiHoqS6LhnSUJF_A7Mc" TargetMode="External"/><Relationship Id="rId4" Type="http://schemas.openxmlformats.org/officeDocument/2006/relationships/hyperlink" Target="https://docs.google.com/forms/d/e/1FAIpQLSfozIV5FQqcQNjQaUk40v9z-N0PHEZT8xM98Ndh72nkn88rVw/viewform?edit2=2_ABaOnud-xDqTyBXea4vq8CNk3uI-O3hu3OSTGrPINCeMtBidsMMgHkutA8HFzIcq2Nxq4R0" TargetMode="External"/><Relationship Id="rId9" Type="http://schemas.openxmlformats.org/officeDocument/2006/relationships/hyperlink" Target="https://docs.google.com/forms/d/e/1FAIpQLSfozIV5FQqcQNjQaUk40v9z-N0PHEZT8xM98Ndh72nkn88rVw/viewform?edit2=2_ABaOnucbmw1RilpVWedpHjBFAUNYMOXo2q_OnOhVbdxYZSpyb1afIMDLrxKBY37Zvjc5Xic" TargetMode="External"/><Relationship Id="rId15" Type="http://schemas.openxmlformats.org/officeDocument/2006/relationships/hyperlink" Target="https://docs.google.com/forms/d/e/1FAIpQLSfozIV5FQqcQNjQaUk40v9z-N0PHEZT8xM98Ndh72nkn88rVw/viewform?edit2=2_ABaOnud6vK1U6ocPiYV0eHtp-aD1Jy8R1fHifm-izkmhVVHkRglaSD2-vtCjPj9xbBq4Rdg" TargetMode="External"/><Relationship Id="rId14" Type="http://schemas.openxmlformats.org/officeDocument/2006/relationships/hyperlink" Target="https://docs.google.com/forms/d/e/1FAIpQLSfozIV5FQqcQNjQaUk40v9z-N0PHEZT8xM98Ndh72nkn88rVw/viewform?edit2=2_ABaOnufC8y503gzhce0cm96FFTNhQ4B3gQSHmVWuB7GGKbEmBHxhecskjENFRVXFCrcFAg4" TargetMode="External"/><Relationship Id="rId17" Type="http://schemas.openxmlformats.org/officeDocument/2006/relationships/hyperlink" Target="https://docs.google.com/forms/d/e/1FAIpQLSfozIV5FQqcQNjQaUk40v9z-N0PHEZT8xM98Ndh72nkn88rVw/viewform?edit2=2_ABaOnudw6QRmmFAKoeX4tBp05NDTXUo0du2C3cvSQayHH5_r8yCdObh-XUsjGfSF_2RGESY" TargetMode="External"/><Relationship Id="rId16" Type="http://schemas.openxmlformats.org/officeDocument/2006/relationships/hyperlink" Target="https://docs.google.com/forms/d/e/1FAIpQLSfozIV5FQqcQNjQaUk40v9z-N0PHEZT8xM98Ndh72nkn88rVw/viewform?edit2=2_ABaOnudOZMLJJFL-J0hJ9fD9xL9BhW5VRcHLMgz-KPk7dMliRZ13Z401hRPAh1DGRvKDhoo" TargetMode="External"/><Relationship Id="rId5" Type="http://schemas.openxmlformats.org/officeDocument/2006/relationships/hyperlink" Target="https://docs.google.com/forms/d/e/1FAIpQLSfozIV5FQqcQNjQaUk40v9z-N0PHEZT8xM98Ndh72nkn88rVw/viewform?edit2=2_ABaOnue1kh6j4-3aIPvR8566wUur47LHHE5vyUmInFPBGyMbbD6tWa9FKc7hXC1FUpeLMJQ" TargetMode="External"/><Relationship Id="rId19" Type="http://schemas.openxmlformats.org/officeDocument/2006/relationships/hyperlink" Target="https://docs.google.com/forms/d/e/1FAIpQLSfozIV5FQqcQNjQaUk40v9z-N0PHEZT8xM98Ndh72nkn88rVw/viewform?edit2=2_ABaOnufTJdP4DiN6eWLgFMUgRIvWv6lNkwbiCq5_81-Sg4b5zkCtXKMw0CNQ2zZSap1BgrM" TargetMode="External"/><Relationship Id="rId6" Type="http://schemas.openxmlformats.org/officeDocument/2006/relationships/hyperlink" Target="https://docs.google.com/forms/d/e/1FAIpQLSfozIV5FQqcQNjQaUk40v9z-N0PHEZT8xM98Ndh72nkn88rVw/viewform?edit2=2_ABaOnudEJTUEVNc2CSaWnLue_fW9mhxr6KdaaPeBFRitTJOrR4RIsknyxbRjEXZuaxok4kU" TargetMode="External"/><Relationship Id="rId18" Type="http://schemas.openxmlformats.org/officeDocument/2006/relationships/hyperlink" Target="https://docs.google.com/forms/d/e/1FAIpQLSfozIV5FQqcQNjQaUk40v9z-N0PHEZT8xM98Ndh72nkn88rVw/viewform?edit2=2_ABaOnucnGo7KBHFENF-jgHWkiRhzKeeOVndIybRvisjxoiZ745JMg0xP3tbB7GbpiG-hu3A" TargetMode="External"/><Relationship Id="rId7" Type="http://schemas.openxmlformats.org/officeDocument/2006/relationships/hyperlink" Target="https://docs.google.com/forms/d/e/1FAIpQLSfozIV5FQqcQNjQaUk40v9z-N0PHEZT8xM98Ndh72nkn88rVw/viewform?edit2=2_ABaOnuca4xu6hq5XvIc13-ntaT6bMlDoY4n_WcD_w4XPC_MVgzUsj1wUop-IjKrK3pKJxDk" TargetMode="External"/><Relationship Id="rId8" Type="http://schemas.openxmlformats.org/officeDocument/2006/relationships/hyperlink" Target="https://docs.google.com/forms/d/e/1FAIpQLSfozIV5FQqcQNjQaUk40v9z-N0PHEZT8xM98Ndh72nkn88rVw/viewform?edit2=2_ABaOnudHB8wKML1X73pfGpgETyKbERSBy5E_SSv_y90-USBEPJ2DN4cjujjLAhG9WW52j_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open?id=1xvBYmWxIZStq0ADS1PXib4ZfTrTBNMgf" TargetMode="External"/><Relationship Id="rId42" Type="http://schemas.openxmlformats.org/officeDocument/2006/relationships/hyperlink" Target="https://drive.google.com/open?id=1LrNzUvS3icLhWfwe9PlvOifxTcATe7xP" TargetMode="External"/><Relationship Id="rId41" Type="http://schemas.openxmlformats.org/officeDocument/2006/relationships/hyperlink" Target="https://drive.google.com/open?id=1jB29vqSz_HIeAoGtwAEmOq05QwhEHAi5" TargetMode="External"/><Relationship Id="rId44" Type="http://schemas.openxmlformats.org/officeDocument/2006/relationships/hyperlink" Target="https://drive.google.com/open?id=1EVzZ_9gGwQ4Xv6dHVsmUCrJD1fXYkvgY" TargetMode="External"/><Relationship Id="rId43" Type="http://schemas.openxmlformats.org/officeDocument/2006/relationships/hyperlink" Target="https://drive.google.com/open?id=1Z9V4AJ-cz5SORZTmEQoQQt86RUml9oa-" TargetMode="External"/><Relationship Id="rId46" Type="http://schemas.openxmlformats.org/officeDocument/2006/relationships/hyperlink" Target="https://drive.google.com/open?id=1sVHL9aTYn6DghVgzNzJHFNVwoHyLPNvc" TargetMode="External"/><Relationship Id="rId45" Type="http://schemas.openxmlformats.org/officeDocument/2006/relationships/hyperlink" Target="https://drive.google.com/open?id=1bq_t-nXKgoUcnEs9596_C-Bczc7O8iLz" TargetMode="External"/><Relationship Id="rId80" Type="http://schemas.openxmlformats.org/officeDocument/2006/relationships/vmlDrawing" Target="../drawings/vmlDrawing5.vml"/><Relationship Id="rId1" Type="http://schemas.openxmlformats.org/officeDocument/2006/relationships/comments" Target="../comments5.xml"/><Relationship Id="rId2" Type="http://schemas.openxmlformats.org/officeDocument/2006/relationships/hyperlink" Target="https://drive.google.com/open?id=1Nk0z0tde8cduNqGwj_qB2-6uqBLJkuUe" TargetMode="External"/><Relationship Id="rId3" Type="http://schemas.openxmlformats.org/officeDocument/2006/relationships/hyperlink" Target="https://drive.google.com/open?id=10MhZyDLQ3wml9LuB9ykhQ91TLoUWuOJr" TargetMode="External"/><Relationship Id="rId4" Type="http://schemas.openxmlformats.org/officeDocument/2006/relationships/hyperlink" Target="https://drive.google.com/open?id=1Sqg7lAWPi03A3yFZVM2uUVIRJ55ARDoa" TargetMode="External"/><Relationship Id="rId9" Type="http://schemas.openxmlformats.org/officeDocument/2006/relationships/hyperlink" Target="https://drive.google.com/open?id=1B7YTk8fq-X_OJdTMJTWSV5AGd3Ww92n5" TargetMode="External"/><Relationship Id="rId48" Type="http://schemas.openxmlformats.org/officeDocument/2006/relationships/hyperlink" Target="https://drive.google.com/open?id=1Q0twvivPBo0FQFE-xdBRhfhUEHGrV1qr" TargetMode="External"/><Relationship Id="rId47" Type="http://schemas.openxmlformats.org/officeDocument/2006/relationships/hyperlink" Target="https://drive.google.com/open?id=1YVwUCBqxWKbEyIRHMI_xIN_0hI4sCq0O" TargetMode="External"/><Relationship Id="rId49" Type="http://schemas.openxmlformats.org/officeDocument/2006/relationships/hyperlink" Target="https://drive.google.com/open?id=1ftJOMHUlQKP9v1Pd4cVZbCeuBG5mSmgn" TargetMode="External"/><Relationship Id="rId5" Type="http://schemas.openxmlformats.org/officeDocument/2006/relationships/hyperlink" Target="https://drive.google.com/open?id=1By_JccXQUuHSiTEEvEtnPu3hwcCvbraP" TargetMode="External"/><Relationship Id="rId6" Type="http://schemas.openxmlformats.org/officeDocument/2006/relationships/hyperlink" Target="https://drive.google.com/open?id=1wEIgGDN-QIxwWPes0HCJHpr-wy9MJ2nT" TargetMode="External"/><Relationship Id="rId7" Type="http://schemas.openxmlformats.org/officeDocument/2006/relationships/hyperlink" Target="https://drive.google.com/open?id=1RdQWielMsC66Rsecugehif4nbe-tkpXq" TargetMode="External"/><Relationship Id="rId8" Type="http://schemas.openxmlformats.org/officeDocument/2006/relationships/hyperlink" Target="https://drive.google.com/open?id=1hRM8F_Q0uwYEeIDxAbsv46Xnn83muF6u" TargetMode="External"/><Relationship Id="rId73" Type="http://schemas.openxmlformats.org/officeDocument/2006/relationships/hyperlink" Target="http://tlalliq1pwrafrica.com" TargetMode="External"/><Relationship Id="rId72" Type="http://schemas.openxmlformats.org/officeDocument/2006/relationships/hyperlink" Target="https://drive.google.com/open?id=1fFlJIQDr4vRfhh1rqMyFxY66s2gPAxFR" TargetMode="External"/><Relationship Id="rId31" Type="http://schemas.openxmlformats.org/officeDocument/2006/relationships/hyperlink" Target="https://drive.google.com/open?id=1UNxVnvA3wl4sOdiKmPfSjX_taF3c9Wwb" TargetMode="External"/><Relationship Id="rId75" Type="http://schemas.openxmlformats.org/officeDocument/2006/relationships/hyperlink" Target="https://drive.google.com/open?id=1bG4JctNB3FxoZmaDM6A2hHVS_IxiZP4K" TargetMode="External"/><Relationship Id="rId30" Type="http://schemas.openxmlformats.org/officeDocument/2006/relationships/hyperlink" Target="https://drive.google.com/open?id=1_jgO5I-byJZVy5CfgE_NrK9KrpRnNUUy" TargetMode="External"/><Relationship Id="rId74" Type="http://schemas.openxmlformats.org/officeDocument/2006/relationships/hyperlink" Target="https://drive.google.com/open?id=1dety2YXn4oOfAPw-D0q2jXffD07U3jUe" TargetMode="External"/><Relationship Id="rId33" Type="http://schemas.openxmlformats.org/officeDocument/2006/relationships/hyperlink" Target="https://drive.google.com/open?id=1u7pJzmwaDIoH5FSnnJKCgCcmSkg0Wkrt" TargetMode="External"/><Relationship Id="rId77" Type="http://schemas.openxmlformats.org/officeDocument/2006/relationships/hyperlink" Target="https://drive.google.com/open?id=1FgYWScgSSyTBA-Sr_6IyRM0-zyu2azzI" TargetMode="External"/><Relationship Id="rId32" Type="http://schemas.openxmlformats.org/officeDocument/2006/relationships/hyperlink" Target="https://drive.google.com/open?id=15XJuZIeQDeNM9ObRLwly8JFXYJh2IGPA" TargetMode="External"/><Relationship Id="rId76" Type="http://schemas.openxmlformats.org/officeDocument/2006/relationships/hyperlink" Target="https://drive.google.com/open?id=1h_Uv5YJDQuaDkhASmQYdBFSY_GDzaeiM" TargetMode="External"/><Relationship Id="rId35" Type="http://schemas.openxmlformats.org/officeDocument/2006/relationships/hyperlink" Target="https://drive.google.com/open?id=1FdDNu6R1lO8HpRaHDcS-Yx4kkCPFvpls" TargetMode="External"/><Relationship Id="rId79" Type="http://schemas.openxmlformats.org/officeDocument/2006/relationships/drawing" Target="../drawings/drawing6.xml"/><Relationship Id="rId34" Type="http://schemas.openxmlformats.org/officeDocument/2006/relationships/hyperlink" Target="https://drive.google.com/open?id=1jSD2rfZ_B85DwIuczkMbfn57Uqf7z6Hs" TargetMode="External"/><Relationship Id="rId78" Type="http://schemas.openxmlformats.org/officeDocument/2006/relationships/hyperlink" Target="https://drive.google.com/open?id=1qoB4BrZMsEacWkDMB8uLN5-WMQK6vzRy" TargetMode="External"/><Relationship Id="rId71" Type="http://schemas.openxmlformats.org/officeDocument/2006/relationships/hyperlink" Target="https://drive.google.com/open?id=10HngSy2_BOoNS0VeKtsvquDnG7TyZxhX" TargetMode="External"/><Relationship Id="rId70" Type="http://schemas.openxmlformats.org/officeDocument/2006/relationships/hyperlink" Target="https://drive.google.com/open?id=1A5KEAr4Axjkyn_j3nFbrDze7SPlodvIB" TargetMode="External"/><Relationship Id="rId37" Type="http://schemas.openxmlformats.org/officeDocument/2006/relationships/hyperlink" Target="https://drive.google.com/open?id=1urGxYhCD8ojBB2ZODSYUl80n6O67jwU1" TargetMode="External"/><Relationship Id="rId36" Type="http://schemas.openxmlformats.org/officeDocument/2006/relationships/hyperlink" Target="https://drive.google.com/open?id=16ju3p7RVzhcQveMUOc_x36cSfCYI_30n" TargetMode="External"/><Relationship Id="rId39" Type="http://schemas.openxmlformats.org/officeDocument/2006/relationships/hyperlink" Target="https://drive.google.com/open?id=1KLXkSntvhhGRKMbFoqD8g76xvXD07Tnh" TargetMode="External"/><Relationship Id="rId38" Type="http://schemas.openxmlformats.org/officeDocument/2006/relationships/hyperlink" Target="https://drive.google.com/open?id=1EnhYk2v6jS72ZYAGsZm6mF3gNtzOzBgg" TargetMode="External"/><Relationship Id="rId62" Type="http://schemas.openxmlformats.org/officeDocument/2006/relationships/hyperlink" Target="https://drive.google.com/open?id=1IXJP5yalHdFtIFpP3SemsT4xiPfF5k94" TargetMode="External"/><Relationship Id="rId61" Type="http://schemas.openxmlformats.org/officeDocument/2006/relationships/hyperlink" Target="https://drive.google.com/open?id=1A9PZeJaNRqTp9NMQDrgcwAuHcS-5rG_I" TargetMode="External"/><Relationship Id="rId20" Type="http://schemas.openxmlformats.org/officeDocument/2006/relationships/hyperlink" Target="https://drive.google.com/open?id=10amT3OiML6sYOcyHOsCURybLPGb-Brs8" TargetMode="External"/><Relationship Id="rId64" Type="http://schemas.openxmlformats.org/officeDocument/2006/relationships/hyperlink" Target="https://drive.google.com/open?id=1rsVzQo40nW2MB55Ojvp1SZVUhBe44tH4" TargetMode="External"/><Relationship Id="rId63" Type="http://schemas.openxmlformats.org/officeDocument/2006/relationships/hyperlink" Target="https://drive.google.com/open?id=1ndu-qI0JG853YvbzksSNlspBNDUbd4g0" TargetMode="External"/><Relationship Id="rId22" Type="http://schemas.openxmlformats.org/officeDocument/2006/relationships/hyperlink" Target="https://drive.google.com/open?id=11ZCuGqJ-QgnXLwDuqHawJ9SOThOIDXvN" TargetMode="External"/><Relationship Id="rId66" Type="http://schemas.openxmlformats.org/officeDocument/2006/relationships/hyperlink" Target="https://drive.google.com/open?id=13sfmH7vVXaK79n62fqSbvPwh1dz8vCsv" TargetMode="External"/><Relationship Id="rId21" Type="http://schemas.openxmlformats.org/officeDocument/2006/relationships/hyperlink" Target="https://drive.google.com/open?id=1YJ77fCrj0AgsfVE4rdWSjNUEoaijEvJU" TargetMode="External"/><Relationship Id="rId65" Type="http://schemas.openxmlformats.org/officeDocument/2006/relationships/hyperlink" Target="https://drive.google.com/open?id=1vTINH4Sud47v7oOEH2yufMOTZlOejE9Q" TargetMode="External"/><Relationship Id="rId24" Type="http://schemas.openxmlformats.org/officeDocument/2006/relationships/hyperlink" Target="https://drive.google.com/open?id=1EJ60rwerXEPWT6g8qQCctgTrbWwZlrXn" TargetMode="External"/><Relationship Id="rId68" Type="http://schemas.openxmlformats.org/officeDocument/2006/relationships/hyperlink" Target="https://drive.google.com/open?id=1OM0qAI3eBkixIWTRUzfVezy2ELev7ZA4" TargetMode="External"/><Relationship Id="rId23" Type="http://schemas.openxmlformats.org/officeDocument/2006/relationships/hyperlink" Target="https://drive.google.com/open?id=1_MfrUdAsEFzIUoIAThvS8T1YsqWqjkAM" TargetMode="External"/><Relationship Id="rId67" Type="http://schemas.openxmlformats.org/officeDocument/2006/relationships/hyperlink" Target="https://drive.google.com/open?id=1PkQtT5zQMixxI8sebYVzdPNXbEN0LXy_" TargetMode="External"/><Relationship Id="rId60" Type="http://schemas.openxmlformats.org/officeDocument/2006/relationships/hyperlink" Target="https://drive.google.com/open?id=11wbEyFiEYu9kN6YO4SbavjucmLseTJ9Q" TargetMode="External"/><Relationship Id="rId26" Type="http://schemas.openxmlformats.org/officeDocument/2006/relationships/hyperlink" Target="https://drive.google.com/open?id=12CaXMPwjQ_8eyBuIbFppflwoknUOrs9t" TargetMode="External"/><Relationship Id="rId25" Type="http://schemas.openxmlformats.org/officeDocument/2006/relationships/hyperlink" Target="https://drive.google.com/open?id=1T2L4cEVV_8hYzj7PtYeyAW3Xlo_AL7My" TargetMode="External"/><Relationship Id="rId69" Type="http://schemas.openxmlformats.org/officeDocument/2006/relationships/hyperlink" Target="https://drive.google.com/open?id=1R5ts_217xEExTTnEpCas5bHlWSSZ5hr6" TargetMode="External"/><Relationship Id="rId28" Type="http://schemas.openxmlformats.org/officeDocument/2006/relationships/hyperlink" Target="https://drive.google.com/open?id=1Lrq-idzFesa1FQdyeQcBkkX-XfAZhUhy" TargetMode="External"/><Relationship Id="rId27" Type="http://schemas.openxmlformats.org/officeDocument/2006/relationships/hyperlink" Target="https://drive.google.com/open?id=1D8ue26OYEcoiY2C8Ya-qywjtFxDh9uav" TargetMode="External"/><Relationship Id="rId29" Type="http://schemas.openxmlformats.org/officeDocument/2006/relationships/hyperlink" Target="https://drive.google.com/open?id=1Plcl_-IptrC4Rfc-cf2H_uUP5YhJIjrr" TargetMode="External"/><Relationship Id="rId51" Type="http://schemas.openxmlformats.org/officeDocument/2006/relationships/hyperlink" Target="https://drive.google.com/open?id=1o5OZXOKD3jGDxL9T0wlH5Bs3-xD9BY9U" TargetMode="External"/><Relationship Id="rId50" Type="http://schemas.openxmlformats.org/officeDocument/2006/relationships/hyperlink" Target="https://drive.google.com/open?id=1xHtx_3yNXiVIGlkXmBkrVg7QGTINfN3F" TargetMode="External"/><Relationship Id="rId53" Type="http://schemas.openxmlformats.org/officeDocument/2006/relationships/hyperlink" Target="https://drive.google.com/open?id=1Q5PygMDHGIZPfVEal-hZVhctPAer20DN" TargetMode="External"/><Relationship Id="rId52" Type="http://schemas.openxmlformats.org/officeDocument/2006/relationships/hyperlink" Target="https://drive.google.com/open?id=1efYR3F3pDmy2CH5K9TOmsboD-puzC4Nb" TargetMode="External"/><Relationship Id="rId11" Type="http://schemas.openxmlformats.org/officeDocument/2006/relationships/hyperlink" Target="https://drive.google.com/open?id=14zkFvWfbAPa-9yxmL_pMKiO6cXGZJjNI" TargetMode="External"/><Relationship Id="rId55" Type="http://schemas.openxmlformats.org/officeDocument/2006/relationships/hyperlink" Target="https://drive.google.com/open?id=1HCDveFRVB-H7QcdFr_D8c5cwpvadt5ER" TargetMode="External"/><Relationship Id="rId10" Type="http://schemas.openxmlformats.org/officeDocument/2006/relationships/hyperlink" Target="https://drive.google.com/open?id=13s_KoPyV6OrdlcD01DyTgeyn8CmPW3fT" TargetMode="External"/><Relationship Id="rId54" Type="http://schemas.openxmlformats.org/officeDocument/2006/relationships/hyperlink" Target="https://drive.google.com/open?id=1Q0dyM7DD9mg1JONpoMFh7V1Wbn0iOXZd" TargetMode="External"/><Relationship Id="rId13" Type="http://schemas.openxmlformats.org/officeDocument/2006/relationships/hyperlink" Target="https://drive.google.com/open?id=1qisSzxAjebEpiJSPOAmLWxNSh3oGwwo-" TargetMode="External"/><Relationship Id="rId57" Type="http://schemas.openxmlformats.org/officeDocument/2006/relationships/hyperlink" Target="https://drive.google.com/open?id=1Ny0Kzc1a_ON0AqWqc5abwWHIuOwWMFvB" TargetMode="External"/><Relationship Id="rId12" Type="http://schemas.openxmlformats.org/officeDocument/2006/relationships/hyperlink" Target="https://drive.google.com/open?id=1TjIhTtuMANt33xO2tXwSNeccAUm-x8zp" TargetMode="External"/><Relationship Id="rId56" Type="http://schemas.openxmlformats.org/officeDocument/2006/relationships/hyperlink" Target="https://drive.google.com/open?id=17C2v3X9q1TUN0L-IwlTZcehTDgwzGzVM" TargetMode="External"/><Relationship Id="rId15" Type="http://schemas.openxmlformats.org/officeDocument/2006/relationships/hyperlink" Target="https://drive.google.com/open?id=1VAe39IPAqJHldqbmbXPsCFC-rL7amcqT" TargetMode="External"/><Relationship Id="rId59" Type="http://schemas.openxmlformats.org/officeDocument/2006/relationships/hyperlink" Target="https://drive.google.com/open?id=1rZdVtJneFqysEAOwyqBBHlH3veYLOda_" TargetMode="External"/><Relationship Id="rId14" Type="http://schemas.openxmlformats.org/officeDocument/2006/relationships/hyperlink" Target="https://drive.google.com/open?id=1-ibTcmOoxe9gqjWsrRYmuyCOCCrWeVvd" TargetMode="External"/><Relationship Id="rId58" Type="http://schemas.openxmlformats.org/officeDocument/2006/relationships/hyperlink" Target="https://drive.google.com/open?id=15BCcpLT8lj1Unw22U4H0DYmnfBP7wVfd" TargetMode="External"/><Relationship Id="rId17" Type="http://schemas.openxmlformats.org/officeDocument/2006/relationships/hyperlink" Target="https://drive.google.com/open?id=1AEIBMrUGZeHpYsORzSSpXiUhzo0G8VbF" TargetMode="External"/><Relationship Id="rId16" Type="http://schemas.openxmlformats.org/officeDocument/2006/relationships/hyperlink" Target="https://drive.google.com/open?id=1E17A2OgEl-P-Kujnqeftvbf9Nb-_ykHm" TargetMode="External"/><Relationship Id="rId19" Type="http://schemas.openxmlformats.org/officeDocument/2006/relationships/hyperlink" Target="https://drive.google.com/open?id=1-zgD5IUdb5aerYeTwE-ZDksiLZsuiu8b" TargetMode="External"/><Relationship Id="rId18" Type="http://schemas.openxmlformats.org/officeDocument/2006/relationships/hyperlink" Target="https://drive.google.com/open?id=1mU0UVtVWyGhRAapnSkmDkTGjcifPv_rw"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4.0" topLeftCell="A15" activePane="bottomLeft" state="frozen"/>
      <selection activeCell="B16" sqref="B16" pane="bottomLeft"/>
    </sheetView>
  </sheetViews>
  <sheetFormatPr customHeight="1" defaultColWidth="12.63" defaultRowHeight="15.75"/>
  <cols>
    <col customWidth="1" min="1" max="1" width="15.25"/>
    <col customWidth="1" min="2" max="2" width="27.88"/>
    <col customWidth="1" min="3" max="3" width="20.13"/>
    <col customWidth="1" min="4" max="4" width="31.5"/>
    <col customWidth="1" min="5" max="5" width="17.13"/>
    <col customWidth="1" min="6" max="6" width="23.63"/>
    <col customWidth="1" min="7" max="7" width="19.5"/>
    <col customWidth="1" min="8" max="8" width="28.38"/>
    <col customWidth="1" min="9" max="9" width="23.88"/>
  </cols>
  <sheetData>
    <row r="1">
      <c r="A1" s="1" t="s">
        <v>0</v>
      </c>
      <c r="B1" s="2" t="s">
        <v>1</v>
      </c>
      <c r="D1" s="3" t="s">
        <v>2</v>
      </c>
      <c r="E1" s="3" t="s">
        <v>3</v>
      </c>
      <c r="F1" s="3" t="s">
        <v>4</v>
      </c>
      <c r="G1" s="3" t="s">
        <v>5</v>
      </c>
      <c r="H1" s="3" t="s">
        <v>6</v>
      </c>
      <c r="I1" s="3" t="s">
        <v>7</v>
      </c>
      <c r="J1" s="3"/>
      <c r="K1" s="4"/>
      <c r="L1" s="4"/>
      <c r="M1" s="4"/>
      <c r="N1" s="4"/>
      <c r="O1" s="4"/>
      <c r="P1" s="4"/>
      <c r="Q1" s="4"/>
      <c r="R1" s="4"/>
      <c r="S1" s="4"/>
      <c r="T1" s="4"/>
      <c r="U1" s="4"/>
      <c r="V1" s="4"/>
    </row>
    <row r="2">
      <c r="A2" s="5" t="s">
        <v>8</v>
      </c>
      <c r="B2" s="6" t="s">
        <v>9</v>
      </c>
      <c r="C2" s="5" t="s">
        <v>10</v>
      </c>
      <c r="D2" s="5" t="s">
        <v>11</v>
      </c>
      <c r="E2" s="5" t="s">
        <v>12</v>
      </c>
      <c r="F2" s="5" t="s">
        <v>13</v>
      </c>
      <c r="G2" s="7" t="s">
        <v>14</v>
      </c>
      <c r="H2" s="5" t="s">
        <v>15</v>
      </c>
      <c r="I2" s="5" t="s">
        <v>16</v>
      </c>
      <c r="J2" s="8"/>
      <c r="K2" s="8"/>
      <c r="L2" s="8"/>
      <c r="M2" s="8"/>
      <c r="N2" s="8"/>
      <c r="O2" s="8"/>
      <c r="P2" s="8"/>
      <c r="Q2" s="8"/>
      <c r="R2" s="8"/>
      <c r="S2" s="8"/>
      <c r="T2" s="8"/>
      <c r="U2" s="8"/>
      <c r="V2" s="8"/>
    </row>
    <row r="3">
      <c r="A3" s="5" t="s">
        <v>17</v>
      </c>
      <c r="B3" s="6" t="s">
        <v>18</v>
      </c>
      <c r="C3" s="5" t="s">
        <v>10</v>
      </c>
      <c r="D3" s="5" t="s">
        <v>19</v>
      </c>
      <c r="E3" s="5" t="s">
        <v>12</v>
      </c>
      <c r="F3" s="5" t="s">
        <v>13</v>
      </c>
      <c r="G3" s="7" t="s">
        <v>20</v>
      </c>
      <c r="H3" s="5" t="s">
        <v>21</v>
      </c>
      <c r="I3" s="5" t="s">
        <v>16</v>
      </c>
      <c r="J3" s="8"/>
      <c r="K3" s="8"/>
      <c r="L3" s="8"/>
      <c r="M3" s="8"/>
      <c r="N3" s="8"/>
      <c r="O3" s="8"/>
      <c r="P3" s="8"/>
      <c r="Q3" s="8"/>
      <c r="R3" s="8"/>
      <c r="S3" s="8"/>
      <c r="T3" s="8"/>
      <c r="U3" s="8"/>
      <c r="V3" s="8"/>
    </row>
    <row r="4">
      <c r="A4" s="5" t="s">
        <v>22</v>
      </c>
      <c r="B4" s="6" t="s">
        <v>23</v>
      </c>
      <c r="C4" s="5" t="s">
        <v>10</v>
      </c>
      <c r="D4" s="5" t="s">
        <v>24</v>
      </c>
      <c r="E4" s="5" t="s">
        <v>12</v>
      </c>
      <c r="F4" s="5" t="s">
        <v>13</v>
      </c>
      <c r="G4" s="7" t="s">
        <v>25</v>
      </c>
      <c r="H4" s="5" t="s">
        <v>21</v>
      </c>
      <c r="I4" s="5" t="s">
        <v>16</v>
      </c>
      <c r="J4" s="8"/>
      <c r="K4" s="8"/>
      <c r="L4" s="8"/>
      <c r="M4" s="8"/>
      <c r="N4" s="8"/>
      <c r="O4" s="8"/>
      <c r="P4" s="8"/>
      <c r="Q4" s="8"/>
      <c r="R4" s="8"/>
      <c r="S4" s="8"/>
      <c r="T4" s="8"/>
      <c r="U4" s="8"/>
      <c r="V4" s="8"/>
    </row>
    <row r="5">
      <c r="A5" s="5" t="s">
        <v>26</v>
      </c>
      <c r="B5" s="6" t="s">
        <v>9</v>
      </c>
      <c r="C5" s="5" t="s">
        <v>10</v>
      </c>
      <c r="D5" s="5" t="s">
        <v>27</v>
      </c>
      <c r="E5" s="5" t="s">
        <v>28</v>
      </c>
      <c r="F5" s="5" t="s">
        <v>13</v>
      </c>
      <c r="G5" s="9" t="s">
        <v>29</v>
      </c>
      <c r="H5" s="8"/>
      <c r="I5" s="5" t="s">
        <v>9</v>
      </c>
      <c r="J5" s="8"/>
      <c r="K5" s="8"/>
      <c r="L5" s="8"/>
      <c r="M5" s="8"/>
      <c r="N5" s="8"/>
      <c r="O5" s="8"/>
      <c r="P5" s="8"/>
      <c r="Q5" s="8"/>
      <c r="R5" s="8"/>
      <c r="S5" s="8"/>
      <c r="T5" s="8"/>
      <c r="U5" s="8"/>
      <c r="V5" s="8"/>
    </row>
    <row r="6">
      <c r="A6" s="5" t="s">
        <v>30</v>
      </c>
      <c r="B6" s="6" t="s">
        <v>31</v>
      </c>
      <c r="C6" s="5" t="s">
        <v>10</v>
      </c>
      <c r="D6" s="5" t="s">
        <v>32</v>
      </c>
      <c r="E6" s="5" t="s">
        <v>28</v>
      </c>
      <c r="F6" s="5" t="s">
        <v>33</v>
      </c>
      <c r="G6" s="7" t="s">
        <v>34</v>
      </c>
      <c r="H6" s="8"/>
      <c r="I6" s="5" t="s">
        <v>35</v>
      </c>
      <c r="J6" s="8"/>
      <c r="K6" s="8"/>
      <c r="L6" s="8"/>
      <c r="M6" s="8"/>
      <c r="N6" s="8"/>
      <c r="O6" s="8"/>
      <c r="P6" s="8"/>
      <c r="Q6" s="8"/>
      <c r="R6" s="8"/>
      <c r="S6" s="8"/>
      <c r="T6" s="8"/>
      <c r="U6" s="8"/>
      <c r="V6" s="8"/>
    </row>
    <row r="7">
      <c r="A7" s="5" t="s">
        <v>36</v>
      </c>
      <c r="B7" s="6" t="s">
        <v>9</v>
      </c>
      <c r="C7" s="5" t="s">
        <v>10</v>
      </c>
      <c r="D7" s="5" t="s">
        <v>37</v>
      </c>
      <c r="E7" s="5" t="s">
        <v>38</v>
      </c>
      <c r="F7" s="5" t="s">
        <v>13</v>
      </c>
      <c r="G7" s="7" t="s">
        <v>39</v>
      </c>
      <c r="H7" s="5" t="s">
        <v>15</v>
      </c>
      <c r="I7" s="5" t="s">
        <v>40</v>
      </c>
      <c r="J7" s="8"/>
      <c r="K7" s="8"/>
      <c r="L7" s="8"/>
      <c r="M7" s="8"/>
      <c r="N7" s="8"/>
      <c r="O7" s="8"/>
      <c r="P7" s="8"/>
      <c r="Q7" s="8"/>
      <c r="R7" s="8"/>
      <c r="S7" s="8"/>
      <c r="T7" s="8"/>
      <c r="U7" s="8"/>
      <c r="V7" s="8"/>
    </row>
    <row r="8">
      <c r="A8" s="5" t="s">
        <v>41</v>
      </c>
      <c r="B8" s="6" t="s">
        <v>9</v>
      </c>
      <c r="C8" s="5" t="s">
        <v>10</v>
      </c>
      <c r="D8" s="5" t="s">
        <v>42</v>
      </c>
      <c r="E8" s="5" t="s">
        <v>43</v>
      </c>
      <c r="F8" s="5" t="s">
        <v>13</v>
      </c>
      <c r="G8" s="10"/>
      <c r="H8" s="8"/>
      <c r="I8" s="5" t="s">
        <v>44</v>
      </c>
      <c r="J8" s="8"/>
      <c r="K8" s="8"/>
      <c r="L8" s="8"/>
      <c r="M8" s="8"/>
      <c r="N8" s="8"/>
      <c r="O8" s="8"/>
      <c r="P8" s="8"/>
      <c r="Q8" s="8"/>
      <c r="R8" s="8"/>
      <c r="S8" s="8"/>
      <c r="T8" s="8"/>
      <c r="U8" s="8"/>
      <c r="V8" s="8"/>
    </row>
    <row r="9">
      <c r="A9" s="5" t="s">
        <v>45</v>
      </c>
      <c r="B9" s="6" t="s">
        <v>46</v>
      </c>
      <c r="C9" s="5" t="s">
        <v>10</v>
      </c>
      <c r="D9" s="5" t="s">
        <v>47</v>
      </c>
      <c r="E9" s="5" t="s">
        <v>48</v>
      </c>
      <c r="F9" s="5" t="s">
        <v>49</v>
      </c>
      <c r="G9" s="9" t="s">
        <v>50</v>
      </c>
      <c r="H9" s="7" t="s">
        <v>51</v>
      </c>
      <c r="I9" s="5" t="s">
        <v>52</v>
      </c>
      <c r="J9" s="8"/>
      <c r="K9" s="8"/>
      <c r="L9" s="8"/>
      <c r="M9" s="8"/>
      <c r="N9" s="8"/>
      <c r="O9" s="8"/>
      <c r="P9" s="8"/>
      <c r="Q9" s="8"/>
      <c r="R9" s="8"/>
      <c r="S9" s="8"/>
      <c r="T9" s="8"/>
      <c r="U9" s="8"/>
      <c r="V9" s="8"/>
    </row>
    <row r="10">
      <c r="A10" s="5" t="s">
        <v>53</v>
      </c>
      <c r="B10" s="6" t="s">
        <v>9</v>
      </c>
      <c r="C10" s="5" t="s">
        <v>10</v>
      </c>
      <c r="D10" s="5" t="s">
        <v>54</v>
      </c>
      <c r="E10" s="5" t="s">
        <v>55</v>
      </c>
      <c r="F10" s="5" t="s">
        <v>49</v>
      </c>
      <c r="G10" s="9" t="s">
        <v>56</v>
      </c>
      <c r="H10" s="8"/>
      <c r="I10" s="5" t="s">
        <v>57</v>
      </c>
      <c r="J10" s="8"/>
      <c r="K10" s="8"/>
      <c r="L10" s="8"/>
      <c r="M10" s="8"/>
      <c r="N10" s="8"/>
      <c r="O10" s="8"/>
      <c r="P10" s="8"/>
      <c r="Q10" s="8"/>
      <c r="R10" s="8"/>
      <c r="S10" s="8"/>
      <c r="T10" s="8"/>
      <c r="U10" s="8"/>
      <c r="V10" s="8"/>
    </row>
    <row r="11">
      <c r="A11" s="5" t="s">
        <v>58</v>
      </c>
      <c r="B11" s="6" t="s">
        <v>59</v>
      </c>
      <c r="C11" s="5" t="s">
        <v>10</v>
      </c>
      <c r="D11" s="5" t="s">
        <v>60</v>
      </c>
      <c r="E11" s="5" t="s">
        <v>55</v>
      </c>
      <c r="F11" s="5" t="s">
        <v>61</v>
      </c>
      <c r="G11" s="7" t="s">
        <v>62</v>
      </c>
      <c r="H11" s="8"/>
      <c r="I11" s="5" t="s">
        <v>57</v>
      </c>
      <c r="J11" s="8"/>
      <c r="K11" s="8"/>
      <c r="L11" s="8"/>
      <c r="M11" s="8"/>
      <c r="N11" s="8"/>
      <c r="O11" s="8"/>
      <c r="P11" s="8"/>
      <c r="Q11" s="8"/>
      <c r="R11" s="8"/>
      <c r="S11" s="8"/>
      <c r="T11" s="8"/>
      <c r="U11" s="8"/>
      <c r="V11" s="8"/>
    </row>
    <row r="12">
      <c r="A12" s="5" t="s">
        <v>63</v>
      </c>
      <c r="B12" s="6" t="s">
        <v>64</v>
      </c>
      <c r="C12" s="5" t="s">
        <v>10</v>
      </c>
      <c r="D12" s="5" t="s">
        <v>65</v>
      </c>
      <c r="E12" s="5" t="s">
        <v>55</v>
      </c>
      <c r="F12" s="5" t="s">
        <v>33</v>
      </c>
      <c r="G12" s="7" t="s">
        <v>66</v>
      </c>
      <c r="H12" s="8"/>
      <c r="I12" s="5" t="s">
        <v>57</v>
      </c>
      <c r="J12" s="8"/>
      <c r="K12" s="8"/>
      <c r="L12" s="8"/>
      <c r="M12" s="8"/>
      <c r="N12" s="8"/>
      <c r="O12" s="8"/>
      <c r="P12" s="8"/>
      <c r="Q12" s="8"/>
      <c r="R12" s="8"/>
      <c r="S12" s="8"/>
      <c r="T12" s="8"/>
      <c r="U12" s="8"/>
      <c r="V12" s="8"/>
    </row>
    <row r="13">
      <c r="A13" s="5" t="s">
        <v>67</v>
      </c>
      <c r="B13" s="6" t="s">
        <v>68</v>
      </c>
      <c r="C13" s="5" t="s">
        <v>10</v>
      </c>
      <c r="D13" s="5" t="s">
        <v>69</v>
      </c>
      <c r="E13" s="5" t="s">
        <v>55</v>
      </c>
      <c r="F13" s="5" t="s">
        <v>70</v>
      </c>
      <c r="G13" s="7" t="s">
        <v>71</v>
      </c>
      <c r="H13" s="8"/>
      <c r="I13" s="5" t="s">
        <v>57</v>
      </c>
      <c r="J13" s="8"/>
      <c r="K13" s="8"/>
      <c r="L13" s="8"/>
      <c r="M13" s="8"/>
      <c r="N13" s="8"/>
      <c r="O13" s="8"/>
      <c r="P13" s="8"/>
      <c r="Q13" s="8"/>
      <c r="R13" s="8"/>
      <c r="S13" s="8"/>
      <c r="T13" s="8"/>
      <c r="U13" s="8"/>
      <c r="V13" s="8"/>
    </row>
    <row r="14">
      <c r="A14" s="5" t="s">
        <v>72</v>
      </c>
      <c r="B14" s="6" t="s">
        <v>73</v>
      </c>
      <c r="C14" s="5" t="s">
        <v>10</v>
      </c>
      <c r="D14" s="5" t="s">
        <v>74</v>
      </c>
      <c r="E14" s="5" t="s">
        <v>75</v>
      </c>
      <c r="F14" s="5" t="s">
        <v>70</v>
      </c>
      <c r="G14" s="9" t="s">
        <v>76</v>
      </c>
      <c r="H14" s="8"/>
      <c r="I14" s="5" t="s">
        <v>77</v>
      </c>
      <c r="J14" s="8"/>
      <c r="K14" s="8"/>
      <c r="L14" s="8"/>
      <c r="M14" s="8"/>
      <c r="N14" s="8"/>
      <c r="O14" s="8"/>
      <c r="P14" s="8"/>
      <c r="Q14" s="8"/>
      <c r="R14" s="8"/>
      <c r="S14" s="8"/>
      <c r="T14" s="8"/>
      <c r="U14" s="8"/>
      <c r="V14" s="8"/>
    </row>
    <row r="15">
      <c r="A15" s="5" t="s">
        <v>78</v>
      </c>
      <c r="B15" s="6" t="s">
        <v>79</v>
      </c>
      <c r="C15" s="5" t="s">
        <v>10</v>
      </c>
      <c r="D15" s="5" t="s">
        <v>80</v>
      </c>
      <c r="E15" s="5" t="s">
        <v>75</v>
      </c>
      <c r="F15" s="5" t="s">
        <v>70</v>
      </c>
      <c r="G15" s="9" t="s">
        <v>81</v>
      </c>
      <c r="H15" s="8"/>
      <c r="I15" s="5" t="s">
        <v>82</v>
      </c>
      <c r="J15" s="8"/>
      <c r="K15" s="8"/>
      <c r="L15" s="8"/>
      <c r="M15" s="8"/>
      <c r="N15" s="8"/>
      <c r="O15" s="8"/>
      <c r="P15" s="8"/>
      <c r="Q15" s="8"/>
      <c r="R15" s="8"/>
      <c r="S15" s="8"/>
      <c r="T15" s="8"/>
      <c r="U15" s="8"/>
      <c r="V15" s="8"/>
    </row>
    <row r="16">
      <c r="A16" s="5" t="s">
        <v>83</v>
      </c>
      <c r="B16" s="6" t="s">
        <v>84</v>
      </c>
      <c r="C16" s="5" t="s">
        <v>10</v>
      </c>
      <c r="D16" s="5" t="s">
        <v>85</v>
      </c>
      <c r="E16" s="5" t="s">
        <v>75</v>
      </c>
      <c r="F16" s="5" t="s">
        <v>13</v>
      </c>
      <c r="G16" s="9" t="s">
        <v>86</v>
      </c>
      <c r="H16" s="8"/>
      <c r="I16" s="5" t="s">
        <v>82</v>
      </c>
      <c r="J16" s="8"/>
      <c r="K16" s="8"/>
      <c r="L16" s="8"/>
      <c r="M16" s="8"/>
      <c r="N16" s="8"/>
      <c r="O16" s="8"/>
      <c r="P16" s="8"/>
      <c r="Q16" s="8"/>
      <c r="R16" s="8"/>
      <c r="S16" s="8"/>
      <c r="T16" s="8"/>
      <c r="U16" s="8"/>
      <c r="V16" s="8"/>
    </row>
    <row r="17">
      <c r="A17" s="5" t="s">
        <v>87</v>
      </c>
      <c r="B17" s="6" t="s">
        <v>88</v>
      </c>
      <c r="C17" s="5" t="s">
        <v>10</v>
      </c>
      <c r="D17" s="5" t="s">
        <v>89</v>
      </c>
      <c r="E17" s="5" t="s">
        <v>38</v>
      </c>
      <c r="F17" s="5" t="s">
        <v>13</v>
      </c>
      <c r="G17" s="9" t="s">
        <v>90</v>
      </c>
      <c r="H17" s="8"/>
      <c r="I17" s="5" t="s">
        <v>57</v>
      </c>
      <c r="J17" s="8"/>
      <c r="K17" s="8"/>
      <c r="L17" s="8"/>
      <c r="M17" s="8"/>
      <c r="N17" s="8"/>
      <c r="O17" s="8"/>
      <c r="P17" s="8"/>
      <c r="Q17" s="8"/>
      <c r="R17" s="8"/>
      <c r="S17" s="8"/>
      <c r="T17" s="8"/>
      <c r="U17" s="8"/>
      <c r="V17" s="8"/>
    </row>
    <row r="18">
      <c r="A18" s="5" t="s">
        <v>91</v>
      </c>
      <c r="B18" s="6" t="s">
        <v>92</v>
      </c>
      <c r="C18" s="5" t="s">
        <v>10</v>
      </c>
      <c r="D18" s="5" t="s">
        <v>93</v>
      </c>
      <c r="E18" s="5" t="s">
        <v>38</v>
      </c>
      <c r="F18" s="7" t="s">
        <v>13</v>
      </c>
      <c r="G18" s="9" t="s">
        <v>94</v>
      </c>
      <c r="H18" s="8"/>
      <c r="I18" s="5" t="s">
        <v>95</v>
      </c>
      <c r="J18" s="8"/>
      <c r="K18" s="8"/>
      <c r="L18" s="8"/>
      <c r="M18" s="8"/>
      <c r="N18" s="8"/>
      <c r="O18" s="8"/>
      <c r="P18" s="8"/>
      <c r="Q18" s="8"/>
      <c r="R18" s="8"/>
      <c r="S18" s="8"/>
      <c r="T18" s="8"/>
      <c r="U18" s="8"/>
      <c r="V18" s="8"/>
    </row>
    <row r="19">
      <c r="A19" s="5" t="s">
        <v>96</v>
      </c>
      <c r="B19" s="6" t="s">
        <v>9</v>
      </c>
      <c r="C19" s="5" t="s">
        <v>10</v>
      </c>
      <c r="D19" s="5" t="s">
        <v>97</v>
      </c>
      <c r="E19" s="5" t="s">
        <v>38</v>
      </c>
      <c r="F19" s="5" t="s">
        <v>13</v>
      </c>
      <c r="G19" s="9" t="s">
        <v>98</v>
      </c>
      <c r="H19" s="8"/>
      <c r="I19" s="5" t="s">
        <v>95</v>
      </c>
      <c r="J19" s="8"/>
      <c r="K19" s="8"/>
      <c r="L19" s="8"/>
      <c r="M19" s="8"/>
      <c r="N19" s="8"/>
      <c r="O19" s="8"/>
      <c r="P19" s="8"/>
      <c r="Q19" s="8"/>
      <c r="R19" s="8"/>
      <c r="S19" s="8"/>
      <c r="T19" s="8"/>
      <c r="U19" s="8"/>
      <c r="V19" s="8"/>
    </row>
    <row r="20">
      <c r="A20" s="5" t="s">
        <v>99</v>
      </c>
      <c r="B20" s="6" t="s">
        <v>59</v>
      </c>
      <c r="C20" s="5" t="s">
        <v>10</v>
      </c>
      <c r="D20" s="5" t="s">
        <v>100</v>
      </c>
      <c r="E20" s="5" t="s">
        <v>38</v>
      </c>
      <c r="F20" s="5" t="s">
        <v>13</v>
      </c>
      <c r="G20" s="9" t="s">
        <v>101</v>
      </c>
      <c r="H20" s="8"/>
      <c r="I20" s="5" t="s">
        <v>95</v>
      </c>
      <c r="J20" s="8"/>
      <c r="K20" s="8"/>
      <c r="L20" s="8"/>
      <c r="M20" s="8"/>
      <c r="N20" s="8"/>
      <c r="O20" s="8"/>
      <c r="P20" s="8"/>
      <c r="Q20" s="8"/>
      <c r="R20" s="8"/>
      <c r="S20" s="8"/>
      <c r="T20" s="8"/>
      <c r="U20" s="8"/>
      <c r="V20" s="8"/>
    </row>
    <row r="21">
      <c r="A21" s="5" t="s">
        <v>102</v>
      </c>
      <c r="B21" s="6" t="s">
        <v>103</v>
      </c>
      <c r="C21" s="5" t="s">
        <v>10</v>
      </c>
      <c r="D21" s="5" t="s">
        <v>104</v>
      </c>
      <c r="E21" s="5" t="s">
        <v>38</v>
      </c>
      <c r="F21" s="5" t="s">
        <v>13</v>
      </c>
      <c r="G21" s="9" t="s">
        <v>105</v>
      </c>
      <c r="H21" s="8"/>
      <c r="I21" s="5" t="s">
        <v>40</v>
      </c>
      <c r="J21" s="8"/>
      <c r="K21" s="8"/>
      <c r="L21" s="8"/>
      <c r="M21" s="8"/>
      <c r="N21" s="8"/>
      <c r="O21" s="8"/>
      <c r="P21" s="8"/>
      <c r="Q21" s="8"/>
      <c r="R21" s="8"/>
      <c r="S21" s="8"/>
      <c r="T21" s="8"/>
      <c r="U21" s="8"/>
      <c r="V21" s="8"/>
    </row>
    <row r="22">
      <c r="A22" s="5" t="s">
        <v>106</v>
      </c>
      <c r="B22" s="6" t="s">
        <v>107</v>
      </c>
      <c r="C22" s="5" t="s">
        <v>10</v>
      </c>
      <c r="D22" s="5" t="s">
        <v>108</v>
      </c>
      <c r="E22" s="5" t="s">
        <v>38</v>
      </c>
      <c r="F22" s="5" t="s">
        <v>13</v>
      </c>
      <c r="G22" s="9" t="s">
        <v>109</v>
      </c>
      <c r="H22" s="8"/>
      <c r="I22" s="5" t="s">
        <v>40</v>
      </c>
      <c r="J22" s="8"/>
      <c r="K22" s="8"/>
      <c r="L22" s="8"/>
      <c r="M22" s="8"/>
      <c r="N22" s="8"/>
      <c r="O22" s="8"/>
      <c r="P22" s="8"/>
      <c r="Q22" s="8"/>
      <c r="R22" s="8"/>
      <c r="S22" s="8"/>
      <c r="T22" s="8"/>
      <c r="U22" s="8"/>
      <c r="V22" s="8"/>
    </row>
    <row r="23">
      <c r="A23" s="5" t="s">
        <v>110</v>
      </c>
      <c r="B23" s="6" t="s">
        <v>111</v>
      </c>
      <c r="C23" s="5" t="s">
        <v>10</v>
      </c>
      <c r="D23" s="5" t="s">
        <v>112</v>
      </c>
      <c r="E23" s="5" t="s">
        <v>43</v>
      </c>
      <c r="F23" s="5" t="s">
        <v>70</v>
      </c>
      <c r="G23" s="7" t="s">
        <v>113</v>
      </c>
      <c r="H23" s="8"/>
      <c r="I23" s="5" t="s">
        <v>44</v>
      </c>
      <c r="J23" s="8"/>
      <c r="K23" s="8"/>
      <c r="L23" s="8"/>
      <c r="M23" s="8"/>
      <c r="N23" s="8"/>
      <c r="O23" s="8"/>
      <c r="P23" s="8"/>
      <c r="Q23" s="8"/>
      <c r="R23" s="8"/>
      <c r="S23" s="8"/>
      <c r="T23" s="8"/>
      <c r="U23" s="8"/>
      <c r="V23" s="8"/>
    </row>
    <row r="24">
      <c r="A24" s="5" t="s">
        <v>114</v>
      </c>
      <c r="B24" s="6" t="s">
        <v>115</v>
      </c>
      <c r="C24" s="5" t="s">
        <v>10</v>
      </c>
      <c r="D24" s="5" t="s">
        <v>116</v>
      </c>
      <c r="E24" s="5" t="s">
        <v>43</v>
      </c>
      <c r="F24" s="5" t="s">
        <v>70</v>
      </c>
      <c r="G24" s="7" t="s">
        <v>117</v>
      </c>
      <c r="H24" s="8"/>
      <c r="I24" s="5" t="s">
        <v>44</v>
      </c>
      <c r="J24" s="8"/>
      <c r="K24" s="8"/>
      <c r="L24" s="8"/>
      <c r="M24" s="8"/>
      <c r="N24" s="8"/>
      <c r="O24" s="8"/>
      <c r="P24" s="8"/>
      <c r="Q24" s="8"/>
      <c r="R24" s="8"/>
      <c r="S24" s="8"/>
      <c r="T24" s="8"/>
      <c r="U24" s="8"/>
      <c r="V24" s="8"/>
    </row>
    <row r="25">
      <c r="A25" s="5" t="s">
        <v>118</v>
      </c>
      <c r="B25" s="6" t="s">
        <v>119</v>
      </c>
      <c r="C25" s="5" t="s">
        <v>10</v>
      </c>
      <c r="D25" s="5" t="s">
        <v>120</v>
      </c>
      <c r="E25" s="5" t="s">
        <v>43</v>
      </c>
      <c r="F25" s="5" t="s">
        <v>13</v>
      </c>
      <c r="G25" s="9" t="s">
        <v>121</v>
      </c>
      <c r="H25" s="8"/>
      <c r="I25" s="5" t="s">
        <v>44</v>
      </c>
      <c r="J25" s="8"/>
      <c r="K25" s="8"/>
      <c r="L25" s="8"/>
      <c r="M25" s="8"/>
      <c r="N25" s="8"/>
      <c r="O25" s="8"/>
      <c r="P25" s="8"/>
      <c r="Q25" s="8"/>
      <c r="R25" s="8"/>
      <c r="S25" s="8"/>
      <c r="T25" s="8"/>
      <c r="U25" s="8"/>
      <c r="V25" s="8"/>
    </row>
    <row r="26">
      <c r="A26" s="5" t="s">
        <v>122</v>
      </c>
      <c r="B26" s="6" t="s">
        <v>123</v>
      </c>
      <c r="C26" s="5" t="s">
        <v>10</v>
      </c>
      <c r="D26" s="5" t="s">
        <v>9</v>
      </c>
      <c r="E26" s="8"/>
      <c r="F26" s="8"/>
      <c r="G26" s="10"/>
      <c r="H26" s="8"/>
      <c r="I26" s="5" t="s">
        <v>44</v>
      </c>
      <c r="J26" s="8"/>
      <c r="K26" s="8"/>
      <c r="L26" s="8"/>
      <c r="M26" s="8"/>
      <c r="N26" s="8"/>
      <c r="O26" s="8"/>
      <c r="P26" s="8"/>
      <c r="Q26" s="8"/>
      <c r="R26" s="8"/>
      <c r="S26" s="8"/>
      <c r="T26" s="8"/>
      <c r="U26" s="8"/>
      <c r="V26" s="8"/>
    </row>
    <row r="27">
      <c r="A27" s="5" t="s">
        <v>124</v>
      </c>
      <c r="B27" s="6" t="s">
        <v>125</v>
      </c>
      <c r="C27" s="5" t="s">
        <v>10</v>
      </c>
      <c r="D27" s="5" t="s">
        <v>44</v>
      </c>
      <c r="E27" s="5" t="s">
        <v>43</v>
      </c>
      <c r="F27" s="5" t="s">
        <v>126</v>
      </c>
      <c r="G27" s="10"/>
      <c r="H27" s="8"/>
      <c r="I27" s="5" t="s">
        <v>44</v>
      </c>
      <c r="J27" s="8"/>
      <c r="K27" s="8"/>
      <c r="L27" s="8"/>
      <c r="M27" s="8"/>
      <c r="N27" s="8"/>
      <c r="O27" s="8"/>
      <c r="P27" s="8"/>
      <c r="Q27" s="8"/>
      <c r="R27" s="8"/>
      <c r="S27" s="8"/>
      <c r="T27" s="8"/>
      <c r="U27" s="8"/>
      <c r="V27" s="8"/>
    </row>
    <row r="28">
      <c r="A28" s="5" t="s">
        <v>127</v>
      </c>
      <c r="B28" s="6" t="s">
        <v>9</v>
      </c>
      <c r="C28" s="5" t="s">
        <v>10</v>
      </c>
      <c r="D28" s="5" t="s">
        <v>128</v>
      </c>
      <c r="E28" s="5" t="s">
        <v>38</v>
      </c>
      <c r="F28" s="5" t="s">
        <v>13</v>
      </c>
      <c r="G28" s="7" t="s">
        <v>129</v>
      </c>
      <c r="H28" s="8"/>
      <c r="I28" s="5" t="s">
        <v>95</v>
      </c>
      <c r="J28" s="8"/>
      <c r="K28" s="8"/>
      <c r="L28" s="8"/>
      <c r="M28" s="8"/>
      <c r="N28" s="8"/>
      <c r="O28" s="8"/>
      <c r="P28" s="8"/>
      <c r="Q28" s="8"/>
      <c r="R28" s="8"/>
      <c r="S28" s="8"/>
      <c r="T28" s="8"/>
      <c r="U28" s="8"/>
      <c r="V28" s="8"/>
    </row>
    <row r="29">
      <c r="A29" s="5" t="s">
        <v>130</v>
      </c>
      <c r="B29" s="6" t="s">
        <v>9</v>
      </c>
      <c r="C29" s="5" t="s">
        <v>10</v>
      </c>
      <c r="D29" s="5" t="s">
        <v>131</v>
      </c>
      <c r="E29" s="5" t="s">
        <v>38</v>
      </c>
      <c r="F29" s="5" t="s">
        <v>13</v>
      </c>
      <c r="G29" s="7" t="s">
        <v>132</v>
      </c>
      <c r="H29" s="8"/>
      <c r="I29" s="8"/>
      <c r="J29" s="8"/>
      <c r="K29" s="8"/>
      <c r="L29" s="8"/>
      <c r="M29" s="8"/>
      <c r="N29" s="8"/>
      <c r="O29" s="8"/>
      <c r="P29" s="8"/>
      <c r="Q29" s="8"/>
      <c r="R29" s="8"/>
      <c r="S29" s="8"/>
      <c r="T29" s="8"/>
      <c r="U29" s="8"/>
      <c r="V29" s="8"/>
    </row>
    <row r="30">
      <c r="A30" s="5" t="s">
        <v>133</v>
      </c>
      <c r="B30" s="6" t="s">
        <v>9</v>
      </c>
      <c r="C30" s="5" t="s">
        <v>10</v>
      </c>
      <c r="D30" s="5" t="s">
        <v>134</v>
      </c>
      <c r="E30" s="5" t="s">
        <v>43</v>
      </c>
      <c r="F30" s="5" t="s">
        <v>13</v>
      </c>
      <c r="G30" s="7" t="s">
        <v>135</v>
      </c>
      <c r="H30" s="8"/>
      <c r="I30" s="8"/>
      <c r="J30" s="8"/>
      <c r="K30" s="8"/>
      <c r="L30" s="8"/>
      <c r="M30" s="8"/>
      <c r="N30" s="8"/>
      <c r="O30" s="8"/>
      <c r="P30" s="8"/>
      <c r="Q30" s="8"/>
      <c r="R30" s="8"/>
      <c r="S30" s="8"/>
      <c r="T30" s="8"/>
      <c r="U30" s="8"/>
      <c r="V30" s="8"/>
    </row>
    <row r="31">
      <c r="A31" s="5" t="s">
        <v>136</v>
      </c>
      <c r="B31" s="6" t="s">
        <v>9</v>
      </c>
      <c r="C31" s="5" t="s">
        <v>10</v>
      </c>
      <c r="D31" s="5" t="s">
        <v>137</v>
      </c>
      <c r="E31" s="5" t="s">
        <v>38</v>
      </c>
      <c r="F31" s="5" t="s">
        <v>13</v>
      </c>
      <c r="G31" s="7" t="s">
        <v>138</v>
      </c>
      <c r="H31" s="8"/>
      <c r="I31" s="8"/>
      <c r="J31" s="8"/>
      <c r="K31" s="8"/>
      <c r="L31" s="8"/>
      <c r="M31" s="8"/>
      <c r="N31" s="8"/>
      <c r="O31" s="8"/>
      <c r="P31" s="8"/>
      <c r="Q31" s="8"/>
      <c r="R31" s="8"/>
      <c r="S31" s="8"/>
      <c r="T31" s="8"/>
      <c r="U31" s="8"/>
      <c r="V31" s="8"/>
    </row>
    <row r="32">
      <c r="A32" s="5" t="s">
        <v>139</v>
      </c>
      <c r="B32" s="6" t="s">
        <v>9</v>
      </c>
      <c r="C32" s="5" t="s">
        <v>10</v>
      </c>
      <c r="D32" s="5" t="s">
        <v>131</v>
      </c>
      <c r="E32" s="5" t="s">
        <v>38</v>
      </c>
      <c r="F32" s="5" t="s">
        <v>13</v>
      </c>
      <c r="G32" s="7" t="s">
        <v>140</v>
      </c>
      <c r="H32" s="8"/>
      <c r="I32" s="8"/>
      <c r="J32" s="8"/>
      <c r="K32" s="8"/>
      <c r="L32" s="8"/>
      <c r="M32" s="8"/>
      <c r="N32" s="8"/>
      <c r="O32" s="8"/>
      <c r="P32" s="8"/>
      <c r="Q32" s="8"/>
      <c r="R32" s="8"/>
      <c r="S32" s="8"/>
      <c r="T32" s="8"/>
      <c r="U32" s="8"/>
      <c r="V32" s="8"/>
    </row>
    <row r="33">
      <c r="A33" s="5" t="s">
        <v>141</v>
      </c>
      <c r="B33" s="6" t="s">
        <v>9</v>
      </c>
      <c r="C33" s="5" t="s">
        <v>10</v>
      </c>
      <c r="D33" s="5" t="s">
        <v>16</v>
      </c>
      <c r="E33" s="5" t="s">
        <v>12</v>
      </c>
      <c r="F33" s="5" t="s">
        <v>142</v>
      </c>
      <c r="G33" s="10"/>
      <c r="H33" s="5" t="s">
        <v>143</v>
      </c>
      <c r="I33" s="5" t="s">
        <v>144</v>
      </c>
      <c r="J33" s="8"/>
      <c r="K33" s="8"/>
      <c r="L33" s="8"/>
      <c r="M33" s="8"/>
      <c r="N33" s="8"/>
      <c r="O33" s="8"/>
      <c r="P33" s="8"/>
      <c r="Q33" s="8"/>
      <c r="R33" s="8"/>
      <c r="S33" s="8"/>
      <c r="T33" s="8"/>
      <c r="U33" s="8"/>
      <c r="V33" s="8"/>
    </row>
    <row r="34">
      <c r="A34" s="5" t="s">
        <v>145</v>
      </c>
      <c r="B34" s="6" t="s">
        <v>9</v>
      </c>
      <c r="C34" s="5" t="s">
        <v>10</v>
      </c>
      <c r="D34" s="5" t="s">
        <v>16</v>
      </c>
      <c r="E34" s="5" t="s">
        <v>12</v>
      </c>
      <c r="F34" s="5" t="s">
        <v>142</v>
      </c>
      <c r="G34" s="10"/>
      <c r="H34" s="8"/>
      <c r="I34" s="5" t="s">
        <v>144</v>
      </c>
      <c r="J34" s="8"/>
      <c r="K34" s="8"/>
      <c r="L34" s="8"/>
      <c r="M34" s="8"/>
      <c r="N34" s="8"/>
      <c r="O34" s="8"/>
      <c r="P34" s="8"/>
      <c r="Q34" s="8"/>
      <c r="R34" s="8"/>
      <c r="S34" s="8"/>
      <c r="T34" s="8"/>
      <c r="U34" s="8"/>
      <c r="V34" s="8"/>
    </row>
    <row r="35">
      <c r="A35" s="5" t="s">
        <v>146</v>
      </c>
      <c r="B35" s="6" t="s">
        <v>9</v>
      </c>
      <c r="C35" s="5" t="s">
        <v>10</v>
      </c>
      <c r="D35" s="5" t="s">
        <v>16</v>
      </c>
      <c r="E35" s="5" t="s">
        <v>12</v>
      </c>
      <c r="F35" s="5" t="s">
        <v>142</v>
      </c>
      <c r="G35" s="10"/>
      <c r="H35" s="8"/>
      <c r="I35" s="5" t="s">
        <v>144</v>
      </c>
      <c r="J35" s="8"/>
      <c r="K35" s="8"/>
      <c r="L35" s="8"/>
      <c r="M35" s="8"/>
      <c r="N35" s="8"/>
      <c r="O35" s="8"/>
      <c r="P35" s="8"/>
      <c r="Q35" s="8"/>
      <c r="R35" s="8"/>
      <c r="S35" s="8"/>
      <c r="T35" s="8"/>
      <c r="U35" s="8"/>
      <c r="V35" s="8"/>
    </row>
    <row r="36">
      <c r="A36" s="5" t="s">
        <v>147</v>
      </c>
      <c r="B36" s="6" t="s">
        <v>9</v>
      </c>
      <c r="C36" s="5" t="s">
        <v>10</v>
      </c>
      <c r="D36" s="5" t="s">
        <v>148</v>
      </c>
      <c r="E36" s="5" t="s">
        <v>75</v>
      </c>
      <c r="F36" s="8"/>
      <c r="G36" s="10"/>
      <c r="H36" s="8"/>
      <c r="I36" s="5" t="s">
        <v>82</v>
      </c>
      <c r="J36" s="8"/>
      <c r="K36" s="8"/>
      <c r="L36" s="8"/>
      <c r="M36" s="8"/>
      <c r="N36" s="8"/>
      <c r="O36" s="8"/>
      <c r="P36" s="8"/>
      <c r="Q36" s="8"/>
      <c r="R36" s="8"/>
      <c r="S36" s="8"/>
      <c r="T36" s="8"/>
      <c r="U36" s="8"/>
      <c r="V36" s="8"/>
    </row>
    <row r="37">
      <c r="A37" s="5" t="s">
        <v>149</v>
      </c>
      <c r="B37" s="6" t="s">
        <v>9</v>
      </c>
      <c r="C37" s="5" t="s">
        <v>10</v>
      </c>
      <c r="D37" s="5" t="s">
        <v>131</v>
      </c>
      <c r="E37" s="5" t="s">
        <v>150</v>
      </c>
      <c r="F37" s="5" t="s">
        <v>13</v>
      </c>
      <c r="G37" s="10"/>
      <c r="H37" s="8"/>
      <c r="I37" s="8"/>
      <c r="J37" s="8"/>
      <c r="K37" s="8"/>
      <c r="L37" s="8"/>
      <c r="M37" s="8"/>
      <c r="N37" s="8"/>
      <c r="O37" s="8"/>
      <c r="P37" s="8"/>
      <c r="Q37" s="8"/>
      <c r="R37" s="8"/>
      <c r="S37" s="8"/>
      <c r="T37" s="8"/>
      <c r="U37" s="8"/>
      <c r="V37" s="8"/>
    </row>
    <row r="38">
      <c r="A38" s="5" t="s">
        <v>151</v>
      </c>
      <c r="B38" s="6" t="s">
        <v>9</v>
      </c>
      <c r="C38" s="5" t="s">
        <v>10</v>
      </c>
      <c r="D38" s="5" t="s">
        <v>131</v>
      </c>
      <c r="E38" s="5" t="s">
        <v>150</v>
      </c>
      <c r="F38" s="5" t="s">
        <v>126</v>
      </c>
      <c r="G38" s="10"/>
      <c r="H38" s="8"/>
      <c r="I38" s="8"/>
      <c r="J38" s="8"/>
      <c r="K38" s="8"/>
      <c r="L38" s="8"/>
      <c r="M38" s="8"/>
      <c r="N38" s="8"/>
      <c r="O38" s="8"/>
      <c r="P38" s="8"/>
      <c r="Q38" s="8"/>
      <c r="R38" s="8"/>
      <c r="S38" s="8"/>
      <c r="T38" s="8"/>
      <c r="U38" s="8"/>
      <c r="V38" s="8"/>
    </row>
    <row r="39">
      <c r="A39" s="5" t="s">
        <v>152</v>
      </c>
      <c r="B39" s="6" t="s">
        <v>9</v>
      </c>
      <c r="C39" s="5" t="s">
        <v>10</v>
      </c>
      <c r="D39" s="5" t="s">
        <v>153</v>
      </c>
      <c r="E39" s="5" t="s">
        <v>154</v>
      </c>
      <c r="F39" s="5" t="s">
        <v>155</v>
      </c>
      <c r="G39" s="10"/>
      <c r="H39" s="8"/>
      <c r="I39" s="5" t="s">
        <v>154</v>
      </c>
      <c r="J39" s="8"/>
      <c r="K39" s="8"/>
      <c r="L39" s="8"/>
      <c r="M39" s="8"/>
      <c r="N39" s="8"/>
      <c r="O39" s="8"/>
      <c r="P39" s="8"/>
      <c r="Q39" s="8"/>
      <c r="R39" s="8"/>
      <c r="S39" s="8"/>
      <c r="T39" s="8"/>
      <c r="U39" s="8"/>
      <c r="V39" s="8"/>
    </row>
    <row r="40">
      <c r="A40" s="8"/>
      <c r="B40" s="11"/>
      <c r="C40" s="8"/>
      <c r="D40" s="8"/>
      <c r="E40" s="8"/>
      <c r="F40" s="8"/>
      <c r="G40" s="10"/>
      <c r="H40" s="8"/>
      <c r="I40" s="8"/>
      <c r="J40" s="8"/>
      <c r="K40" s="8"/>
      <c r="L40" s="8"/>
      <c r="M40" s="8"/>
      <c r="N40" s="8"/>
      <c r="O40" s="8"/>
      <c r="P40" s="8"/>
      <c r="Q40" s="8"/>
      <c r="R40" s="8"/>
      <c r="S40" s="8"/>
      <c r="T40" s="8"/>
      <c r="U40" s="8"/>
      <c r="V40" s="8"/>
    </row>
    <row r="41">
      <c r="A41" s="8"/>
      <c r="B41" s="11"/>
      <c r="C41" s="8"/>
      <c r="D41" s="8"/>
      <c r="E41" s="8"/>
      <c r="F41" s="8"/>
      <c r="G41" s="10"/>
      <c r="H41" s="8"/>
      <c r="I41" s="8"/>
      <c r="J41" s="8"/>
      <c r="K41" s="8"/>
      <c r="L41" s="8"/>
      <c r="M41" s="8"/>
      <c r="N41" s="8"/>
      <c r="O41" s="8"/>
      <c r="P41" s="8"/>
      <c r="Q41" s="8"/>
      <c r="R41" s="8"/>
      <c r="S41" s="8"/>
      <c r="T41" s="8"/>
      <c r="U41" s="8"/>
      <c r="V41" s="8"/>
    </row>
    <row r="42">
      <c r="A42" s="8"/>
      <c r="B42" s="11"/>
      <c r="C42" s="8"/>
      <c r="D42" s="8"/>
      <c r="E42" s="8"/>
      <c r="F42" s="8"/>
      <c r="G42" s="10"/>
      <c r="H42" s="8"/>
      <c r="I42" s="8"/>
      <c r="J42" s="8"/>
      <c r="K42" s="8"/>
      <c r="L42" s="8"/>
      <c r="M42" s="8"/>
      <c r="N42" s="8"/>
      <c r="O42" s="8"/>
      <c r="P42" s="8"/>
      <c r="Q42" s="8"/>
      <c r="R42" s="8"/>
      <c r="S42" s="8"/>
      <c r="T42" s="8"/>
      <c r="U42" s="8"/>
      <c r="V42" s="8"/>
    </row>
    <row r="43">
      <c r="A43" s="8"/>
      <c r="B43" s="11"/>
      <c r="C43" s="8"/>
      <c r="D43" s="8"/>
      <c r="E43" s="8"/>
      <c r="F43" s="8"/>
      <c r="G43" s="10"/>
      <c r="H43" s="8"/>
      <c r="I43" s="8"/>
      <c r="J43" s="8"/>
      <c r="K43" s="8"/>
      <c r="L43" s="8"/>
      <c r="M43" s="8"/>
      <c r="N43" s="8"/>
      <c r="O43" s="8"/>
      <c r="P43" s="8"/>
      <c r="Q43" s="8"/>
      <c r="R43" s="8"/>
      <c r="S43" s="8"/>
      <c r="T43" s="8"/>
      <c r="U43" s="8"/>
      <c r="V43" s="8"/>
    </row>
    <row r="44">
      <c r="A44" s="8"/>
      <c r="B44" s="11"/>
      <c r="C44" s="8"/>
      <c r="D44" s="8"/>
      <c r="E44" s="8"/>
      <c r="F44" s="8"/>
      <c r="G44" s="10"/>
      <c r="H44" s="8"/>
      <c r="I44" s="8"/>
      <c r="J44" s="8"/>
      <c r="K44" s="8"/>
      <c r="L44" s="8"/>
      <c r="M44" s="8"/>
      <c r="N44" s="8"/>
      <c r="O44" s="8"/>
      <c r="P44" s="8"/>
      <c r="Q44" s="8"/>
      <c r="R44" s="8"/>
      <c r="S44" s="8"/>
      <c r="T44" s="8"/>
      <c r="U44" s="8"/>
      <c r="V44" s="8"/>
    </row>
    <row r="45">
      <c r="A45" s="5" t="s">
        <v>156</v>
      </c>
      <c r="B45" s="6" t="s">
        <v>157</v>
      </c>
      <c r="C45" s="5" t="s">
        <v>158</v>
      </c>
      <c r="D45" s="5" t="s">
        <v>16</v>
      </c>
      <c r="E45" s="5" t="s">
        <v>12</v>
      </c>
      <c r="F45" s="5" t="s">
        <v>159</v>
      </c>
      <c r="G45" s="10"/>
      <c r="H45" s="8"/>
      <c r="I45" s="5" t="s">
        <v>144</v>
      </c>
      <c r="J45" s="8"/>
      <c r="K45" s="8"/>
      <c r="L45" s="8"/>
      <c r="M45" s="8"/>
      <c r="N45" s="8"/>
      <c r="O45" s="8"/>
      <c r="P45" s="8"/>
      <c r="Q45" s="8"/>
      <c r="R45" s="8"/>
      <c r="S45" s="8"/>
      <c r="T45" s="8"/>
      <c r="U45" s="8"/>
      <c r="V45" s="8"/>
    </row>
    <row r="46">
      <c r="A46" s="5" t="s">
        <v>160</v>
      </c>
      <c r="B46" s="6" t="s">
        <v>161</v>
      </c>
      <c r="C46" s="5" t="s">
        <v>158</v>
      </c>
      <c r="D46" s="5" t="s">
        <v>16</v>
      </c>
      <c r="E46" s="5" t="s">
        <v>12</v>
      </c>
      <c r="F46" s="5" t="s">
        <v>159</v>
      </c>
      <c r="G46" s="7" t="s">
        <v>162</v>
      </c>
      <c r="H46" s="8"/>
      <c r="I46" s="5" t="s">
        <v>144</v>
      </c>
      <c r="J46" s="8"/>
      <c r="K46" s="8"/>
      <c r="L46" s="8"/>
      <c r="M46" s="8"/>
      <c r="N46" s="8"/>
      <c r="O46" s="8"/>
      <c r="P46" s="8"/>
      <c r="Q46" s="8"/>
      <c r="R46" s="8"/>
      <c r="S46" s="8"/>
      <c r="T46" s="8"/>
      <c r="U46" s="8"/>
      <c r="V46" s="8"/>
    </row>
    <row r="47">
      <c r="A47" s="5" t="s">
        <v>163</v>
      </c>
      <c r="B47" s="6" t="s">
        <v>164</v>
      </c>
      <c r="C47" s="5" t="s">
        <v>158</v>
      </c>
      <c r="D47" s="5" t="s">
        <v>165</v>
      </c>
      <c r="E47" s="5" t="s">
        <v>48</v>
      </c>
      <c r="F47" s="5" t="s">
        <v>159</v>
      </c>
      <c r="G47" s="7" t="s">
        <v>166</v>
      </c>
      <c r="H47" s="8"/>
      <c r="I47" s="5" t="s">
        <v>52</v>
      </c>
      <c r="J47" s="8"/>
      <c r="K47" s="8"/>
      <c r="L47" s="8"/>
      <c r="M47" s="8"/>
      <c r="N47" s="8"/>
      <c r="O47" s="8"/>
      <c r="P47" s="8"/>
      <c r="Q47" s="8"/>
      <c r="R47" s="8"/>
      <c r="S47" s="8"/>
      <c r="T47" s="8"/>
      <c r="U47" s="8"/>
      <c r="V47" s="8"/>
    </row>
    <row r="48">
      <c r="A48" s="5" t="s">
        <v>167</v>
      </c>
      <c r="B48" s="6" t="s">
        <v>168</v>
      </c>
      <c r="C48" s="5" t="s">
        <v>158</v>
      </c>
      <c r="D48" s="5" t="s">
        <v>47</v>
      </c>
      <c r="E48" s="5" t="s">
        <v>48</v>
      </c>
      <c r="F48" s="5" t="s">
        <v>159</v>
      </c>
      <c r="G48" s="7" t="s">
        <v>169</v>
      </c>
      <c r="H48" s="8"/>
      <c r="I48" s="5" t="s">
        <v>52</v>
      </c>
      <c r="J48" s="8"/>
      <c r="K48" s="8"/>
      <c r="L48" s="8"/>
      <c r="M48" s="8"/>
      <c r="N48" s="8"/>
      <c r="O48" s="8"/>
      <c r="P48" s="8"/>
      <c r="Q48" s="8"/>
      <c r="R48" s="8"/>
      <c r="S48" s="8"/>
      <c r="T48" s="8"/>
      <c r="U48" s="8"/>
      <c r="V48" s="8"/>
    </row>
    <row r="49">
      <c r="A49" s="5" t="s">
        <v>170</v>
      </c>
      <c r="B49" s="6" t="s">
        <v>171</v>
      </c>
      <c r="C49" s="5" t="s">
        <v>158</v>
      </c>
      <c r="D49" s="5" t="s">
        <v>172</v>
      </c>
      <c r="E49" s="5" t="s">
        <v>55</v>
      </c>
      <c r="F49" s="5" t="s">
        <v>159</v>
      </c>
      <c r="G49" s="7" t="s">
        <v>173</v>
      </c>
      <c r="H49" s="8"/>
      <c r="I49" s="5" t="s">
        <v>57</v>
      </c>
      <c r="J49" s="8"/>
      <c r="K49" s="8"/>
      <c r="L49" s="8"/>
      <c r="M49" s="8"/>
      <c r="N49" s="8"/>
      <c r="O49" s="8"/>
      <c r="P49" s="8"/>
      <c r="Q49" s="8"/>
      <c r="R49" s="8"/>
      <c r="S49" s="8"/>
      <c r="T49" s="8"/>
      <c r="U49" s="8"/>
      <c r="V49" s="8"/>
    </row>
    <row r="50">
      <c r="A50" s="5" t="s">
        <v>174</v>
      </c>
      <c r="B50" s="6" t="s">
        <v>175</v>
      </c>
      <c r="C50" s="5" t="s">
        <v>158</v>
      </c>
      <c r="D50" s="5" t="s">
        <v>65</v>
      </c>
      <c r="E50" s="5" t="s">
        <v>55</v>
      </c>
      <c r="F50" s="5" t="s">
        <v>176</v>
      </c>
      <c r="G50" s="7" t="s">
        <v>177</v>
      </c>
      <c r="H50" s="8"/>
      <c r="I50" s="5" t="s">
        <v>57</v>
      </c>
      <c r="J50" s="8"/>
      <c r="K50" s="8"/>
      <c r="L50" s="8"/>
      <c r="M50" s="8"/>
      <c r="N50" s="8"/>
      <c r="O50" s="8"/>
      <c r="P50" s="8"/>
      <c r="Q50" s="8"/>
      <c r="R50" s="8"/>
      <c r="S50" s="8"/>
      <c r="T50" s="8"/>
      <c r="U50" s="8"/>
      <c r="V50" s="8"/>
    </row>
    <row r="51">
      <c r="A51" s="5" t="s">
        <v>178</v>
      </c>
      <c r="B51" s="6" t="s">
        <v>179</v>
      </c>
      <c r="C51" s="5" t="s">
        <v>158</v>
      </c>
      <c r="D51" s="5" t="s">
        <v>74</v>
      </c>
      <c r="E51" s="5" t="s">
        <v>75</v>
      </c>
      <c r="F51" s="5" t="s">
        <v>176</v>
      </c>
      <c r="G51" s="7" t="s">
        <v>180</v>
      </c>
      <c r="H51" s="8"/>
      <c r="I51" s="5" t="s">
        <v>82</v>
      </c>
      <c r="J51" s="8"/>
      <c r="K51" s="8"/>
      <c r="L51" s="8"/>
      <c r="M51" s="8"/>
      <c r="N51" s="8"/>
      <c r="O51" s="8"/>
      <c r="P51" s="8"/>
      <c r="Q51" s="8"/>
      <c r="R51" s="8"/>
      <c r="S51" s="8"/>
      <c r="T51" s="8"/>
      <c r="U51" s="8"/>
      <c r="V51" s="8"/>
    </row>
    <row r="52">
      <c r="A52" s="5" t="s">
        <v>181</v>
      </c>
      <c r="B52" s="6" t="s">
        <v>182</v>
      </c>
      <c r="C52" s="5" t="s">
        <v>158</v>
      </c>
      <c r="D52" s="5" t="s">
        <v>80</v>
      </c>
      <c r="E52" s="5" t="s">
        <v>75</v>
      </c>
      <c r="F52" s="5" t="s">
        <v>176</v>
      </c>
      <c r="G52" s="7" t="s">
        <v>183</v>
      </c>
      <c r="H52" s="8"/>
      <c r="I52" s="5" t="s">
        <v>82</v>
      </c>
      <c r="J52" s="8"/>
      <c r="K52" s="8"/>
      <c r="L52" s="8"/>
      <c r="M52" s="8"/>
      <c r="N52" s="8"/>
      <c r="O52" s="8"/>
      <c r="P52" s="8"/>
      <c r="Q52" s="8"/>
      <c r="R52" s="8"/>
      <c r="S52" s="8"/>
      <c r="T52" s="8"/>
      <c r="U52" s="8"/>
      <c r="V52" s="8"/>
    </row>
    <row r="53">
      <c r="A53" s="5" t="s">
        <v>184</v>
      </c>
      <c r="B53" s="6" t="s">
        <v>185</v>
      </c>
      <c r="C53" s="5" t="s">
        <v>158</v>
      </c>
      <c r="D53" s="5" t="s">
        <v>89</v>
      </c>
      <c r="E53" s="5" t="s">
        <v>38</v>
      </c>
      <c r="F53" s="5" t="s">
        <v>176</v>
      </c>
      <c r="G53" s="7" t="s">
        <v>186</v>
      </c>
      <c r="H53" s="8"/>
      <c r="I53" s="5" t="s">
        <v>57</v>
      </c>
      <c r="J53" s="8"/>
      <c r="K53" s="8"/>
      <c r="L53" s="8"/>
      <c r="M53" s="8"/>
      <c r="N53" s="8"/>
      <c r="O53" s="8"/>
      <c r="P53" s="8"/>
      <c r="Q53" s="8"/>
      <c r="R53" s="8"/>
      <c r="S53" s="8"/>
      <c r="T53" s="8"/>
      <c r="U53" s="8"/>
      <c r="V53" s="8"/>
    </row>
    <row r="54">
      <c r="A54" s="5" t="s">
        <v>187</v>
      </c>
      <c r="B54" s="6" t="s">
        <v>188</v>
      </c>
      <c r="C54" s="5" t="s">
        <v>158</v>
      </c>
      <c r="D54" s="5" t="s">
        <v>44</v>
      </c>
      <c r="E54" s="5" t="s">
        <v>43</v>
      </c>
      <c r="F54" s="5" t="s">
        <v>176</v>
      </c>
      <c r="G54" s="7" t="s">
        <v>189</v>
      </c>
      <c r="H54" s="8"/>
      <c r="I54" s="5" t="s">
        <v>44</v>
      </c>
      <c r="J54" s="8"/>
      <c r="K54" s="8"/>
      <c r="L54" s="8"/>
      <c r="M54" s="8"/>
      <c r="N54" s="8"/>
      <c r="O54" s="8"/>
      <c r="P54" s="8"/>
      <c r="Q54" s="8"/>
      <c r="R54" s="8"/>
      <c r="S54" s="8"/>
      <c r="T54" s="8"/>
      <c r="U54" s="8"/>
      <c r="V54" s="8"/>
    </row>
    <row r="55">
      <c r="A55" s="5" t="s">
        <v>190</v>
      </c>
      <c r="B55" s="6" t="s">
        <v>191</v>
      </c>
      <c r="C55" s="5" t="s">
        <v>158</v>
      </c>
      <c r="D55" s="5" t="s">
        <v>42</v>
      </c>
      <c r="E55" s="5" t="s">
        <v>43</v>
      </c>
      <c r="F55" s="12" t="s">
        <v>176</v>
      </c>
      <c r="G55" s="12" t="s">
        <v>192</v>
      </c>
      <c r="H55" s="8"/>
      <c r="I55" s="5" t="s">
        <v>44</v>
      </c>
      <c r="J55" s="8"/>
      <c r="K55" s="8"/>
      <c r="L55" s="8"/>
      <c r="M55" s="8"/>
      <c r="N55" s="8"/>
      <c r="O55" s="8"/>
      <c r="P55" s="8"/>
      <c r="Q55" s="8"/>
      <c r="R55" s="8"/>
      <c r="S55" s="8"/>
      <c r="T55" s="8"/>
      <c r="U55" s="8"/>
      <c r="V55" s="8"/>
    </row>
    <row r="56">
      <c r="A56" s="5" t="s">
        <v>193</v>
      </c>
      <c r="B56" s="6" t="s">
        <v>194</v>
      </c>
      <c r="C56" s="5" t="s">
        <v>158</v>
      </c>
      <c r="D56" s="5" t="s">
        <v>120</v>
      </c>
      <c r="E56" s="5" t="s">
        <v>43</v>
      </c>
      <c r="F56" s="5" t="s">
        <v>176</v>
      </c>
      <c r="G56" s="7" t="s">
        <v>195</v>
      </c>
      <c r="H56" s="8"/>
      <c r="I56" s="5" t="s">
        <v>196</v>
      </c>
      <c r="J56" s="8"/>
      <c r="K56" s="8"/>
      <c r="L56" s="8"/>
      <c r="M56" s="8"/>
      <c r="N56" s="8"/>
      <c r="O56" s="8"/>
      <c r="P56" s="8"/>
      <c r="Q56" s="8"/>
      <c r="R56" s="8"/>
      <c r="S56" s="8"/>
      <c r="T56" s="8"/>
      <c r="U56" s="8"/>
      <c r="V56" s="8"/>
    </row>
    <row r="57">
      <c r="A57" s="5" t="s">
        <v>197</v>
      </c>
      <c r="B57" s="6" t="s">
        <v>198</v>
      </c>
      <c r="C57" s="5" t="s">
        <v>158</v>
      </c>
      <c r="D57" s="5" t="s">
        <v>199</v>
      </c>
      <c r="E57" s="5" t="s">
        <v>43</v>
      </c>
      <c r="F57" s="5" t="s">
        <v>176</v>
      </c>
      <c r="G57" s="7" t="s">
        <v>200</v>
      </c>
      <c r="H57" s="8"/>
      <c r="I57" s="5" t="s">
        <v>44</v>
      </c>
      <c r="J57" s="8"/>
      <c r="K57" s="8"/>
      <c r="L57" s="8"/>
      <c r="M57" s="8"/>
      <c r="N57" s="8"/>
      <c r="O57" s="8"/>
      <c r="P57" s="8"/>
      <c r="Q57" s="8"/>
      <c r="R57" s="8"/>
      <c r="S57" s="8"/>
      <c r="T57" s="8"/>
      <c r="U57" s="8"/>
      <c r="V57" s="8"/>
    </row>
    <row r="58">
      <c r="A58" s="5" t="s">
        <v>201</v>
      </c>
      <c r="B58" s="6" t="s">
        <v>202</v>
      </c>
      <c r="C58" s="5" t="s">
        <v>158</v>
      </c>
      <c r="D58" s="5" t="s">
        <v>112</v>
      </c>
      <c r="E58" s="5" t="s">
        <v>43</v>
      </c>
      <c r="F58" s="5" t="s">
        <v>176</v>
      </c>
      <c r="G58" s="7" t="s">
        <v>203</v>
      </c>
      <c r="H58" s="8"/>
      <c r="I58" s="5" t="s">
        <v>44</v>
      </c>
      <c r="J58" s="8"/>
      <c r="K58" s="8"/>
      <c r="L58" s="8"/>
      <c r="M58" s="8"/>
      <c r="N58" s="8"/>
      <c r="O58" s="8"/>
      <c r="P58" s="8"/>
      <c r="Q58" s="8"/>
      <c r="R58" s="8"/>
      <c r="S58" s="8"/>
      <c r="T58" s="8"/>
      <c r="U58" s="8"/>
      <c r="V58" s="8"/>
    </row>
    <row r="59">
      <c r="A59" s="5" t="s">
        <v>204</v>
      </c>
      <c r="B59" s="6"/>
      <c r="C59" s="5" t="s">
        <v>158</v>
      </c>
      <c r="D59" s="5" t="s">
        <v>112</v>
      </c>
      <c r="E59" s="5" t="s">
        <v>205</v>
      </c>
      <c r="F59" s="8"/>
      <c r="G59" s="10"/>
      <c r="H59" s="8"/>
      <c r="I59" s="8"/>
      <c r="J59" s="8"/>
      <c r="K59" s="8"/>
      <c r="L59" s="8"/>
      <c r="M59" s="8"/>
      <c r="N59" s="8"/>
      <c r="O59" s="8"/>
      <c r="P59" s="8"/>
      <c r="Q59" s="8"/>
      <c r="R59" s="8"/>
      <c r="S59" s="8"/>
      <c r="T59" s="8"/>
      <c r="U59" s="8"/>
      <c r="V59" s="8"/>
    </row>
    <row r="60">
      <c r="A60" s="5" t="s">
        <v>206</v>
      </c>
      <c r="B60" s="6" t="s">
        <v>9</v>
      </c>
      <c r="C60" s="5" t="s">
        <v>158</v>
      </c>
      <c r="D60" s="5" t="s">
        <v>207</v>
      </c>
      <c r="E60" s="5" t="s">
        <v>153</v>
      </c>
      <c r="F60" s="5" t="s">
        <v>176</v>
      </c>
      <c r="G60" s="7" t="s">
        <v>208</v>
      </c>
      <c r="H60" s="8"/>
      <c r="I60" s="5" t="s">
        <v>82</v>
      </c>
      <c r="J60" s="8"/>
      <c r="K60" s="8"/>
      <c r="L60" s="8"/>
      <c r="M60" s="8"/>
      <c r="N60" s="8"/>
      <c r="O60" s="8"/>
      <c r="P60" s="8"/>
      <c r="Q60" s="8"/>
      <c r="R60" s="8"/>
      <c r="S60" s="8"/>
      <c r="T60" s="8"/>
      <c r="U60" s="8"/>
      <c r="V60" s="8"/>
    </row>
    <row r="61">
      <c r="A61" s="5" t="s">
        <v>209</v>
      </c>
      <c r="B61" s="6" t="s">
        <v>210</v>
      </c>
      <c r="C61" s="5" t="s">
        <v>158</v>
      </c>
      <c r="D61" s="5" t="s">
        <v>69</v>
      </c>
      <c r="E61" s="5" t="s">
        <v>207</v>
      </c>
      <c r="F61" s="5" t="s">
        <v>176</v>
      </c>
      <c r="G61" s="13" t="s">
        <v>211</v>
      </c>
      <c r="H61" s="8"/>
      <c r="I61" s="8"/>
      <c r="J61" s="8"/>
      <c r="K61" s="8"/>
      <c r="L61" s="8"/>
      <c r="M61" s="8"/>
      <c r="N61" s="8"/>
      <c r="O61" s="8"/>
      <c r="P61" s="8"/>
      <c r="Q61" s="8"/>
      <c r="R61" s="8"/>
      <c r="S61" s="8"/>
      <c r="T61" s="8"/>
      <c r="U61" s="8"/>
      <c r="V61" s="8"/>
    </row>
    <row r="62">
      <c r="A62" s="5"/>
      <c r="B62" s="6"/>
      <c r="C62" s="5" t="s">
        <v>158</v>
      </c>
      <c r="D62" s="5" t="s">
        <v>207</v>
      </c>
      <c r="E62" s="5" t="s">
        <v>207</v>
      </c>
      <c r="F62" s="5" t="s">
        <v>176</v>
      </c>
      <c r="G62" s="7"/>
      <c r="H62" s="8"/>
      <c r="I62" s="8"/>
      <c r="J62" s="8"/>
      <c r="K62" s="8"/>
      <c r="L62" s="8"/>
      <c r="M62" s="8"/>
      <c r="N62" s="8"/>
      <c r="O62" s="8"/>
      <c r="P62" s="8"/>
      <c r="Q62" s="8"/>
      <c r="R62" s="8"/>
      <c r="S62" s="8"/>
      <c r="T62" s="8"/>
      <c r="U62" s="8"/>
      <c r="V62" s="8"/>
    </row>
    <row r="63">
      <c r="A63" s="5"/>
      <c r="B63" s="6"/>
      <c r="C63" s="5" t="s">
        <v>158</v>
      </c>
      <c r="D63" s="5" t="s">
        <v>207</v>
      </c>
      <c r="E63" s="5" t="s">
        <v>207</v>
      </c>
      <c r="F63" s="5" t="s">
        <v>176</v>
      </c>
      <c r="G63" s="7"/>
      <c r="H63" s="8"/>
      <c r="I63" s="8"/>
      <c r="J63" s="8"/>
      <c r="K63" s="8"/>
      <c r="L63" s="8"/>
      <c r="M63" s="8"/>
      <c r="N63" s="8"/>
      <c r="O63" s="8"/>
      <c r="P63" s="8"/>
      <c r="Q63" s="8"/>
      <c r="R63" s="8"/>
      <c r="S63" s="8"/>
      <c r="T63" s="8"/>
      <c r="U63" s="8"/>
      <c r="V63" s="8"/>
    </row>
    <row r="64">
      <c r="A64" s="5"/>
      <c r="B64" s="6"/>
      <c r="C64" s="5"/>
      <c r="D64" s="5"/>
      <c r="E64" s="5"/>
      <c r="F64" s="8"/>
      <c r="G64" s="7"/>
      <c r="H64" s="8"/>
      <c r="I64" s="8"/>
      <c r="J64" s="8"/>
      <c r="K64" s="8"/>
      <c r="L64" s="8"/>
      <c r="M64" s="8"/>
      <c r="N64" s="8"/>
      <c r="O64" s="8"/>
      <c r="P64" s="8"/>
      <c r="Q64" s="8"/>
      <c r="R64" s="8"/>
      <c r="S64" s="8"/>
      <c r="T64" s="8"/>
      <c r="U64" s="8"/>
      <c r="V64" s="8"/>
    </row>
    <row r="65">
      <c r="A65" s="5"/>
      <c r="B65" s="6"/>
      <c r="C65" s="5"/>
      <c r="D65" s="5"/>
      <c r="E65" s="5"/>
      <c r="F65" s="8"/>
      <c r="G65" s="7"/>
      <c r="H65" s="8"/>
      <c r="I65" s="8"/>
      <c r="J65" s="8"/>
      <c r="K65" s="8"/>
      <c r="L65" s="8"/>
      <c r="M65" s="8"/>
      <c r="N65" s="8"/>
      <c r="O65" s="8"/>
      <c r="P65" s="8"/>
      <c r="Q65" s="8"/>
      <c r="R65" s="8"/>
      <c r="S65" s="8"/>
      <c r="T65" s="8"/>
      <c r="U65" s="8"/>
      <c r="V65" s="8"/>
    </row>
    <row r="66">
      <c r="A66" s="5"/>
      <c r="B66" s="6"/>
      <c r="C66" s="5"/>
      <c r="D66" s="5"/>
      <c r="E66" s="5"/>
      <c r="F66" s="8"/>
      <c r="G66" s="7"/>
      <c r="H66" s="8"/>
      <c r="I66" s="8"/>
      <c r="J66" s="8"/>
      <c r="K66" s="8"/>
      <c r="L66" s="8"/>
      <c r="M66" s="8"/>
      <c r="N66" s="8"/>
      <c r="O66" s="8"/>
      <c r="P66" s="8"/>
      <c r="Q66" s="8"/>
      <c r="R66" s="8"/>
      <c r="S66" s="8"/>
      <c r="T66" s="8"/>
      <c r="U66" s="8"/>
      <c r="V66" s="8"/>
    </row>
    <row r="67">
      <c r="A67" s="5"/>
      <c r="B67" s="6"/>
      <c r="C67" s="5"/>
      <c r="D67" s="5"/>
      <c r="E67" s="5"/>
      <c r="F67" s="8"/>
      <c r="G67" s="7"/>
      <c r="H67" s="8"/>
      <c r="I67" s="8"/>
      <c r="J67" s="8"/>
      <c r="K67" s="8"/>
      <c r="L67" s="8"/>
      <c r="M67" s="8"/>
      <c r="N67" s="8"/>
      <c r="O67" s="8"/>
      <c r="P67" s="8"/>
      <c r="Q67" s="8"/>
      <c r="R67" s="8"/>
      <c r="S67" s="8"/>
      <c r="T67" s="8"/>
      <c r="U67" s="8"/>
      <c r="V67" s="8"/>
    </row>
    <row r="68">
      <c r="A68" s="5"/>
      <c r="B68" s="6"/>
      <c r="C68" s="5"/>
      <c r="D68" s="5"/>
      <c r="E68" s="5"/>
      <c r="F68" s="8"/>
      <c r="G68" s="7"/>
      <c r="H68" s="8"/>
      <c r="I68" s="8"/>
      <c r="J68" s="8"/>
      <c r="K68" s="8"/>
      <c r="L68" s="8"/>
      <c r="M68" s="8"/>
      <c r="N68" s="8"/>
      <c r="O68" s="8"/>
      <c r="P68" s="8"/>
      <c r="Q68" s="8"/>
      <c r="R68" s="8"/>
      <c r="S68" s="8"/>
      <c r="T68" s="8"/>
      <c r="U68" s="8"/>
      <c r="V68" s="8"/>
    </row>
    <row r="69">
      <c r="A69" s="5" t="s">
        <v>212</v>
      </c>
      <c r="B69" s="6" t="s">
        <v>68</v>
      </c>
      <c r="C69" s="5" t="s">
        <v>213</v>
      </c>
      <c r="D69" s="5" t="s">
        <v>24</v>
      </c>
      <c r="E69" s="5" t="s">
        <v>12</v>
      </c>
      <c r="F69" s="8"/>
      <c r="G69" s="7" t="s">
        <v>9</v>
      </c>
      <c r="H69" s="8"/>
      <c r="I69" s="8"/>
      <c r="J69" s="8"/>
      <c r="K69" s="8"/>
      <c r="L69" s="8"/>
      <c r="M69" s="8"/>
      <c r="N69" s="8"/>
      <c r="O69" s="8"/>
      <c r="P69" s="8"/>
      <c r="Q69" s="8"/>
      <c r="R69" s="8"/>
      <c r="S69" s="8"/>
      <c r="T69" s="8"/>
      <c r="U69" s="8"/>
      <c r="V69" s="8"/>
    </row>
    <row r="70">
      <c r="A70" s="5" t="s">
        <v>214</v>
      </c>
      <c r="B70" s="6" t="s">
        <v>215</v>
      </c>
      <c r="C70" s="5" t="s">
        <v>213</v>
      </c>
      <c r="D70" s="5" t="s">
        <v>145</v>
      </c>
      <c r="E70" s="5" t="s">
        <v>12</v>
      </c>
      <c r="F70" s="5" t="s">
        <v>216</v>
      </c>
      <c r="G70" s="7" t="s">
        <v>217</v>
      </c>
      <c r="H70" s="8"/>
      <c r="I70" s="8"/>
      <c r="J70" s="8"/>
      <c r="K70" s="8"/>
      <c r="L70" s="8"/>
      <c r="M70" s="8"/>
      <c r="N70" s="8"/>
      <c r="O70" s="8"/>
      <c r="P70" s="8"/>
      <c r="Q70" s="8"/>
      <c r="R70" s="8"/>
      <c r="S70" s="8"/>
      <c r="T70" s="8"/>
      <c r="U70" s="8"/>
      <c r="V70" s="8"/>
    </row>
    <row r="71">
      <c r="A71" s="5" t="s">
        <v>218</v>
      </c>
      <c r="B71" s="6" t="s">
        <v>9</v>
      </c>
      <c r="C71" s="5" t="s">
        <v>213</v>
      </c>
      <c r="D71" s="5" t="s">
        <v>9</v>
      </c>
      <c r="E71" s="5" t="s">
        <v>219</v>
      </c>
      <c r="F71" s="5" t="s">
        <v>220</v>
      </c>
      <c r="G71" s="7" t="s">
        <v>9</v>
      </c>
      <c r="H71" s="8"/>
      <c r="I71" s="8"/>
      <c r="J71" s="8"/>
      <c r="K71" s="8"/>
      <c r="L71" s="8"/>
      <c r="M71" s="8"/>
      <c r="N71" s="8"/>
      <c r="O71" s="8"/>
      <c r="P71" s="8"/>
      <c r="Q71" s="8"/>
      <c r="R71" s="8"/>
      <c r="S71" s="8"/>
      <c r="T71" s="8"/>
      <c r="U71" s="8"/>
      <c r="V71" s="8"/>
    </row>
    <row r="72">
      <c r="A72" s="5" t="s">
        <v>221</v>
      </c>
      <c r="B72" s="6" t="s">
        <v>9</v>
      </c>
      <c r="C72" s="5" t="s">
        <v>213</v>
      </c>
      <c r="D72" s="5" t="s">
        <v>9</v>
      </c>
      <c r="E72" s="5" t="s">
        <v>222</v>
      </c>
      <c r="F72" s="5" t="s">
        <v>223</v>
      </c>
      <c r="G72" s="7" t="s">
        <v>9</v>
      </c>
      <c r="H72" s="8"/>
      <c r="I72" s="8"/>
      <c r="J72" s="8"/>
      <c r="K72" s="8"/>
      <c r="L72" s="8"/>
      <c r="M72" s="8"/>
      <c r="N72" s="8"/>
      <c r="O72" s="8"/>
      <c r="P72" s="8"/>
      <c r="Q72" s="8"/>
      <c r="R72" s="8"/>
      <c r="S72" s="8"/>
      <c r="T72" s="8"/>
      <c r="U72" s="8"/>
      <c r="V72" s="8"/>
    </row>
    <row r="73">
      <c r="A73" s="5" t="s">
        <v>224</v>
      </c>
      <c r="B73" s="6" t="s">
        <v>9</v>
      </c>
      <c r="C73" s="5" t="s">
        <v>213</v>
      </c>
      <c r="D73" s="5" t="s">
        <v>16</v>
      </c>
      <c r="E73" s="5" t="s">
        <v>12</v>
      </c>
      <c r="F73" s="5" t="s">
        <v>176</v>
      </c>
      <c r="G73" s="7" t="s">
        <v>9</v>
      </c>
      <c r="H73" s="8"/>
      <c r="I73" s="8"/>
      <c r="J73" s="8"/>
      <c r="K73" s="8"/>
      <c r="L73" s="8"/>
      <c r="M73" s="8"/>
      <c r="N73" s="8"/>
      <c r="O73" s="8"/>
      <c r="P73" s="8"/>
      <c r="Q73" s="8"/>
      <c r="R73" s="8"/>
      <c r="S73" s="8"/>
      <c r="T73" s="8"/>
      <c r="U73" s="8"/>
      <c r="V73" s="8"/>
    </row>
    <row r="74">
      <c r="A74" s="5" t="s">
        <v>225</v>
      </c>
      <c r="B74" s="6" t="s">
        <v>9</v>
      </c>
      <c r="C74" s="5" t="s">
        <v>213</v>
      </c>
      <c r="D74" s="5" t="s">
        <v>226</v>
      </c>
      <c r="E74" s="5" t="s">
        <v>12</v>
      </c>
      <c r="F74" s="5" t="s">
        <v>216</v>
      </c>
      <c r="G74" s="7" t="s">
        <v>227</v>
      </c>
      <c r="H74" s="8"/>
      <c r="I74" s="8"/>
      <c r="J74" s="8"/>
      <c r="K74" s="8"/>
      <c r="L74" s="8"/>
      <c r="M74" s="8"/>
      <c r="N74" s="8"/>
      <c r="O74" s="8"/>
      <c r="P74" s="8"/>
      <c r="Q74" s="8"/>
      <c r="R74" s="8"/>
      <c r="S74" s="8"/>
      <c r="T74" s="8"/>
      <c r="U74" s="8"/>
      <c r="V74" s="8"/>
    </row>
    <row r="75">
      <c r="A75" s="5" t="s">
        <v>228</v>
      </c>
      <c r="B75" s="6" t="s">
        <v>9</v>
      </c>
      <c r="C75" s="5" t="s">
        <v>213</v>
      </c>
      <c r="D75" s="5" t="s">
        <v>42</v>
      </c>
      <c r="E75" s="5" t="s">
        <v>43</v>
      </c>
      <c r="F75" s="5" t="s">
        <v>9</v>
      </c>
      <c r="G75" s="7" t="s">
        <v>9</v>
      </c>
      <c r="H75" s="8"/>
      <c r="I75" s="8"/>
      <c r="J75" s="8"/>
      <c r="K75" s="8"/>
      <c r="L75" s="8"/>
      <c r="M75" s="8"/>
      <c r="N75" s="8"/>
      <c r="O75" s="8"/>
      <c r="P75" s="8"/>
      <c r="Q75" s="8"/>
      <c r="R75" s="8"/>
      <c r="S75" s="8"/>
      <c r="T75" s="8"/>
      <c r="U75" s="8"/>
      <c r="V75" s="8"/>
    </row>
    <row r="76">
      <c r="A76" s="5" t="s">
        <v>229</v>
      </c>
      <c r="B76" s="6" t="s">
        <v>230</v>
      </c>
      <c r="C76" s="5" t="s">
        <v>213</v>
      </c>
      <c r="D76" s="5" t="s">
        <v>69</v>
      </c>
      <c r="E76" s="5" t="s">
        <v>55</v>
      </c>
      <c r="F76" s="5"/>
      <c r="G76" s="7"/>
      <c r="H76" s="8"/>
      <c r="I76" s="8"/>
      <c r="J76" s="8"/>
      <c r="K76" s="8"/>
      <c r="L76" s="8"/>
      <c r="M76" s="8"/>
      <c r="N76" s="8"/>
      <c r="O76" s="8"/>
      <c r="P76" s="8"/>
      <c r="Q76" s="8"/>
      <c r="R76" s="8"/>
      <c r="S76" s="8"/>
      <c r="T76" s="8"/>
      <c r="U76" s="8"/>
      <c r="V76" s="8"/>
    </row>
    <row r="77">
      <c r="A77" s="5" t="s">
        <v>231</v>
      </c>
      <c r="B77" s="6" t="s">
        <v>9</v>
      </c>
      <c r="C77" s="5" t="s">
        <v>213</v>
      </c>
      <c r="D77" s="5" t="s">
        <v>153</v>
      </c>
      <c r="E77" s="5" t="s">
        <v>82</v>
      </c>
      <c r="F77" s="5" t="s">
        <v>223</v>
      </c>
      <c r="G77" s="7" t="s">
        <v>9</v>
      </c>
      <c r="H77" s="8"/>
      <c r="I77" s="8"/>
      <c r="J77" s="8"/>
      <c r="K77" s="8"/>
      <c r="L77" s="8"/>
      <c r="M77" s="8"/>
      <c r="N77" s="8"/>
      <c r="O77" s="8"/>
      <c r="P77" s="8"/>
      <c r="Q77" s="8"/>
      <c r="R77" s="8"/>
      <c r="S77" s="8"/>
      <c r="T77" s="8"/>
      <c r="U77" s="8"/>
      <c r="V77" s="8"/>
    </row>
    <row r="78">
      <c r="A78" s="5" t="s">
        <v>232</v>
      </c>
      <c r="B78" s="6" t="s">
        <v>9</v>
      </c>
      <c r="C78" s="5" t="s">
        <v>213</v>
      </c>
      <c r="D78" s="5" t="s">
        <v>32</v>
      </c>
      <c r="E78" s="5" t="s">
        <v>28</v>
      </c>
      <c r="F78" s="5" t="s">
        <v>9</v>
      </c>
      <c r="G78" s="7" t="s">
        <v>9</v>
      </c>
      <c r="H78" s="8"/>
      <c r="I78" s="8"/>
      <c r="J78" s="8"/>
      <c r="K78" s="8"/>
      <c r="L78" s="8"/>
      <c r="M78" s="8"/>
      <c r="N78" s="8"/>
      <c r="O78" s="8"/>
      <c r="P78" s="8"/>
      <c r="Q78" s="8"/>
      <c r="R78" s="8"/>
      <c r="S78" s="8"/>
      <c r="T78" s="8"/>
      <c r="U78" s="8"/>
      <c r="V78" s="8"/>
    </row>
    <row r="79">
      <c r="A79" s="5" t="s">
        <v>233</v>
      </c>
      <c r="B79" s="6" t="s">
        <v>9</v>
      </c>
      <c r="C79" s="5" t="s">
        <v>213</v>
      </c>
      <c r="D79" s="5" t="s">
        <v>165</v>
      </c>
      <c r="E79" s="5" t="s">
        <v>48</v>
      </c>
      <c r="F79" s="5" t="s">
        <v>223</v>
      </c>
      <c r="G79" s="7" t="s">
        <v>9</v>
      </c>
      <c r="H79" s="8"/>
      <c r="I79" s="8"/>
      <c r="J79" s="8"/>
      <c r="K79" s="8"/>
      <c r="L79" s="8"/>
      <c r="M79" s="8"/>
      <c r="N79" s="8"/>
      <c r="O79" s="8"/>
      <c r="P79" s="8"/>
      <c r="Q79" s="8"/>
      <c r="R79" s="8"/>
      <c r="S79" s="8"/>
      <c r="T79" s="8"/>
      <c r="U79" s="8"/>
      <c r="V79" s="8"/>
    </row>
    <row r="80">
      <c r="A80" s="5" t="s">
        <v>234</v>
      </c>
      <c r="B80" s="6" t="s">
        <v>9</v>
      </c>
      <c r="C80" s="5" t="s">
        <v>213</v>
      </c>
      <c r="D80" s="5" t="s">
        <v>47</v>
      </c>
      <c r="E80" s="5" t="s">
        <v>48</v>
      </c>
      <c r="F80" s="5" t="s">
        <v>216</v>
      </c>
      <c r="G80" s="12" t="s">
        <v>235</v>
      </c>
      <c r="H80" s="8"/>
      <c r="I80" s="8"/>
      <c r="J80" s="8"/>
      <c r="K80" s="8"/>
      <c r="L80" s="8"/>
      <c r="M80" s="8"/>
      <c r="N80" s="8"/>
      <c r="O80" s="8"/>
      <c r="P80" s="8"/>
      <c r="Q80" s="8"/>
      <c r="R80" s="8"/>
      <c r="S80" s="8"/>
      <c r="T80" s="8"/>
      <c r="U80" s="8"/>
      <c r="V80" s="8"/>
    </row>
    <row r="81">
      <c r="A81" s="5" t="s">
        <v>236</v>
      </c>
      <c r="B81" s="6" t="s">
        <v>9</v>
      </c>
      <c r="C81" s="5" t="s">
        <v>213</v>
      </c>
      <c r="D81" s="5" t="s">
        <v>172</v>
      </c>
      <c r="E81" s="5" t="s">
        <v>55</v>
      </c>
      <c r="F81" s="5" t="s">
        <v>223</v>
      </c>
      <c r="G81" s="7" t="s">
        <v>9</v>
      </c>
      <c r="H81" s="8"/>
      <c r="I81" s="8"/>
      <c r="J81" s="8"/>
      <c r="K81" s="8"/>
      <c r="L81" s="8"/>
      <c r="M81" s="8"/>
      <c r="N81" s="8"/>
      <c r="O81" s="8"/>
      <c r="P81" s="8"/>
      <c r="Q81" s="8"/>
      <c r="R81" s="8"/>
      <c r="S81" s="8"/>
      <c r="T81" s="8"/>
      <c r="U81" s="8"/>
      <c r="V81" s="8"/>
    </row>
    <row r="82">
      <c r="A82" s="5" t="s">
        <v>237</v>
      </c>
      <c r="B82" s="6" t="s">
        <v>9</v>
      </c>
      <c r="C82" s="5" t="s">
        <v>213</v>
      </c>
      <c r="D82" s="5" t="s">
        <v>238</v>
      </c>
      <c r="E82" s="5" t="s">
        <v>55</v>
      </c>
      <c r="F82" s="5" t="s">
        <v>239</v>
      </c>
      <c r="G82" s="7">
        <v>2.02103703E11</v>
      </c>
      <c r="H82" s="8"/>
      <c r="I82" s="8"/>
      <c r="J82" s="8"/>
      <c r="K82" s="8"/>
      <c r="L82" s="8"/>
      <c r="M82" s="8"/>
      <c r="N82" s="8"/>
      <c r="O82" s="8"/>
      <c r="P82" s="8"/>
      <c r="Q82" s="8"/>
      <c r="R82" s="8"/>
      <c r="S82" s="8"/>
      <c r="T82" s="8"/>
      <c r="U82" s="8"/>
      <c r="V82" s="8"/>
    </row>
    <row r="83">
      <c r="A83" s="5" t="s">
        <v>240</v>
      </c>
      <c r="B83" s="6" t="s">
        <v>9</v>
      </c>
      <c r="C83" s="5" t="s">
        <v>213</v>
      </c>
      <c r="D83" s="5" t="s">
        <v>74</v>
      </c>
      <c r="E83" s="5" t="s">
        <v>75</v>
      </c>
      <c r="F83" s="5" t="s">
        <v>241</v>
      </c>
      <c r="G83" s="7" t="s">
        <v>242</v>
      </c>
      <c r="H83" s="8"/>
      <c r="I83" s="8"/>
      <c r="J83" s="8"/>
      <c r="K83" s="8"/>
      <c r="L83" s="8"/>
      <c r="M83" s="8"/>
      <c r="N83" s="8"/>
      <c r="O83" s="8"/>
      <c r="P83" s="8"/>
      <c r="Q83" s="8"/>
      <c r="R83" s="8"/>
      <c r="S83" s="8"/>
      <c r="T83" s="8"/>
      <c r="U83" s="8"/>
      <c r="V83" s="8"/>
    </row>
    <row r="84">
      <c r="A84" s="5" t="s">
        <v>243</v>
      </c>
      <c r="B84" s="6" t="s">
        <v>244</v>
      </c>
      <c r="C84" s="5" t="s">
        <v>213</v>
      </c>
      <c r="D84" s="5" t="s">
        <v>80</v>
      </c>
      <c r="E84" s="5" t="s">
        <v>75</v>
      </c>
      <c r="F84" s="5" t="s">
        <v>223</v>
      </c>
      <c r="G84" s="7" t="s">
        <v>9</v>
      </c>
      <c r="H84" s="8"/>
      <c r="I84" s="8"/>
      <c r="J84" s="8"/>
      <c r="K84" s="8"/>
      <c r="L84" s="8"/>
      <c r="M84" s="8"/>
      <c r="N84" s="8"/>
      <c r="O84" s="8"/>
      <c r="P84" s="8"/>
      <c r="Q84" s="8"/>
      <c r="R84" s="8"/>
      <c r="S84" s="8"/>
      <c r="T84" s="8"/>
      <c r="U84" s="8"/>
      <c r="V84" s="8"/>
    </row>
    <row r="85">
      <c r="A85" s="5" t="s">
        <v>245</v>
      </c>
      <c r="B85" s="6" t="s">
        <v>246</v>
      </c>
      <c r="C85" s="5" t="s">
        <v>213</v>
      </c>
      <c r="D85" s="5" t="s">
        <v>89</v>
      </c>
      <c r="E85" s="5" t="s">
        <v>38</v>
      </c>
      <c r="F85" s="5" t="s">
        <v>216</v>
      </c>
      <c r="G85" s="7" t="s">
        <v>247</v>
      </c>
      <c r="H85" s="8"/>
      <c r="I85" s="8"/>
      <c r="J85" s="8"/>
      <c r="K85" s="8"/>
      <c r="L85" s="8"/>
      <c r="M85" s="8"/>
      <c r="N85" s="8"/>
      <c r="O85" s="8"/>
      <c r="P85" s="8"/>
      <c r="Q85" s="8"/>
      <c r="R85" s="8"/>
      <c r="S85" s="8"/>
      <c r="T85" s="8"/>
      <c r="U85" s="8"/>
      <c r="V85" s="8"/>
    </row>
    <row r="86">
      <c r="A86" s="5" t="s">
        <v>248</v>
      </c>
      <c r="B86" s="6" t="s">
        <v>249</v>
      </c>
      <c r="C86" s="5" t="s">
        <v>213</v>
      </c>
      <c r="D86" s="5" t="s">
        <v>93</v>
      </c>
      <c r="E86" s="5" t="s">
        <v>38</v>
      </c>
      <c r="F86" s="8"/>
      <c r="G86" s="7" t="s">
        <v>9</v>
      </c>
      <c r="H86" s="8"/>
      <c r="I86" s="8"/>
      <c r="J86" s="8"/>
      <c r="K86" s="8"/>
      <c r="L86" s="8"/>
      <c r="M86" s="8"/>
      <c r="N86" s="8"/>
      <c r="O86" s="8"/>
      <c r="P86" s="8"/>
      <c r="Q86" s="8"/>
      <c r="R86" s="8"/>
      <c r="S86" s="8"/>
      <c r="T86" s="8"/>
      <c r="U86" s="8"/>
      <c r="V86" s="8"/>
    </row>
    <row r="87">
      <c r="A87" s="5" t="s">
        <v>250</v>
      </c>
      <c r="B87" s="6" t="s">
        <v>9</v>
      </c>
      <c r="C87" s="5" t="s">
        <v>213</v>
      </c>
      <c r="D87" s="5" t="s">
        <v>100</v>
      </c>
      <c r="E87" s="5" t="s">
        <v>38</v>
      </c>
      <c r="F87" s="8"/>
      <c r="G87" s="7" t="s">
        <v>251</v>
      </c>
      <c r="H87" s="8"/>
      <c r="I87" s="8"/>
      <c r="J87" s="8"/>
      <c r="K87" s="8"/>
      <c r="L87" s="8"/>
      <c r="M87" s="8"/>
      <c r="N87" s="8"/>
      <c r="O87" s="8"/>
      <c r="P87" s="8"/>
      <c r="Q87" s="8"/>
      <c r="R87" s="8"/>
      <c r="S87" s="8"/>
      <c r="T87" s="8"/>
      <c r="U87" s="8"/>
      <c r="V87" s="8"/>
    </row>
    <row r="88">
      <c r="A88" s="5" t="s">
        <v>252</v>
      </c>
      <c r="B88" s="6" t="s">
        <v>9</v>
      </c>
      <c r="C88" s="5" t="s">
        <v>213</v>
      </c>
      <c r="D88" s="5" t="s">
        <v>104</v>
      </c>
      <c r="E88" s="5" t="s">
        <v>38</v>
      </c>
      <c r="F88" s="5" t="s">
        <v>253</v>
      </c>
      <c r="G88" s="7" t="s">
        <v>9</v>
      </c>
      <c r="H88" s="8"/>
      <c r="I88" s="8"/>
      <c r="J88" s="8"/>
      <c r="K88" s="8"/>
      <c r="L88" s="8"/>
      <c r="M88" s="8"/>
      <c r="N88" s="8"/>
      <c r="O88" s="8"/>
      <c r="P88" s="8"/>
      <c r="Q88" s="8"/>
      <c r="R88" s="8"/>
      <c r="S88" s="8"/>
      <c r="T88" s="8"/>
      <c r="U88" s="8"/>
      <c r="V88" s="8"/>
    </row>
    <row r="89">
      <c r="A89" s="5" t="s">
        <v>254</v>
      </c>
      <c r="B89" s="6" t="s">
        <v>9</v>
      </c>
      <c r="C89" s="5" t="s">
        <v>213</v>
      </c>
      <c r="D89" s="5" t="s">
        <v>128</v>
      </c>
      <c r="E89" s="5" t="s">
        <v>38</v>
      </c>
      <c r="F89" s="5" t="s">
        <v>216</v>
      </c>
      <c r="G89" s="7" t="s">
        <v>255</v>
      </c>
      <c r="H89" s="8"/>
      <c r="I89" s="8"/>
      <c r="J89" s="8"/>
      <c r="K89" s="8"/>
      <c r="L89" s="8"/>
      <c r="M89" s="8"/>
      <c r="N89" s="8"/>
      <c r="O89" s="8"/>
      <c r="P89" s="8"/>
      <c r="Q89" s="8"/>
      <c r="R89" s="8"/>
      <c r="S89" s="8"/>
      <c r="T89" s="8"/>
      <c r="U89" s="8"/>
      <c r="V89" s="8"/>
    </row>
    <row r="90">
      <c r="A90" s="5" t="s">
        <v>256</v>
      </c>
      <c r="B90" s="6" t="s">
        <v>257</v>
      </c>
      <c r="C90" s="5" t="s">
        <v>213</v>
      </c>
      <c r="D90" s="5" t="s">
        <v>128</v>
      </c>
      <c r="E90" s="5" t="s">
        <v>38</v>
      </c>
      <c r="F90" s="5" t="s">
        <v>216</v>
      </c>
      <c r="G90" s="7" t="s">
        <v>258</v>
      </c>
      <c r="H90" s="8"/>
      <c r="I90" s="8"/>
      <c r="J90" s="8"/>
      <c r="K90" s="8"/>
      <c r="L90" s="8"/>
      <c r="M90" s="8"/>
      <c r="N90" s="8"/>
      <c r="O90" s="8"/>
      <c r="P90" s="8"/>
      <c r="Q90" s="8"/>
      <c r="R90" s="8"/>
      <c r="S90" s="8"/>
      <c r="T90" s="8"/>
      <c r="U90" s="8"/>
      <c r="V90" s="8"/>
    </row>
    <row r="91">
      <c r="A91" s="5" t="s">
        <v>259</v>
      </c>
      <c r="B91" s="6" t="s">
        <v>260</v>
      </c>
      <c r="C91" s="5" t="s">
        <v>213</v>
      </c>
      <c r="D91" s="5" t="s">
        <v>44</v>
      </c>
      <c r="E91" s="5" t="s">
        <v>43</v>
      </c>
      <c r="F91" s="5" t="s">
        <v>223</v>
      </c>
      <c r="G91" s="10"/>
      <c r="H91" s="8"/>
      <c r="I91" s="8"/>
      <c r="J91" s="8"/>
      <c r="K91" s="8"/>
      <c r="L91" s="8"/>
      <c r="M91" s="8"/>
      <c r="N91" s="8"/>
      <c r="O91" s="8"/>
      <c r="P91" s="8"/>
      <c r="Q91" s="8"/>
      <c r="R91" s="8"/>
      <c r="S91" s="8"/>
      <c r="T91" s="8"/>
      <c r="U91" s="8"/>
      <c r="V91" s="8"/>
    </row>
    <row r="92">
      <c r="A92" s="5" t="s">
        <v>261</v>
      </c>
      <c r="B92" s="6" t="s">
        <v>119</v>
      </c>
      <c r="C92" s="5" t="s">
        <v>213</v>
      </c>
      <c r="D92" s="5" t="s">
        <v>120</v>
      </c>
      <c r="E92" s="5" t="s">
        <v>43</v>
      </c>
      <c r="F92" s="5" t="s">
        <v>216</v>
      </c>
      <c r="G92" s="7" t="s">
        <v>262</v>
      </c>
      <c r="H92" s="8"/>
      <c r="I92" s="8"/>
      <c r="J92" s="8"/>
      <c r="K92" s="8"/>
      <c r="L92" s="8"/>
      <c r="M92" s="8"/>
      <c r="N92" s="8"/>
      <c r="O92" s="8"/>
      <c r="P92" s="8"/>
      <c r="Q92" s="8"/>
      <c r="R92" s="8"/>
      <c r="S92" s="8"/>
      <c r="T92" s="8"/>
      <c r="U92" s="8"/>
      <c r="V92" s="8"/>
    </row>
    <row r="93">
      <c r="A93" s="5" t="s">
        <v>263</v>
      </c>
      <c r="B93" s="11"/>
      <c r="C93" s="5" t="s">
        <v>213</v>
      </c>
      <c r="D93" s="5" t="s">
        <v>128</v>
      </c>
      <c r="E93" s="5" t="s">
        <v>43</v>
      </c>
      <c r="F93" s="5" t="s">
        <v>264</v>
      </c>
      <c r="G93" s="10"/>
      <c r="H93" s="8"/>
      <c r="I93" s="8"/>
      <c r="J93" s="8"/>
      <c r="K93" s="8"/>
      <c r="L93" s="8"/>
      <c r="M93" s="8"/>
      <c r="N93" s="8"/>
      <c r="O93" s="8"/>
      <c r="P93" s="8"/>
      <c r="Q93" s="8"/>
      <c r="R93" s="8"/>
      <c r="S93" s="8"/>
      <c r="T93" s="8"/>
      <c r="U93" s="8"/>
      <c r="V93" s="8"/>
    </row>
    <row r="94">
      <c r="A94" s="5" t="s">
        <v>265</v>
      </c>
      <c r="B94" s="6" t="s">
        <v>9</v>
      </c>
      <c r="C94" s="5" t="s">
        <v>213</v>
      </c>
      <c r="D94" s="5" t="s">
        <v>44</v>
      </c>
      <c r="E94" s="5" t="s">
        <v>43</v>
      </c>
      <c r="F94" s="5" t="s">
        <v>223</v>
      </c>
      <c r="G94" s="7" t="s">
        <v>9</v>
      </c>
      <c r="H94" s="8"/>
      <c r="I94" s="8"/>
      <c r="J94" s="8"/>
      <c r="K94" s="8"/>
      <c r="L94" s="8"/>
      <c r="M94" s="8"/>
      <c r="N94" s="8"/>
      <c r="O94" s="8"/>
      <c r="P94" s="8"/>
      <c r="Q94" s="8"/>
      <c r="R94" s="8"/>
      <c r="S94" s="8"/>
      <c r="T94" s="8"/>
      <c r="U94" s="8"/>
      <c r="V94" s="8"/>
    </row>
    <row r="95">
      <c r="A95" s="5" t="s">
        <v>266</v>
      </c>
      <c r="B95" s="6" t="s">
        <v>9</v>
      </c>
      <c r="C95" s="5" t="s">
        <v>213</v>
      </c>
      <c r="D95" s="5" t="s">
        <v>112</v>
      </c>
      <c r="E95" s="5" t="s">
        <v>43</v>
      </c>
      <c r="F95" s="5" t="s">
        <v>223</v>
      </c>
      <c r="G95" s="7" t="s">
        <v>9</v>
      </c>
      <c r="H95" s="8"/>
      <c r="I95" s="8"/>
      <c r="J95" s="8"/>
      <c r="K95" s="8"/>
      <c r="L95" s="8"/>
      <c r="M95" s="8"/>
      <c r="N95" s="8"/>
      <c r="O95" s="8"/>
      <c r="P95" s="8"/>
      <c r="Q95" s="8"/>
      <c r="R95" s="8"/>
      <c r="S95" s="8"/>
      <c r="T95" s="8"/>
      <c r="U95" s="8"/>
      <c r="V95" s="8"/>
    </row>
    <row r="96">
      <c r="A96" s="5" t="s">
        <v>267</v>
      </c>
      <c r="B96" s="6" t="s">
        <v>9</v>
      </c>
      <c r="C96" s="5" t="s">
        <v>213</v>
      </c>
      <c r="D96" s="5" t="s">
        <v>268</v>
      </c>
      <c r="E96" s="5" t="s">
        <v>269</v>
      </c>
      <c r="F96" s="5" t="s">
        <v>270</v>
      </c>
      <c r="G96" s="7">
        <v>2.12615003807E11</v>
      </c>
      <c r="H96" s="8"/>
      <c r="I96" s="8"/>
      <c r="J96" s="8"/>
      <c r="K96" s="8"/>
      <c r="L96" s="8"/>
      <c r="M96" s="8"/>
      <c r="N96" s="8"/>
      <c r="O96" s="8"/>
      <c r="P96" s="8"/>
      <c r="Q96" s="8"/>
      <c r="R96" s="8"/>
      <c r="S96" s="8"/>
      <c r="T96" s="8"/>
      <c r="U96" s="8"/>
      <c r="V96" s="8"/>
    </row>
    <row r="97">
      <c r="A97" s="5" t="s">
        <v>271</v>
      </c>
      <c r="B97" s="6" t="s">
        <v>9</v>
      </c>
      <c r="C97" s="5" t="s">
        <v>213</v>
      </c>
      <c r="D97" s="5" t="s">
        <v>272</v>
      </c>
      <c r="E97" s="5" t="s">
        <v>273</v>
      </c>
      <c r="F97" s="5" t="s">
        <v>270</v>
      </c>
      <c r="G97" s="7">
        <v>2.12615004177E11</v>
      </c>
      <c r="H97" s="8"/>
      <c r="I97" s="8"/>
      <c r="J97" s="8"/>
      <c r="K97" s="8"/>
      <c r="L97" s="8"/>
      <c r="M97" s="8"/>
      <c r="N97" s="8"/>
      <c r="O97" s="8"/>
      <c r="P97" s="8"/>
      <c r="Q97" s="8"/>
      <c r="R97" s="8"/>
      <c r="S97" s="8"/>
      <c r="T97" s="8"/>
      <c r="U97" s="8"/>
      <c r="V97" s="8"/>
    </row>
    <row r="98">
      <c r="A98" s="5" t="s">
        <v>274</v>
      </c>
      <c r="B98" s="11"/>
      <c r="C98" s="5" t="s">
        <v>213</v>
      </c>
      <c r="D98" s="5" t="s">
        <v>275</v>
      </c>
      <c r="E98" s="5" t="s">
        <v>273</v>
      </c>
      <c r="F98" s="5" t="s">
        <v>216</v>
      </c>
      <c r="G98" s="7" t="s">
        <v>276</v>
      </c>
      <c r="H98" s="8"/>
      <c r="I98" s="8"/>
      <c r="J98" s="8"/>
      <c r="K98" s="8"/>
      <c r="L98" s="8"/>
      <c r="M98" s="8"/>
      <c r="N98" s="8"/>
      <c r="O98" s="8"/>
      <c r="P98" s="8"/>
      <c r="Q98" s="8"/>
      <c r="R98" s="8"/>
      <c r="S98" s="8"/>
      <c r="T98" s="8"/>
      <c r="U98" s="8"/>
      <c r="V98" s="8"/>
    </row>
    <row r="99">
      <c r="A99" s="5" t="s">
        <v>277</v>
      </c>
      <c r="B99" s="6" t="s">
        <v>9</v>
      </c>
      <c r="C99" s="5" t="s">
        <v>213</v>
      </c>
      <c r="D99" s="5" t="s">
        <v>278</v>
      </c>
      <c r="E99" s="5" t="s">
        <v>273</v>
      </c>
      <c r="F99" s="5" t="s">
        <v>223</v>
      </c>
      <c r="G99" s="7" t="s">
        <v>9</v>
      </c>
      <c r="H99" s="8"/>
      <c r="I99" s="8"/>
      <c r="J99" s="8"/>
      <c r="K99" s="8"/>
      <c r="L99" s="8"/>
      <c r="M99" s="8"/>
      <c r="N99" s="8"/>
      <c r="O99" s="8"/>
      <c r="P99" s="8"/>
      <c r="Q99" s="8"/>
      <c r="R99" s="8"/>
      <c r="S99" s="8"/>
      <c r="T99" s="8"/>
      <c r="U99" s="8"/>
      <c r="V99" s="8"/>
    </row>
    <row r="100">
      <c r="A100" s="5" t="s">
        <v>279</v>
      </c>
      <c r="B100" s="6" t="s">
        <v>9</v>
      </c>
      <c r="C100" s="5" t="s">
        <v>213</v>
      </c>
      <c r="D100" s="5" t="s">
        <v>280</v>
      </c>
      <c r="E100" s="5" t="s">
        <v>281</v>
      </c>
      <c r="F100" s="5" t="s">
        <v>270</v>
      </c>
      <c r="G100" s="10"/>
      <c r="H100" s="8"/>
      <c r="I100" s="8"/>
      <c r="J100" s="8"/>
      <c r="K100" s="8"/>
      <c r="L100" s="8"/>
      <c r="M100" s="8"/>
      <c r="N100" s="8"/>
      <c r="O100" s="8"/>
      <c r="P100" s="8"/>
      <c r="Q100" s="8"/>
      <c r="R100" s="8"/>
      <c r="S100" s="8"/>
      <c r="T100" s="8"/>
      <c r="U100" s="8"/>
      <c r="V100" s="8"/>
    </row>
    <row r="101">
      <c r="A101" s="5" t="s">
        <v>282</v>
      </c>
      <c r="B101" s="6" t="s">
        <v>9</v>
      </c>
      <c r="C101" s="5" t="s">
        <v>213</v>
      </c>
      <c r="D101" s="5" t="s">
        <v>283</v>
      </c>
      <c r="E101" s="5" t="s">
        <v>9</v>
      </c>
      <c r="F101" s="5" t="s">
        <v>9</v>
      </c>
      <c r="G101" s="10"/>
      <c r="H101" s="8"/>
      <c r="I101" s="8"/>
      <c r="J101" s="8"/>
      <c r="K101" s="8"/>
      <c r="L101" s="8"/>
      <c r="M101" s="8"/>
      <c r="N101" s="8"/>
      <c r="O101" s="8"/>
      <c r="P101" s="8"/>
      <c r="Q101" s="8"/>
      <c r="R101" s="8"/>
      <c r="S101" s="8"/>
      <c r="T101" s="8"/>
      <c r="U101" s="8"/>
      <c r="V101" s="8"/>
    </row>
    <row r="102">
      <c r="A102" s="5" t="s">
        <v>284</v>
      </c>
      <c r="B102" s="6" t="s">
        <v>9</v>
      </c>
      <c r="C102" s="5" t="s">
        <v>213</v>
      </c>
      <c r="D102" s="5" t="s">
        <v>285</v>
      </c>
      <c r="E102" s="5" t="s">
        <v>12</v>
      </c>
      <c r="F102" s="5" t="s">
        <v>9</v>
      </c>
      <c r="G102" s="10"/>
      <c r="H102" s="8"/>
      <c r="I102" s="8"/>
      <c r="J102" s="8"/>
      <c r="K102" s="8"/>
      <c r="L102" s="8"/>
      <c r="M102" s="8"/>
      <c r="N102" s="8"/>
      <c r="O102" s="8"/>
      <c r="P102" s="8"/>
      <c r="Q102" s="8"/>
      <c r="R102" s="8"/>
      <c r="S102" s="8"/>
      <c r="T102" s="8"/>
      <c r="U102" s="8"/>
      <c r="V102" s="8"/>
    </row>
    <row r="103">
      <c r="A103" s="5" t="s">
        <v>286</v>
      </c>
      <c r="B103" s="6" t="s">
        <v>9</v>
      </c>
      <c r="C103" s="5" t="s">
        <v>213</v>
      </c>
      <c r="D103" s="5" t="s">
        <v>89</v>
      </c>
      <c r="E103" s="5" t="s">
        <v>287</v>
      </c>
      <c r="F103" s="5" t="s">
        <v>9</v>
      </c>
      <c r="G103" s="10"/>
      <c r="H103" s="8"/>
      <c r="I103" s="8"/>
      <c r="J103" s="8"/>
      <c r="K103" s="8"/>
      <c r="L103" s="8"/>
      <c r="M103" s="8"/>
      <c r="N103" s="8"/>
      <c r="O103" s="8"/>
      <c r="P103" s="8"/>
      <c r="Q103" s="8"/>
      <c r="R103" s="8"/>
      <c r="S103" s="8"/>
      <c r="T103" s="8"/>
      <c r="U103" s="8"/>
      <c r="V103" s="8"/>
    </row>
    <row r="104">
      <c r="A104" s="5" t="s">
        <v>288</v>
      </c>
      <c r="B104" s="6" t="s">
        <v>9</v>
      </c>
      <c r="C104" s="5" t="s">
        <v>213</v>
      </c>
      <c r="D104" s="5" t="s">
        <v>9</v>
      </c>
      <c r="E104" s="5" t="s">
        <v>207</v>
      </c>
      <c r="F104" s="5" t="s">
        <v>289</v>
      </c>
      <c r="G104" s="7" t="s">
        <v>276</v>
      </c>
      <c r="H104" s="8"/>
      <c r="I104" s="8"/>
      <c r="J104" s="8"/>
      <c r="K104" s="8"/>
      <c r="L104" s="8"/>
      <c r="M104" s="8"/>
      <c r="N104" s="8"/>
      <c r="O104" s="8"/>
      <c r="P104" s="8"/>
      <c r="Q104" s="8"/>
      <c r="R104" s="8"/>
      <c r="S104" s="8"/>
      <c r="T104" s="8"/>
      <c r="U104" s="8"/>
      <c r="V104" s="8"/>
    </row>
    <row r="105">
      <c r="A105" s="5" t="s">
        <v>290</v>
      </c>
      <c r="B105" s="6" t="s">
        <v>9</v>
      </c>
      <c r="C105" s="5" t="s">
        <v>213</v>
      </c>
      <c r="D105" s="5" t="s">
        <v>9</v>
      </c>
      <c r="E105" s="5" t="s">
        <v>207</v>
      </c>
      <c r="F105" s="5" t="s">
        <v>289</v>
      </c>
      <c r="G105" s="10"/>
      <c r="H105" s="8"/>
      <c r="I105" s="8"/>
      <c r="J105" s="8"/>
      <c r="K105" s="8"/>
      <c r="L105" s="8"/>
      <c r="M105" s="8"/>
      <c r="N105" s="8"/>
      <c r="O105" s="8"/>
      <c r="P105" s="8"/>
      <c r="Q105" s="8"/>
      <c r="R105" s="8"/>
      <c r="S105" s="8"/>
      <c r="T105" s="8"/>
      <c r="U105" s="8"/>
      <c r="V105" s="8"/>
    </row>
    <row r="106">
      <c r="A106" s="5" t="s">
        <v>291</v>
      </c>
      <c r="B106" s="6" t="s">
        <v>9</v>
      </c>
      <c r="C106" s="5" t="s">
        <v>213</v>
      </c>
      <c r="D106" s="5" t="s">
        <v>9</v>
      </c>
      <c r="E106" s="5" t="s">
        <v>207</v>
      </c>
      <c r="F106" s="5" t="s">
        <v>292</v>
      </c>
      <c r="G106" s="10"/>
      <c r="H106" s="8"/>
      <c r="I106" s="8"/>
      <c r="J106" s="8"/>
      <c r="K106" s="8"/>
      <c r="L106" s="8"/>
      <c r="M106" s="8"/>
      <c r="N106" s="8"/>
      <c r="O106" s="8"/>
      <c r="P106" s="8"/>
      <c r="Q106" s="8"/>
      <c r="R106" s="8"/>
      <c r="S106" s="8"/>
      <c r="T106" s="8"/>
      <c r="U106" s="8"/>
      <c r="V106" s="8"/>
    </row>
    <row r="107">
      <c r="A107" s="5" t="s">
        <v>293</v>
      </c>
      <c r="B107" s="6" t="s">
        <v>9</v>
      </c>
      <c r="C107" s="5" t="s">
        <v>213</v>
      </c>
      <c r="D107" s="5" t="s">
        <v>9</v>
      </c>
      <c r="E107" s="5" t="s">
        <v>207</v>
      </c>
      <c r="F107" s="5" t="s">
        <v>292</v>
      </c>
      <c r="G107" s="10"/>
      <c r="H107" s="8"/>
      <c r="I107" s="8"/>
      <c r="J107" s="8"/>
      <c r="K107" s="8"/>
      <c r="L107" s="8"/>
      <c r="M107" s="8"/>
      <c r="N107" s="8"/>
      <c r="O107" s="8"/>
      <c r="P107" s="8"/>
      <c r="Q107" s="8"/>
      <c r="R107" s="8"/>
      <c r="S107" s="8"/>
      <c r="T107" s="8"/>
      <c r="U107" s="8"/>
      <c r="V107" s="8"/>
    </row>
    <row r="108">
      <c r="A108" s="5" t="s">
        <v>294</v>
      </c>
      <c r="B108" s="6" t="s">
        <v>9</v>
      </c>
      <c r="C108" s="5" t="s">
        <v>213</v>
      </c>
      <c r="D108" s="5" t="s">
        <v>134</v>
      </c>
      <c r="E108" s="5" t="s">
        <v>43</v>
      </c>
      <c r="F108" s="5" t="s">
        <v>292</v>
      </c>
      <c r="G108" s="10"/>
      <c r="H108" s="8"/>
      <c r="I108" s="8"/>
      <c r="J108" s="8"/>
      <c r="K108" s="8"/>
      <c r="L108" s="8"/>
      <c r="M108" s="8"/>
      <c r="N108" s="8"/>
      <c r="O108" s="8"/>
      <c r="P108" s="8"/>
      <c r="Q108" s="8"/>
      <c r="R108" s="8"/>
      <c r="S108" s="8"/>
      <c r="T108" s="8"/>
      <c r="U108" s="8"/>
      <c r="V108" s="8"/>
    </row>
    <row r="109">
      <c r="A109" s="5" t="s">
        <v>295</v>
      </c>
      <c r="B109" s="6" t="s">
        <v>9</v>
      </c>
      <c r="C109" s="5" t="s">
        <v>213</v>
      </c>
      <c r="D109" s="5" t="s">
        <v>9</v>
      </c>
      <c r="E109" s="5" t="s">
        <v>207</v>
      </c>
      <c r="F109" s="5" t="s">
        <v>292</v>
      </c>
      <c r="G109" s="10"/>
      <c r="H109" s="8"/>
      <c r="I109" s="8"/>
      <c r="J109" s="8"/>
      <c r="K109" s="8"/>
      <c r="L109" s="8"/>
      <c r="M109" s="8"/>
      <c r="N109" s="8"/>
      <c r="O109" s="8"/>
      <c r="P109" s="8"/>
      <c r="Q109" s="8"/>
      <c r="R109" s="8"/>
      <c r="S109" s="8"/>
      <c r="T109" s="8"/>
      <c r="U109" s="8"/>
      <c r="V109" s="8"/>
    </row>
    <row r="110">
      <c r="A110" s="5" t="s">
        <v>296</v>
      </c>
      <c r="B110" s="6" t="s">
        <v>9</v>
      </c>
      <c r="C110" s="5" t="s">
        <v>213</v>
      </c>
      <c r="D110" s="5" t="s">
        <v>9</v>
      </c>
      <c r="E110" s="5" t="s">
        <v>207</v>
      </c>
      <c r="F110" s="5" t="s">
        <v>292</v>
      </c>
      <c r="G110" s="10"/>
      <c r="H110" s="8"/>
      <c r="I110" s="8"/>
      <c r="J110" s="8"/>
      <c r="K110" s="8"/>
      <c r="L110" s="8"/>
      <c r="M110" s="8"/>
      <c r="N110" s="8"/>
      <c r="O110" s="8"/>
      <c r="P110" s="8"/>
      <c r="Q110" s="8"/>
      <c r="R110" s="8"/>
      <c r="S110" s="8"/>
      <c r="T110" s="8"/>
      <c r="U110" s="8"/>
      <c r="V110" s="8"/>
    </row>
    <row r="111">
      <c r="A111" s="5" t="s">
        <v>297</v>
      </c>
      <c r="B111" s="6" t="s">
        <v>9</v>
      </c>
      <c r="C111" s="5" t="s">
        <v>213</v>
      </c>
      <c r="D111" s="5" t="s">
        <v>9</v>
      </c>
      <c r="E111" s="5" t="s">
        <v>207</v>
      </c>
      <c r="F111" s="5" t="s">
        <v>292</v>
      </c>
      <c r="G111" s="10"/>
      <c r="H111" s="8"/>
      <c r="I111" s="8"/>
      <c r="J111" s="8"/>
      <c r="K111" s="8"/>
      <c r="L111" s="8"/>
      <c r="M111" s="8"/>
      <c r="N111" s="8"/>
      <c r="O111" s="8"/>
      <c r="P111" s="8"/>
      <c r="Q111" s="8"/>
      <c r="R111" s="8"/>
      <c r="S111" s="8"/>
      <c r="T111" s="8"/>
      <c r="U111" s="8"/>
      <c r="V111" s="8"/>
    </row>
    <row r="112">
      <c r="A112" s="5" t="s">
        <v>298</v>
      </c>
      <c r="B112" s="6" t="s">
        <v>9</v>
      </c>
      <c r="C112" s="5" t="s">
        <v>213</v>
      </c>
      <c r="D112" s="5" t="s">
        <v>9</v>
      </c>
      <c r="E112" s="5" t="s">
        <v>207</v>
      </c>
      <c r="F112" s="5" t="s">
        <v>292</v>
      </c>
      <c r="G112" s="10"/>
      <c r="H112" s="8"/>
      <c r="I112" s="8"/>
      <c r="J112" s="8"/>
      <c r="K112" s="8"/>
      <c r="L112" s="8"/>
      <c r="M112" s="8"/>
      <c r="N112" s="8"/>
      <c r="O112" s="8"/>
      <c r="P112" s="8"/>
      <c r="Q112" s="8"/>
      <c r="R112" s="8"/>
      <c r="S112" s="8"/>
      <c r="T112" s="8"/>
      <c r="U112" s="8"/>
      <c r="V112" s="8"/>
    </row>
    <row r="113">
      <c r="A113" s="5" t="s">
        <v>299</v>
      </c>
      <c r="B113" s="6" t="s">
        <v>107</v>
      </c>
      <c r="C113" s="5" t="s">
        <v>213</v>
      </c>
      <c r="D113" s="5" t="s">
        <v>9</v>
      </c>
      <c r="E113" s="5" t="s">
        <v>207</v>
      </c>
      <c r="F113" s="5" t="s">
        <v>292</v>
      </c>
      <c r="G113" s="10"/>
      <c r="H113" s="8"/>
      <c r="I113" s="8"/>
      <c r="J113" s="8"/>
      <c r="K113" s="8"/>
      <c r="L113" s="8"/>
      <c r="M113" s="8"/>
      <c r="N113" s="8"/>
      <c r="O113" s="8"/>
      <c r="P113" s="8"/>
      <c r="Q113" s="8"/>
      <c r="R113" s="8"/>
      <c r="S113" s="8"/>
      <c r="T113" s="8"/>
      <c r="U113" s="8"/>
      <c r="V113" s="8"/>
    </row>
    <row r="114">
      <c r="A114" s="5" t="s">
        <v>300</v>
      </c>
      <c r="B114" s="6" t="s">
        <v>9</v>
      </c>
      <c r="C114" s="5" t="s">
        <v>213</v>
      </c>
      <c r="D114" s="5" t="s">
        <v>9</v>
      </c>
      <c r="E114" s="5" t="s">
        <v>207</v>
      </c>
      <c r="F114" s="5" t="s">
        <v>292</v>
      </c>
      <c r="G114" s="10"/>
      <c r="H114" s="8"/>
      <c r="I114" s="8"/>
      <c r="J114" s="8"/>
      <c r="K114" s="8"/>
      <c r="L114" s="8"/>
      <c r="M114" s="8"/>
      <c r="N114" s="8"/>
      <c r="O114" s="8"/>
      <c r="P114" s="8"/>
      <c r="Q114" s="8"/>
      <c r="R114" s="8"/>
      <c r="S114" s="8"/>
      <c r="T114" s="8"/>
      <c r="U114" s="8"/>
      <c r="V114" s="8"/>
    </row>
    <row r="115">
      <c r="A115" s="5" t="s">
        <v>301</v>
      </c>
      <c r="B115" s="6" t="s">
        <v>9</v>
      </c>
      <c r="C115" s="5" t="s">
        <v>213</v>
      </c>
      <c r="D115" s="5" t="s">
        <v>9</v>
      </c>
      <c r="E115" s="5" t="s">
        <v>207</v>
      </c>
      <c r="F115" s="5" t="s">
        <v>292</v>
      </c>
      <c r="G115" s="7" t="s">
        <v>302</v>
      </c>
      <c r="H115" s="5">
        <v>3.0</v>
      </c>
      <c r="I115" s="8"/>
      <c r="J115" s="8"/>
      <c r="K115" s="8"/>
      <c r="L115" s="8"/>
      <c r="M115" s="8"/>
      <c r="N115" s="8"/>
      <c r="O115" s="8"/>
      <c r="P115" s="8"/>
      <c r="Q115" s="8"/>
      <c r="R115" s="8"/>
      <c r="S115" s="8"/>
      <c r="T115" s="8"/>
      <c r="U115" s="8"/>
      <c r="V115" s="8"/>
    </row>
    <row r="116">
      <c r="A116" s="8"/>
      <c r="B116" s="11"/>
      <c r="C116" s="8"/>
      <c r="D116" s="8"/>
      <c r="E116" s="8"/>
      <c r="F116" s="8"/>
      <c r="G116" s="10"/>
      <c r="H116" s="8"/>
      <c r="I116" s="8"/>
      <c r="J116" s="8"/>
      <c r="K116" s="8"/>
      <c r="L116" s="8"/>
      <c r="M116" s="8"/>
      <c r="N116" s="8"/>
      <c r="O116" s="8"/>
      <c r="P116" s="8"/>
      <c r="Q116" s="8"/>
      <c r="R116" s="8"/>
      <c r="S116" s="8"/>
      <c r="T116" s="8"/>
      <c r="U116" s="8"/>
      <c r="V116" s="8"/>
    </row>
    <row r="117">
      <c r="A117" s="8"/>
      <c r="B117" s="11"/>
      <c r="C117" s="8"/>
      <c r="D117" s="8"/>
      <c r="E117" s="8"/>
      <c r="F117" s="8"/>
      <c r="G117" s="10"/>
      <c r="H117" s="8"/>
      <c r="I117" s="8"/>
      <c r="J117" s="8"/>
      <c r="K117" s="8"/>
      <c r="L117" s="8"/>
      <c r="M117" s="8"/>
      <c r="N117" s="8"/>
      <c r="O117" s="8"/>
      <c r="P117" s="8"/>
      <c r="Q117" s="8"/>
      <c r="R117" s="8"/>
      <c r="S117" s="8"/>
      <c r="T117" s="8"/>
      <c r="U117" s="8"/>
      <c r="V117" s="8"/>
    </row>
    <row r="118">
      <c r="A118" s="8"/>
      <c r="B118" s="11"/>
      <c r="C118" s="8"/>
      <c r="D118" s="8"/>
      <c r="E118" s="8"/>
      <c r="F118" s="8"/>
      <c r="G118" s="10"/>
      <c r="H118" s="8"/>
      <c r="I118" s="8"/>
      <c r="J118" s="8"/>
      <c r="K118" s="8"/>
      <c r="L118" s="8"/>
      <c r="M118" s="8"/>
      <c r="N118" s="8"/>
      <c r="O118" s="8"/>
      <c r="P118" s="8"/>
      <c r="Q118" s="8"/>
      <c r="R118" s="8"/>
      <c r="S118" s="8"/>
      <c r="T118" s="8"/>
      <c r="U118" s="8"/>
      <c r="V118" s="8"/>
    </row>
    <row r="119">
      <c r="A119" s="8"/>
      <c r="B119" s="11"/>
      <c r="C119" s="8"/>
      <c r="D119" s="8"/>
      <c r="E119" s="8"/>
      <c r="F119" s="8"/>
      <c r="G119" s="10"/>
      <c r="H119" s="8"/>
      <c r="I119" s="8"/>
      <c r="J119" s="8"/>
      <c r="K119" s="8"/>
      <c r="L119" s="8"/>
      <c r="M119" s="8"/>
      <c r="N119" s="8"/>
      <c r="O119" s="8"/>
      <c r="P119" s="8"/>
      <c r="Q119" s="8"/>
      <c r="R119" s="8"/>
      <c r="S119" s="8"/>
      <c r="T119" s="8"/>
      <c r="U119" s="8"/>
      <c r="V119" s="8"/>
    </row>
    <row r="120">
      <c r="A120" s="8"/>
      <c r="B120" s="11"/>
      <c r="C120" s="8"/>
      <c r="D120" s="8"/>
      <c r="E120" s="8"/>
      <c r="F120" s="8"/>
      <c r="G120" s="10"/>
      <c r="H120" s="8"/>
      <c r="I120" s="8"/>
      <c r="J120" s="8"/>
      <c r="K120" s="8"/>
      <c r="L120" s="8"/>
      <c r="M120" s="8"/>
      <c r="N120" s="8"/>
      <c r="O120" s="8"/>
      <c r="P120" s="8"/>
      <c r="Q120" s="8"/>
      <c r="R120" s="8"/>
      <c r="S120" s="8"/>
      <c r="T120" s="8"/>
      <c r="U120" s="8"/>
      <c r="V120" s="8"/>
    </row>
    <row r="121">
      <c r="A121" s="8"/>
      <c r="B121" s="11"/>
      <c r="C121" s="8"/>
      <c r="D121" s="8"/>
      <c r="E121" s="8"/>
      <c r="F121" s="8"/>
      <c r="G121" s="10"/>
      <c r="H121" s="8"/>
      <c r="I121" s="8"/>
      <c r="J121" s="8"/>
      <c r="K121" s="8"/>
      <c r="L121" s="8"/>
      <c r="M121" s="8"/>
      <c r="N121" s="8"/>
      <c r="O121" s="8"/>
      <c r="P121" s="8"/>
      <c r="Q121" s="8"/>
      <c r="R121" s="8"/>
      <c r="S121" s="8"/>
      <c r="T121" s="8"/>
      <c r="U121" s="8"/>
      <c r="V121" s="8"/>
    </row>
    <row r="122">
      <c r="A122" s="8"/>
      <c r="B122" s="11"/>
      <c r="C122" s="8"/>
      <c r="D122" s="8"/>
      <c r="E122" s="8"/>
      <c r="F122" s="8"/>
      <c r="G122" s="10"/>
      <c r="H122" s="8"/>
      <c r="I122" s="8"/>
      <c r="J122" s="8"/>
      <c r="K122" s="8"/>
      <c r="L122" s="8"/>
      <c r="M122" s="8"/>
      <c r="N122" s="8"/>
      <c r="O122" s="8"/>
      <c r="P122" s="8"/>
      <c r="Q122" s="8"/>
      <c r="R122" s="8"/>
      <c r="S122" s="8"/>
      <c r="T122" s="8"/>
      <c r="U122" s="8"/>
      <c r="V122" s="8"/>
    </row>
    <row r="123">
      <c r="A123" s="8"/>
      <c r="B123" s="11"/>
      <c r="C123" s="8"/>
      <c r="D123" s="8"/>
      <c r="E123" s="8"/>
      <c r="F123" s="8"/>
      <c r="G123" s="10"/>
      <c r="H123" s="8"/>
      <c r="I123" s="8"/>
      <c r="J123" s="8"/>
      <c r="K123" s="8"/>
      <c r="L123" s="8"/>
      <c r="M123" s="8"/>
      <c r="N123" s="8"/>
      <c r="O123" s="8"/>
      <c r="P123" s="8"/>
      <c r="Q123" s="8"/>
      <c r="R123" s="8"/>
      <c r="S123" s="8"/>
      <c r="T123" s="8"/>
      <c r="U123" s="8"/>
      <c r="V123" s="8"/>
    </row>
    <row r="124">
      <c r="A124" s="8"/>
      <c r="B124" s="11"/>
      <c r="C124" s="8"/>
      <c r="D124" s="8"/>
      <c r="E124" s="8"/>
      <c r="F124" s="8"/>
      <c r="G124" s="10"/>
      <c r="H124" s="8"/>
      <c r="I124" s="8"/>
      <c r="J124" s="8"/>
      <c r="K124" s="8"/>
      <c r="L124" s="8"/>
      <c r="M124" s="8"/>
      <c r="N124" s="8"/>
      <c r="O124" s="8"/>
      <c r="P124" s="8"/>
      <c r="Q124" s="8"/>
      <c r="R124" s="8"/>
      <c r="S124" s="8"/>
      <c r="T124" s="8"/>
      <c r="U124" s="8"/>
      <c r="V124" s="8"/>
    </row>
    <row r="125">
      <c r="A125" s="8"/>
      <c r="B125" s="11"/>
      <c r="C125" s="8"/>
      <c r="D125" s="8"/>
      <c r="E125" s="8"/>
      <c r="F125" s="8"/>
      <c r="G125" s="10"/>
      <c r="H125" s="8"/>
      <c r="I125" s="8"/>
      <c r="J125" s="8"/>
      <c r="K125" s="8"/>
      <c r="L125" s="8"/>
      <c r="M125" s="8"/>
      <c r="N125" s="8"/>
      <c r="O125" s="8"/>
      <c r="P125" s="8"/>
      <c r="Q125" s="8"/>
      <c r="R125" s="8"/>
      <c r="S125" s="8"/>
      <c r="T125" s="8"/>
      <c r="U125" s="8"/>
      <c r="V125" s="8"/>
    </row>
    <row r="126">
      <c r="A126" s="8"/>
      <c r="B126" s="11"/>
      <c r="C126" s="8"/>
      <c r="D126" s="8"/>
      <c r="E126" s="8"/>
      <c r="F126" s="8"/>
      <c r="G126" s="10"/>
      <c r="H126" s="8"/>
      <c r="I126" s="8"/>
      <c r="J126" s="8"/>
      <c r="K126" s="8"/>
      <c r="L126" s="8"/>
      <c r="M126" s="8"/>
      <c r="N126" s="8"/>
      <c r="O126" s="8"/>
      <c r="P126" s="8"/>
      <c r="Q126" s="8"/>
      <c r="R126" s="8"/>
      <c r="S126" s="8"/>
      <c r="T126" s="8"/>
      <c r="U126" s="8"/>
      <c r="V126" s="8"/>
    </row>
    <row r="127">
      <c r="A127" s="8"/>
      <c r="B127" s="11"/>
      <c r="C127" s="8"/>
      <c r="D127" s="8"/>
      <c r="E127" s="8"/>
      <c r="F127" s="8"/>
      <c r="G127" s="10"/>
      <c r="H127" s="8"/>
      <c r="I127" s="8"/>
      <c r="J127" s="8"/>
      <c r="K127" s="8"/>
      <c r="L127" s="8"/>
      <c r="M127" s="8"/>
      <c r="N127" s="8"/>
      <c r="O127" s="8"/>
      <c r="P127" s="8"/>
      <c r="Q127" s="8"/>
      <c r="R127" s="8"/>
      <c r="S127" s="8"/>
      <c r="T127" s="8"/>
      <c r="U127" s="8"/>
      <c r="V127" s="8"/>
    </row>
    <row r="128">
      <c r="A128" s="14" t="s">
        <v>303</v>
      </c>
      <c r="B128" s="15" t="s">
        <v>1</v>
      </c>
      <c r="C128" s="16" t="s">
        <v>2</v>
      </c>
      <c r="D128" s="16" t="s">
        <v>304</v>
      </c>
      <c r="E128" s="16" t="s">
        <v>3</v>
      </c>
      <c r="F128" s="16" t="s">
        <v>4</v>
      </c>
      <c r="G128" s="16" t="s">
        <v>5</v>
      </c>
      <c r="H128" s="16" t="s">
        <v>6</v>
      </c>
      <c r="I128" s="16" t="s">
        <v>7</v>
      </c>
      <c r="J128" s="16"/>
      <c r="K128" s="17"/>
      <c r="L128" s="17"/>
      <c r="M128" s="17"/>
      <c r="N128" s="17"/>
      <c r="O128" s="17"/>
      <c r="P128" s="17"/>
      <c r="Q128" s="17"/>
      <c r="R128" s="17"/>
      <c r="S128" s="17"/>
      <c r="T128" s="17"/>
      <c r="U128" s="17"/>
      <c r="V128" s="17"/>
    </row>
    <row r="129">
      <c r="A129" s="5"/>
      <c r="B129" s="6"/>
      <c r="C129" s="5"/>
      <c r="D129" s="5"/>
      <c r="E129" s="12"/>
      <c r="F129" s="5"/>
      <c r="G129" s="7"/>
      <c r="H129" s="8"/>
      <c r="I129" s="8"/>
      <c r="J129" s="8"/>
      <c r="K129" s="8"/>
      <c r="L129" s="8"/>
      <c r="M129" s="8"/>
      <c r="N129" s="8"/>
      <c r="O129" s="8"/>
      <c r="P129" s="8"/>
      <c r="Q129" s="8"/>
      <c r="R129" s="8"/>
      <c r="S129" s="8"/>
      <c r="T129" s="8"/>
      <c r="U129" s="8"/>
      <c r="V129" s="8"/>
    </row>
    <row r="130">
      <c r="A130" s="5"/>
      <c r="B130" s="6"/>
      <c r="C130" s="5"/>
      <c r="D130" s="5"/>
      <c r="E130" s="12"/>
      <c r="F130" s="5"/>
      <c r="G130" s="7"/>
      <c r="H130" s="8"/>
      <c r="I130" s="8"/>
      <c r="J130" s="8"/>
      <c r="K130" s="8"/>
      <c r="L130" s="8"/>
      <c r="M130" s="8"/>
      <c r="N130" s="8"/>
      <c r="O130" s="8"/>
      <c r="P130" s="8"/>
      <c r="Q130" s="8"/>
      <c r="R130" s="8"/>
      <c r="S130" s="8"/>
      <c r="T130" s="8"/>
      <c r="U130" s="8"/>
      <c r="V130" s="8"/>
    </row>
    <row r="131">
      <c r="A131" s="5" t="s">
        <v>305</v>
      </c>
      <c r="B131" s="6" t="s">
        <v>9</v>
      </c>
      <c r="C131" s="5" t="s">
        <v>306</v>
      </c>
      <c r="D131" s="5" t="s">
        <v>307</v>
      </c>
      <c r="E131" s="12" t="s">
        <v>308</v>
      </c>
      <c r="F131" s="5" t="s">
        <v>309</v>
      </c>
      <c r="G131" s="7" t="s">
        <v>310</v>
      </c>
      <c r="H131" s="8"/>
      <c r="I131" s="8"/>
      <c r="J131" s="8"/>
      <c r="K131" s="8"/>
      <c r="L131" s="8"/>
      <c r="M131" s="8"/>
      <c r="N131" s="8"/>
      <c r="O131" s="8"/>
      <c r="P131" s="8"/>
      <c r="Q131" s="8"/>
      <c r="R131" s="8"/>
      <c r="S131" s="8"/>
      <c r="T131" s="8"/>
      <c r="U131" s="8"/>
      <c r="V131" s="8"/>
    </row>
    <row r="132">
      <c r="A132" s="5" t="s">
        <v>311</v>
      </c>
      <c r="B132" s="6" t="s">
        <v>9</v>
      </c>
      <c r="C132" s="5" t="s">
        <v>306</v>
      </c>
      <c r="D132" s="5" t="s">
        <v>312</v>
      </c>
      <c r="E132" s="12" t="s">
        <v>308</v>
      </c>
      <c r="F132" s="5" t="s">
        <v>309</v>
      </c>
      <c r="G132" s="7" t="s">
        <v>313</v>
      </c>
      <c r="H132" s="8"/>
      <c r="I132" s="8"/>
      <c r="J132" s="8"/>
      <c r="K132" s="8"/>
      <c r="L132" s="8"/>
      <c r="M132" s="8"/>
      <c r="N132" s="8"/>
      <c r="O132" s="8"/>
      <c r="P132" s="8"/>
      <c r="Q132" s="8"/>
      <c r="R132" s="8"/>
      <c r="S132" s="8"/>
      <c r="T132" s="8"/>
      <c r="U132" s="8"/>
      <c r="V132" s="8"/>
    </row>
    <row r="133">
      <c r="A133" s="5" t="s">
        <v>314</v>
      </c>
      <c r="B133" s="6" t="s">
        <v>315</v>
      </c>
      <c r="C133" s="5" t="s">
        <v>306</v>
      </c>
      <c r="D133" s="5" t="s">
        <v>268</v>
      </c>
      <c r="E133" s="12" t="s">
        <v>316</v>
      </c>
      <c r="F133" s="5" t="s">
        <v>309</v>
      </c>
      <c r="G133" s="7" t="s">
        <v>317</v>
      </c>
      <c r="H133" s="8"/>
      <c r="I133" s="8"/>
      <c r="J133" s="8"/>
      <c r="K133" s="8"/>
      <c r="L133" s="8"/>
      <c r="M133" s="8"/>
      <c r="N133" s="8"/>
      <c r="O133" s="8"/>
      <c r="P133" s="8"/>
      <c r="Q133" s="8"/>
      <c r="R133" s="8"/>
      <c r="S133" s="8"/>
      <c r="T133" s="8"/>
      <c r="U133" s="8"/>
      <c r="V133" s="8"/>
    </row>
    <row r="134" ht="1.5" customHeight="1">
      <c r="A134" s="5" t="s">
        <v>318</v>
      </c>
      <c r="B134" s="6" t="s">
        <v>319</v>
      </c>
      <c r="C134" s="5" t="s">
        <v>306</v>
      </c>
      <c r="D134" s="5" t="s">
        <v>320</v>
      </c>
      <c r="E134" s="5" t="s">
        <v>207</v>
      </c>
      <c r="F134" s="5" t="s">
        <v>321</v>
      </c>
      <c r="G134" s="7" t="s">
        <v>322</v>
      </c>
      <c r="H134" s="8"/>
      <c r="I134" s="8"/>
      <c r="J134" s="8"/>
      <c r="K134" s="8"/>
      <c r="L134" s="8"/>
      <c r="M134" s="8"/>
      <c r="N134" s="8"/>
      <c r="O134" s="8"/>
      <c r="P134" s="8"/>
      <c r="Q134" s="8"/>
      <c r="R134" s="8"/>
      <c r="S134" s="8"/>
      <c r="T134" s="8"/>
      <c r="U134" s="8"/>
      <c r="V134" s="8"/>
    </row>
    <row r="135">
      <c r="A135" s="5" t="s">
        <v>323</v>
      </c>
      <c r="B135" s="6" t="s">
        <v>9</v>
      </c>
      <c r="C135" s="5" t="s">
        <v>306</v>
      </c>
      <c r="D135" s="5"/>
      <c r="E135" s="5" t="s">
        <v>207</v>
      </c>
      <c r="F135" s="5" t="s">
        <v>321</v>
      </c>
      <c r="G135" s="7" t="s">
        <v>324</v>
      </c>
      <c r="H135" s="8"/>
      <c r="I135" s="8"/>
      <c r="J135" s="8"/>
      <c r="K135" s="8"/>
      <c r="L135" s="8"/>
      <c r="M135" s="8"/>
      <c r="N135" s="8"/>
      <c r="O135" s="8"/>
      <c r="P135" s="8"/>
      <c r="Q135" s="8"/>
      <c r="R135" s="8"/>
      <c r="S135" s="8"/>
      <c r="T135" s="8"/>
      <c r="U135" s="8"/>
      <c r="V135" s="8"/>
    </row>
    <row r="136">
      <c r="A136" s="5" t="s">
        <v>325</v>
      </c>
      <c r="B136" s="6" t="s">
        <v>9</v>
      </c>
      <c r="C136" s="5" t="s">
        <v>306</v>
      </c>
      <c r="D136" s="5" t="s">
        <v>272</v>
      </c>
      <c r="E136" s="5" t="s">
        <v>207</v>
      </c>
      <c r="F136" s="5" t="s">
        <v>326</v>
      </c>
      <c r="G136" s="7" t="s">
        <v>327</v>
      </c>
      <c r="H136" s="8"/>
      <c r="I136" s="8"/>
      <c r="J136" s="8"/>
      <c r="K136" s="8"/>
      <c r="L136" s="8"/>
      <c r="M136" s="8"/>
      <c r="N136" s="8"/>
      <c r="O136" s="8"/>
      <c r="P136" s="8"/>
      <c r="Q136" s="8"/>
      <c r="R136" s="8"/>
      <c r="S136" s="8"/>
      <c r="T136" s="8"/>
      <c r="U136" s="8"/>
      <c r="V136" s="8"/>
    </row>
    <row r="137">
      <c r="A137" s="5" t="s">
        <v>328</v>
      </c>
      <c r="B137" s="6" t="s">
        <v>9</v>
      </c>
      <c r="C137" s="5" t="s">
        <v>306</v>
      </c>
      <c r="D137" s="5"/>
      <c r="E137" s="5" t="s">
        <v>207</v>
      </c>
      <c r="F137" s="5" t="s">
        <v>326</v>
      </c>
      <c r="G137" s="7" t="s">
        <v>329</v>
      </c>
      <c r="H137" s="8"/>
      <c r="I137" s="8"/>
      <c r="J137" s="8"/>
      <c r="K137" s="8"/>
      <c r="L137" s="8"/>
      <c r="M137" s="8"/>
      <c r="N137" s="8"/>
      <c r="O137" s="8"/>
      <c r="P137" s="8"/>
      <c r="Q137" s="8"/>
      <c r="R137" s="8"/>
      <c r="S137" s="8"/>
      <c r="T137" s="8"/>
      <c r="U137" s="8"/>
      <c r="V137" s="8"/>
    </row>
    <row r="138">
      <c r="A138" s="5" t="s">
        <v>330</v>
      </c>
      <c r="B138" s="6" t="s">
        <v>9</v>
      </c>
      <c r="C138" s="5" t="s">
        <v>306</v>
      </c>
      <c r="D138" s="5" t="s">
        <v>9</v>
      </c>
      <c r="E138" s="5" t="s">
        <v>207</v>
      </c>
      <c r="F138" s="5" t="s">
        <v>331</v>
      </c>
      <c r="G138" s="7" t="s">
        <v>332</v>
      </c>
      <c r="H138" s="8"/>
      <c r="I138" s="8"/>
      <c r="J138" s="8"/>
      <c r="K138" s="8"/>
      <c r="L138" s="8"/>
      <c r="M138" s="8"/>
      <c r="N138" s="8"/>
      <c r="O138" s="8"/>
      <c r="P138" s="8"/>
      <c r="Q138" s="8"/>
      <c r="R138" s="8"/>
      <c r="S138" s="8"/>
      <c r="T138" s="8"/>
      <c r="U138" s="8"/>
      <c r="V138" s="8"/>
    </row>
    <row r="139">
      <c r="A139" s="5" t="s">
        <v>333</v>
      </c>
      <c r="B139" s="6" t="s">
        <v>9</v>
      </c>
      <c r="C139" s="5" t="s">
        <v>306</v>
      </c>
      <c r="D139" s="5"/>
      <c r="E139" s="5" t="s">
        <v>207</v>
      </c>
      <c r="F139" s="5" t="s">
        <v>334</v>
      </c>
      <c r="G139" s="7" t="s">
        <v>335</v>
      </c>
      <c r="H139" s="8"/>
      <c r="I139" s="8"/>
      <c r="J139" s="8"/>
      <c r="K139" s="8"/>
      <c r="L139" s="8"/>
      <c r="M139" s="8"/>
      <c r="N139" s="8"/>
      <c r="O139" s="8"/>
      <c r="P139" s="8"/>
      <c r="Q139" s="8"/>
      <c r="R139" s="8"/>
      <c r="S139" s="8"/>
      <c r="T139" s="8"/>
      <c r="U139" s="8"/>
      <c r="V139" s="8"/>
    </row>
    <row r="140">
      <c r="A140" s="5" t="s">
        <v>336</v>
      </c>
      <c r="B140" s="6" t="s">
        <v>9</v>
      </c>
      <c r="C140" s="5" t="s">
        <v>306</v>
      </c>
      <c r="D140" s="5" t="s">
        <v>9</v>
      </c>
      <c r="E140" s="5" t="s">
        <v>337</v>
      </c>
      <c r="F140" s="5" t="s">
        <v>334</v>
      </c>
      <c r="G140" s="7"/>
      <c r="H140" s="8"/>
      <c r="I140" s="8"/>
      <c r="J140" s="8"/>
      <c r="K140" s="8"/>
      <c r="L140" s="8"/>
      <c r="M140" s="8"/>
      <c r="N140" s="8"/>
      <c r="O140" s="8"/>
      <c r="P140" s="8"/>
      <c r="Q140" s="8"/>
      <c r="R140" s="8"/>
      <c r="S140" s="8"/>
      <c r="T140" s="8"/>
      <c r="U140" s="8"/>
      <c r="V140" s="8"/>
    </row>
    <row r="141">
      <c r="A141" s="5" t="s">
        <v>338</v>
      </c>
      <c r="B141" s="6" t="s">
        <v>339</v>
      </c>
      <c r="C141" s="5" t="s">
        <v>306</v>
      </c>
      <c r="D141" s="5"/>
      <c r="E141" s="5" t="s">
        <v>207</v>
      </c>
      <c r="F141" s="5" t="s">
        <v>334</v>
      </c>
      <c r="G141" s="7" t="s">
        <v>340</v>
      </c>
      <c r="H141" s="8"/>
      <c r="I141" s="8"/>
      <c r="J141" s="8"/>
      <c r="K141" s="8"/>
      <c r="L141" s="8"/>
      <c r="M141" s="8"/>
      <c r="N141" s="8"/>
      <c r="O141" s="8"/>
      <c r="P141" s="8"/>
      <c r="Q141" s="8"/>
      <c r="R141" s="8"/>
      <c r="S141" s="8"/>
      <c r="T141" s="8"/>
      <c r="U141" s="8"/>
      <c r="V141" s="8"/>
    </row>
    <row r="142">
      <c r="A142" s="5" t="s">
        <v>341</v>
      </c>
      <c r="B142" s="6" t="s">
        <v>342</v>
      </c>
      <c r="C142" s="5" t="s">
        <v>306</v>
      </c>
      <c r="D142" s="5" t="s">
        <v>343</v>
      </c>
      <c r="E142" s="5" t="s">
        <v>344</v>
      </c>
      <c r="F142" s="5" t="s">
        <v>321</v>
      </c>
      <c r="G142" s="7" t="s">
        <v>345</v>
      </c>
      <c r="H142" s="8"/>
      <c r="I142" s="8"/>
      <c r="J142" s="8"/>
      <c r="K142" s="8"/>
      <c r="L142" s="8"/>
      <c r="M142" s="8"/>
      <c r="N142" s="8"/>
      <c r="O142" s="8"/>
      <c r="P142" s="8"/>
      <c r="Q142" s="8"/>
      <c r="R142" s="8"/>
      <c r="S142" s="8"/>
      <c r="T142" s="8"/>
      <c r="U142" s="8"/>
      <c r="V142" s="8"/>
    </row>
    <row r="143">
      <c r="A143" s="5" t="s">
        <v>346</v>
      </c>
      <c r="B143" s="6" t="s">
        <v>9</v>
      </c>
      <c r="C143" s="5" t="s">
        <v>306</v>
      </c>
      <c r="D143" s="8"/>
      <c r="E143" s="5" t="s">
        <v>207</v>
      </c>
      <c r="F143" s="5" t="s">
        <v>331</v>
      </c>
      <c r="G143" s="7" t="s">
        <v>347</v>
      </c>
      <c r="H143" s="8"/>
      <c r="I143" s="8"/>
      <c r="J143" s="8"/>
      <c r="K143" s="8"/>
      <c r="L143" s="8"/>
      <c r="M143" s="8"/>
      <c r="N143" s="8"/>
      <c r="O143" s="8"/>
      <c r="P143" s="8"/>
      <c r="Q143" s="8"/>
      <c r="R143" s="8"/>
      <c r="S143" s="8"/>
      <c r="T143" s="8"/>
      <c r="U143" s="8"/>
      <c r="V143" s="8"/>
    </row>
    <row r="144">
      <c r="A144" s="5" t="s">
        <v>348</v>
      </c>
      <c r="B144" s="6" t="s">
        <v>9</v>
      </c>
      <c r="C144" s="5" t="s">
        <v>306</v>
      </c>
      <c r="D144" s="8"/>
      <c r="E144" s="12" t="s">
        <v>207</v>
      </c>
      <c r="F144" s="5" t="s">
        <v>331</v>
      </c>
      <c r="G144" s="7" t="s">
        <v>349</v>
      </c>
      <c r="H144" s="8"/>
      <c r="I144" s="8"/>
      <c r="J144" s="8"/>
      <c r="K144" s="8"/>
      <c r="L144" s="8"/>
      <c r="M144" s="8"/>
      <c r="N144" s="8"/>
      <c r="O144" s="8"/>
      <c r="P144" s="8"/>
      <c r="Q144" s="8"/>
      <c r="R144" s="8"/>
      <c r="S144" s="8"/>
      <c r="T144" s="8"/>
      <c r="U144" s="8"/>
      <c r="V144" s="8"/>
    </row>
    <row r="145">
      <c r="A145" s="5" t="s">
        <v>350</v>
      </c>
      <c r="B145" s="6" t="s">
        <v>351</v>
      </c>
      <c r="C145" s="5" t="s">
        <v>306</v>
      </c>
      <c r="D145" s="8"/>
      <c r="E145" s="8"/>
      <c r="F145" s="8"/>
      <c r="G145" s="10"/>
      <c r="H145" s="8"/>
      <c r="I145" s="8"/>
      <c r="J145" s="8"/>
      <c r="K145" s="8"/>
      <c r="L145" s="8"/>
      <c r="M145" s="8"/>
      <c r="N145" s="8"/>
      <c r="O145" s="8"/>
      <c r="P145" s="8"/>
      <c r="Q145" s="8"/>
      <c r="R145" s="8"/>
      <c r="S145" s="8"/>
      <c r="T145" s="8"/>
      <c r="U145" s="8"/>
      <c r="V145" s="8"/>
    </row>
    <row r="146">
      <c r="A146" s="8"/>
      <c r="B146" s="11"/>
      <c r="C146" s="8"/>
      <c r="D146" s="8"/>
      <c r="E146" s="5" t="s">
        <v>207</v>
      </c>
      <c r="F146" s="5" t="s">
        <v>331</v>
      </c>
      <c r="G146" s="10"/>
      <c r="H146" s="8"/>
      <c r="I146" s="8"/>
      <c r="J146" s="8"/>
      <c r="K146" s="8"/>
      <c r="L146" s="8"/>
      <c r="M146" s="8"/>
      <c r="N146" s="8"/>
      <c r="O146" s="8"/>
      <c r="P146" s="8"/>
      <c r="Q146" s="8"/>
      <c r="R146" s="8"/>
      <c r="S146" s="8"/>
      <c r="T146" s="8"/>
      <c r="U146" s="8"/>
      <c r="V146" s="8"/>
    </row>
    <row r="147">
      <c r="A147" s="8"/>
      <c r="B147" s="11"/>
      <c r="C147" s="8"/>
      <c r="D147" s="8"/>
      <c r="E147" s="8"/>
      <c r="F147" s="8"/>
      <c r="G147" s="10"/>
      <c r="H147" s="8"/>
      <c r="I147" s="8"/>
      <c r="J147" s="8"/>
      <c r="K147" s="8"/>
      <c r="L147" s="8"/>
      <c r="M147" s="8"/>
      <c r="N147" s="8"/>
      <c r="O147" s="8"/>
      <c r="P147" s="8"/>
      <c r="Q147" s="8"/>
      <c r="R147" s="8"/>
      <c r="S147" s="8"/>
      <c r="T147" s="8"/>
      <c r="U147" s="8"/>
      <c r="V147" s="8"/>
    </row>
    <row r="148">
      <c r="A148" s="5" t="s">
        <v>352</v>
      </c>
      <c r="B148" s="6" t="s">
        <v>353</v>
      </c>
      <c r="C148" s="5" t="s">
        <v>354</v>
      </c>
      <c r="D148" s="5" t="s">
        <v>9</v>
      </c>
      <c r="E148" s="5" t="s">
        <v>207</v>
      </c>
      <c r="F148" s="5" t="s">
        <v>355</v>
      </c>
      <c r="G148" s="10"/>
      <c r="H148" s="8"/>
      <c r="I148" s="8"/>
      <c r="J148" s="8"/>
      <c r="K148" s="8"/>
      <c r="L148" s="8"/>
      <c r="M148" s="8"/>
      <c r="N148" s="8"/>
      <c r="O148" s="8"/>
      <c r="P148" s="8"/>
      <c r="Q148" s="8"/>
      <c r="R148" s="8"/>
      <c r="S148" s="8"/>
      <c r="T148" s="8"/>
      <c r="U148" s="8"/>
      <c r="V148" s="8"/>
    </row>
    <row r="149">
      <c r="A149" s="8"/>
      <c r="B149" s="11"/>
      <c r="C149" s="8"/>
      <c r="D149" s="8"/>
      <c r="E149" s="8"/>
      <c r="F149" s="8"/>
      <c r="G149" s="10"/>
      <c r="H149" s="8"/>
      <c r="I149" s="8"/>
      <c r="J149" s="8"/>
      <c r="K149" s="8"/>
      <c r="L149" s="8"/>
      <c r="M149" s="8"/>
      <c r="N149" s="8"/>
      <c r="O149" s="8"/>
      <c r="P149" s="8"/>
      <c r="Q149" s="8"/>
      <c r="R149" s="8"/>
      <c r="S149" s="8"/>
      <c r="T149" s="8"/>
      <c r="U149" s="8"/>
      <c r="V149" s="8"/>
    </row>
    <row r="150">
      <c r="A150" s="8"/>
      <c r="B150" s="11"/>
      <c r="C150" s="8"/>
      <c r="D150" s="8"/>
      <c r="E150" s="8"/>
      <c r="F150" s="8"/>
      <c r="G150" s="10"/>
      <c r="H150" s="8"/>
      <c r="I150" s="8"/>
      <c r="J150" s="8"/>
      <c r="K150" s="8"/>
      <c r="L150" s="8"/>
      <c r="M150" s="8"/>
      <c r="N150" s="8"/>
      <c r="O150" s="8"/>
      <c r="P150" s="8"/>
      <c r="Q150" s="8"/>
      <c r="R150" s="8"/>
      <c r="S150" s="8"/>
      <c r="T150" s="8"/>
      <c r="U150" s="8"/>
      <c r="V150" s="8"/>
    </row>
    <row r="151">
      <c r="A151" s="8"/>
      <c r="B151" s="11"/>
      <c r="C151" s="8"/>
      <c r="D151" s="8"/>
      <c r="E151" s="8"/>
      <c r="F151" s="8"/>
      <c r="G151" s="10"/>
      <c r="H151" s="8"/>
      <c r="I151" s="8"/>
      <c r="J151" s="8"/>
      <c r="K151" s="8"/>
      <c r="L151" s="8"/>
      <c r="M151" s="8"/>
      <c r="N151" s="8"/>
      <c r="O151" s="8"/>
      <c r="P151" s="8"/>
      <c r="Q151" s="8"/>
      <c r="R151" s="8"/>
      <c r="S151" s="8"/>
      <c r="T151" s="8"/>
      <c r="U151" s="8"/>
      <c r="V151" s="8"/>
    </row>
    <row r="152">
      <c r="A152" s="8"/>
      <c r="B152" s="11"/>
      <c r="C152" s="8"/>
      <c r="D152" s="8"/>
      <c r="E152" s="8"/>
      <c r="F152" s="8"/>
      <c r="G152" s="10"/>
      <c r="H152" s="8"/>
      <c r="I152" s="8"/>
      <c r="J152" s="8"/>
      <c r="K152" s="8"/>
      <c r="L152" s="8"/>
      <c r="M152" s="8"/>
      <c r="N152" s="8"/>
      <c r="O152" s="8"/>
      <c r="P152" s="8"/>
      <c r="Q152" s="8"/>
      <c r="R152" s="8"/>
      <c r="S152" s="8"/>
      <c r="T152" s="8"/>
      <c r="U152" s="8"/>
      <c r="V152" s="8"/>
    </row>
    <row r="153">
      <c r="A153" s="8"/>
      <c r="B153" s="11"/>
      <c r="C153" s="8"/>
      <c r="D153" s="8"/>
      <c r="E153" s="8"/>
      <c r="F153" s="8"/>
      <c r="G153" s="10"/>
      <c r="H153" s="8"/>
      <c r="I153" s="8"/>
      <c r="J153" s="8"/>
      <c r="K153" s="8"/>
      <c r="L153" s="8"/>
      <c r="M153" s="8"/>
      <c r="N153" s="8"/>
      <c r="O153" s="8"/>
      <c r="P153" s="8"/>
      <c r="Q153" s="8"/>
      <c r="R153" s="8"/>
      <c r="S153" s="8"/>
      <c r="T153" s="8"/>
      <c r="U153" s="8"/>
      <c r="V153" s="8"/>
    </row>
    <row r="154">
      <c r="A154" s="8"/>
      <c r="B154" s="11"/>
      <c r="C154" s="8"/>
      <c r="D154" s="8"/>
      <c r="E154" s="8"/>
      <c r="F154" s="8"/>
      <c r="G154" s="10"/>
      <c r="H154" s="8"/>
      <c r="I154" s="8"/>
      <c r="J154" s="8"/>
      <c r="K154" s="8"/>
      <c r="L154" s="8"/>
      <c r="M154" s="8"/>
      <c r="N154" s="8"/>
      <c r="O154" s="8"/>
      <c r="P154" s="8"/>
      <c r="Q154" s="8"/>
      <c r="R154" s="8"/>
      <c r="S154" s="8"/>
      <c r="T154" s="8"/>
      <c r="U154" s="8"/>
      <c r="V154" s="8"/>
    </row>
    <row r="155">
      <c r="A155" s="8"/>
      <c r="B155" s="11"/>
      <c r="C155" s="8"/>
      <c r="D155" s="8"/>
      <c r="E155" s="8"/>
      <c r="F155" s="8"/>
      <c r="G155" s="10"/>
      <c r="H155" s="8"/>
      <c r="I155" s="8"/>
      <c r="J155" s="8"/>
      <c r="K155" s="8"/>
      <c r="L155" s="8"/>
      <c r="M155" s="8"/>
      <c r="N155" s="8"/>
      <c r="O155" s="8"/>
      <c r="P155" s="8"/>
      <c r="Q155" s="8"/>
      <c r="R155" s="8"/>
      <c r="S155" s="8"/>
      <c r="T155" s="8"/>
      <c r="U155" s="8"/>
      <c r="V155" s="8"/>
    </row>
    <row r="156">
      <c r="A156" s="5" t="s">
        <v>356</v>
      </c>
      <c r="B156" s="6" t="s">
        <v>357</v>
      </c>
      <c r="C156" s="5" t="s">
        <v>358</v>
      </c>
      <c r="D156" s="8"/>
      <c r="E156" s="5" t="s">
        <v>359</v>
      </c>
      <c r="F156" s="5" t="s">
        <v>360</v>
      </c>
      <c r="G156" s="18" t="s">
        <v>361</v>
      </c>
      <c r="H156" s="8"/>
      <c r="I156" s="8"/>
      <c r="J156" s="8"/>
      <c r="K156" s="8"/>
      <c r="L156" s="8"/>
      <c r="M156" s="8"/>
      <c r="N156" s="8"/>
      <c r="O156" s="8"/>
      <c r="P156" s="8"/>
      <c r="Q156" s="8"/>
      <c r="R156" s="8"/>
      <c r="S156" s="8"/>
      <c r="T156" s="8"/>
      <c r="U156" s="8"/>
      <c r="V156" s="8"/>
    </row>
    <row r="157">
      <c r="A157" s="5" t="s">
        <v>362</v>
      </c>
      <c r="B157" s="6" t="s">
        <v>363</v>
      </c>
      <c r="C157" s="5" t="s">
        <v>358</v>
      </c>
      <c r="D157" s="8"/>
      <c r="E157" s="19" t="s">
        <v>359</v>
      </c>
      <c r="F157" s="5" t="s">
        <v>364</v>
      </c>
      <c r="G157" s="7" t="s">
        <v>365</v>
      </c>
      <c r="H157" s="8"/>
      <c r="I157" s="8"/>
      <c r="J157" s="8"/>
      <c r="K157" s="8"/>
      <c r="L157" s="8"/>
      <c r="M157" s="8"/>
      <c r="N157" s="8"/>
      <c r="O157" s="8"/>
      <c r="P157" s="8"/>
      <c r="Q157" s="8"/>
      <c r="R157" s="8"/>
      <c r="S157" s="8"/>
      <c r="T157" s="8"/>
      <c r="U157" s="8"/>
      <c r="V157" s="8"/>
    </row>
    <row r="158">
      <c r="A158" s="12" t="s">
        <v>366</v>
      </c>
      <c r="B158" s="6" t="s">
        <v>363</v>
      </c>
      <c r="C158" s="12" t="s">
        <v>358</v>
      </c>
      <c r="D158" s="8"/>
      <c r="E158" s="5" t="s">
        <v>359</v>
      </c>
      <c r="F158" s="5" t="s">
        <v>364</v>
      </c>
      <c r="G158" s="10"/>
      <c r="H158" s="8"/>
      <c r="I158" s="8"/>
      <c r="J158" s="8"/>
      <c r="K158" s="8"/>
      <c r="L158" s="8"/>
      <c r="M158" s="8"/>
      <c r="N158" s="8"/>
      <c r="O158" s="8"/>
      <c r="P158" s="8"/>
      <c r="Q158" s="8"/>
      <c r="R158" s="8"/>
      <c r="S158" s="8"/>
      <c r="T158" s="8"/>
      <c r="U158" s="8"/>
      <c r="V158" s="8"/>
    </row>
    <row r="159">
      <c r="A159" s="5" t="s">
        <v>367</v>
      </c>
      <c r="B159" s="6" t="s">
        <v>363</v>
      </c>
      <c r="C159" s="12" t="s">
        <v>358</v>
      </c>
      <c r="D159" s="5" t="s">
        <v>9</v>
      </c>
      <c r="E159" s="5" t="s">
        <v>368</v>
      </c>
      <c r="F159" s="5" t="s">
        <v>369</v>
      </c>
      <c r="G159" s="10"/>
      <c r="H159" s="8"/>
      <c r="I159" s="8"/>
      <c r="J159" s="8"/>
      <c r="K159" s="8"/>
      <c r="L159" s="8"/>
      <c r="M159" s="8"/>
      <c r="N159" s="8"/>
      <c r="O159" s="8"/>
      <c r="P159" s="8"/>
      <c r="Q159" s="8"/>
      <c r="R159" s="8"/>
      <c r="S159" s="8"/>
      <c r="T159" s="8"/>
      <c r="U159" s="8"/>
      <c r="V159" s="8"/>
    </row>
    <row r="160">
      <c r="A160" s="5" t="s">
        <v>370</v>
      </c>
      <c r="B160" s="11"/>
      <c r="C160" s="5" t="s">
        <v>358</v>
      </c>
      <c r="D160" s="5" t="s">
        <v>9</v>
      </c>
      <c r="E160" s="5" t="s">
        <v>368</v>
      </c>
      <c r="F160" s="5" t="s">
        <v>360</v>
      </c>
      <c r="G160" s="10"/>
      <c r="H160" s="8"/>
      <c r="I160" s="8"/>
      <c r="J160" s="8"/>
      <c r="K160" s="8"/>
      <c r="L160" s="8"/>
      <c r="M160" s="8"/>
      <c r="N160" s="8"/>
      <c r="O160" s="8"/>
      <c r="P160" s="8"/>
      <c r="Q160" s="8"/>
      <c r="R160" s="8"/>
      <c r="S160" s="8"/>
      <c r="T160" s="8"/>
      <c r="U160" s="8"/>
      <c r="V160" s="8"/>
    </row>
    <row r="161">
      <c r="A161" s="12" t="s">
        <v>371</v>
      </c>
      <c r="B161" s="6" t="s">
        <v>9</v>
      </c>
      <c r="C161" s="5" t="s">
        <v>358</v>
      </c>
      <c r="D161" s="5" t="s">
        <v>207</v>
      </c>
      <c r="E161" s="5" t="s">
        <v>207</v>
      </c>
      <c r="F161" s="5" t="s">
        <v>372</v>
      </c>
      <c r="G161" s="7" t="s">
        <v>363</v>
      </c>
      <c r="H161" s="8"/>
      <c r="I161" s="8"/>
      <c r="J161" s="8"/>
      <c r="K161" s="8"/>
      <c r="L161" s="8"/>
      <c r="M161" s="8"/>
      <c r="N161" s="8"/>
      <c r="O161" s="8"/>
      <c r="P161" s="8"/>
      <c r="Q161" s="8"/>
      <c r="R161" s="8"/>
      <c r="S161" s="8"/>
      <c r="T161" s="8"/>
      <c r="U161" s="8"/>
      <c r="V161" s="8"/>
    </row>
    <row r="162">
      <c r="A162" s="12" t="s">
        <v>373</v>
      </c>
      <c r="B162" s="11"/>
      <c r="C162" s="5" t="s">
        <v>358</v>
      </c>
      <c r="D162" s="5" t="s">
        <v>374</v>
      </c>
      <c r="E162" s="8"/>
      <c r="F162" s="8"/>
      <c r="G162" s="10"/>
      <c r="H162" s="8"/>
      <c r="I162" s="8"/>
      <c r="J162" s="8"/>
      <c r="K162" s="8"/>
      <c r="L162" s="8"/>
      <c r="M162" s="8"/>
      <c r="N162" s="8"/>
      <c r="O162" s="8"/>
      <c r="P162" s="8"/>
      <c r="Q162" s="8"/>
      <c r="R162" s="8"/>
      <c r="S162" s="8"/>
      <c r="T162" s="8"/>
      <c r="U162" s="8"/>
      <c r="V162" s="8"/>
    </row>
    <row r="163">
      <c r="A163" s="5" t="s">
        <v>375</v>
      </c>
      <c r="B163" s="6" t="s">
        <v>9</v>
      </c>
      <c r="C163" s="5" t="s">
        <v>358</v>
      </c>
      <c r="D163" s="5" t="s">
        <v>153</v>
      </c>
      <c r="E163" s="5" t="s">
        <v>207</v>
      </c>
      <c r="F163" s="5" t="s">
        <v>376</v>
      </c>
      <c r="G163" s="7" t="s">
        <v>363</v>
      </c>
      <c r="H163" s="8"/>
      <c r="I163" s="8"/>
      <c r="J163" s="8"/>
      <c r="K163" s="8"/>
      <c r="L163" s="8"/>
      <c r="M163" s="8"/>
      <c r="N163" s="8"/>
      <c r="O163" s="8"/>
      <c r="P163" s="8"/>
      <c r="Q163" s="8"/>
      <c r="R163" s="8"/>
      <c r="S163" s="8"/>
      <c r="T163" s="8"/>
      <c r="U163" s="8"/>
      <c r="V163" s="8"/>
    </row>
    <row r="164">
      <c r="A164" s="5" t="s">
        <v>377</v>
      </c>
      <c r="B164" s="11"/>
      <c r="C164" s="5" t="s">
        <v>358</v>
      </c>
      <c r="D164" s="5" t="s">
        <v>378</v>
      </c>
      <c r="E164" s="8"/>
      <c r="F164" s="8"/>
      <c r="G164" s="10"/>
      <c r="H164" s="8"/>
      <c r="I164" s="8"/>
      <c r="J164" s="8"/>
      <c r="K164" s="8"/>
      <c r="L164" s="8"/>
      <c r="M164" s="8"/>
      <c r="N164" s="8"/>
      <c r="O164" s="8"/>
      <c r="P164" s="8"/>
      <c r="Q164" s="8"/>
      <c r="R164" s="8"/>
      <c r="S164" s="8"/>
      <c r="T164" s="8"/>
      <c r="U164" s="8"/>
      <c r="V164" s="8"/>
    </row>
    <row r="165">
      <c r="A165" s="12" t="s">
        <v>379</v>
      </c>
      <c r="B165" s="11"/>
      <c r="C165" s="5" t="s">
        <v>358</v>
      </c>
      <c r="D165" s="5" t="s">
        <v>380</v>
      </c>
      <c r="E165" s="8"/>
      <c r="F165" s="8"/>
      <c r="G165" s="10"/>
      <c r="H165" s="8"/>
      <c r="I165" s="8"/>
      <c r="J165" s="8"/>
      <c r="K165" s="8"/>
      <c r="L165" s="8"/>
      <c r="M165" s="8"/>
      <c r="N165" s="8"/>
      <c r="O165" s="8"/>
      <c r="P165" s="8"/>
      <c r="Q165" s="8"/>
      <c r="R165" s="8"/>
      <c r="S165" s="8"/>
      <c r="T165" s="8"/>
      <c r="U165" s="8"/>
      <c r="V165" s="8"/>
    </row>
    <row r="166">
      <c r="A166" s="12" t="s">
        <v>381</v>
      </c>
      <c r="B166" s="11"/>
      <c r="C166" s="5" t="s">
        <v>358</v>
      </c>
      <c r="D166" s="5" t="s">
        <v>382</v>
      </c>
      <c r="E166" s="5" t="s">
        <v>383</v>
      </c>
      <c r="F166" s="5" t="s">
        <v>360</v>
      </c>
      <c r="G166" s="10"/>
      <c r="H166" s="8"/>
      <c r="I166" s="8"/>
      <c r="J166" s="8"/>
      <c r="K166" s="8"/>
      <c r="L166" s="8"/>
      <c r="M166" s="8"/>
      <c r="N166" s="8"/>
      <c r="O166" s="8"/>
      <c r="P166" s="8"/>
      <c r="Q166" s="8"/>
      <c r="R166" s="8"/>
      <c r="S166" s="8"/>
      <c r="T166" s="8"/>
      <c r="U166" s="8"/>
      <c r="V166" s="8"/>
    </row>
    <row r="167">
      <c r="A167" s="12" t="s">
        <v>384</v>
      </c>
      <c r="B167" s="11"/>
      <c r="C167" s="5" t="s">
        <v>358</v>
      </c>
      <c r="D167" s="5" t="s">
        <v>54</v>
      </c>
      <c r="E167" s="5" t="s">
        <v>385</v>
      </c>
      <c r="F167" s="5" t="s">
        <v>386</v>
      </c>
      <c r="G167" s="10"/>
      <c r="H167" s="8"/>
      <c r="I167" s="8"/>
      <c r="J167" s="8"/>
      <c r="K167" s="8"/>
      <c r="L167" s="8"/>
      <c r="M167" s="8"/>
      <c r="N167" s="8"/>
      <c r="O167" s="8"/>
      <c r="P167" s="8"/>
      <c r="Q167" s="8"/>
      <c r="R167" s="8"/>
      <c r="S167" s="8"/>
      <c r="T167" s="8"/>
      <c r="U167" s="8"/>
      <c r="V167" s="8"/>
    </row>
    <row r="168">
      <c r="A168" s="12" t="s">
        <v>387</v>
      </c>
      <c r="B168" s="11"/>
      <c r="C168" s="5" t="s">
        <v>358</v>
      </c>
      <c r="D168" s="5" t="s">
        <v>172</v>
      </c>
      <c r="E168" s="5" t="s">
        <v>388</v>
      </c>
      <c r="F168" s="5" t="s">
        <v>360</v>
      </c>
      <c r="G168" s="10"/>
      <c r="H168" s="8"/>
      <c r="I168" s="8"/>
      <c r="J168" s="8"/>
      <c r="K168" s="8"/>
      <c r="L168" s="8"/>
      <c r="M168" s="8"/>
      <c r="N168" s="8"/>
      <c r="O168" s="8"/>
      <c r="P168" s="8"/>
      <c r="Q168" s="8"/>
      <c r="R168" s="8"/>
      <c r="S168" s="8"/>
      <c r="T168" s="8"/>
      <c r="U168" s="8"/>
      <c r="V168" s="8"/>
    </row>
    <row r="169">
      <c r="A169" s="12" t="s">
        <v>389</v>
      </c>
      <c r="B169" s="11"/>
      <c r="C169" s="5" t="s">
        <v>358</v>
      </c>
      <c r="D169" s="5" t="s">
        <v>390</v>
      </c>
      <c r="E169" s="5" t="s">
        <v>388</v>
      </c>
      <c r="F169" s="5" t="s">
        <v>360</v>
      </c>
      <c r="G169" s="10"/>
      <c r="H169" s="8"/>
      <c r="I169" s="8"/>
      <c r="J169" s="8"/>
      <c r="K169" s="8"/>
      <c r="L169" s="8"/>
      <c r="M169" s="8"/>
      <c r="N169" s="8"/>
      <c r="O169" s="8"/>
      <c r="P169" s="8"/>
      <c r="Q169" s="8"/>
      <c r="R169" s="8"/>
      <c r="S169" s="8"/>
      <c r="T169" s="8"/>
      <c r="U169" s="8"/>
      <c r="V169" s="8"/>
    </row>
    <row r="170">
      <c r="A170" s="12" t="s">
        <v>391</v>
      </c>
      <c r="B170" s="11"/>
      <c r="C170" s="5" t="s">
        <v>358</v>
      </c>
      <c r="D170" s="5" t="s">
        <v>207</v>
      </c>
      <c r="E170" s="5" t="s">
        <v>207</v>
      </c>
      <c r="F170" s="5" t="s">
        <v>392</v>
      </c>
      <c r="G170" s="7" t="s">
        <v>393</v>
      </c>
      <c r="H170" s="8"/>
      <c r="I170" s="8"/>
      <c r="J170" s="8"/>
      <c r="K170" s="8"/>
      <c r="L170" s="8"/>
      <c r="M170" s="8"/>
      <c r="N170" s="8"/>
      <c r="O170" s="8"/>
      <c r="P170" s="8"/>
      <c r="Q170" s="8"/>
      <c r="R170" s="8"/>
      <c r="S170" s="8"/>
      <c r="T170" s="8"/>
      <c r="U170" s="8"/>
      <c r="V170" s="8"/>
    </row>
    <row r="171">
      <c r="A171" s="12" t="s">
        <v>394</v>
      </c>
      <c r="B171" s="11"/>
      <c r="C171" s="5" t="s">
        <v>358</v>
      </c>
      <c r="D171" s="5" t="s">
        <v>395</v>
      </c>
      <c r="E171" s="8"/>
      <c r="F171" s="8"/>
      <c r="G171" s="10"/>
      <c r="H171" s="8"/>
      <c r="I171" s="8"/>
      <c r="J171" s="8"/>
      <c r="K171" s="8"/>
      <c r="L171" s="8"/>
      <c r="M171" s="8"/>
      <c r="N171" s="8"/>
      <c r="O171" s="8"/>
      <c r="P171" s="8"/>
      <c r="Q171" s="8"/>
      <c r="R171" s="8"/>
      <c r="S171" s="8"/>
      <c r="T171" s="8"/>
      <c r="U171" s="8"/>
      <c r="V171" s="8"/>
    </row>
    <row r="172">
      <c r="A172" s="12" t="s">
        <v>396</v>
      </c>
      <c r="B172" s="11"/>
      <c r="C172" s="5" t="s">
        <v>358</v>
      </c>
      <c r="D172" s="5" t="s">
        <v>80</v>
      </c>
      <c r="E172" s="8"/>
      <c r="F172" s="8"/>
      <c r="G172" s="10"/>
      <c r="H172" s="8"/>
      <c r="I172" s="8"/>
      <c r="J172" s="8"/>
      <c r="K172" s="8"/>
      <c r="L172" s="8"/>
      <c r="M172" s="8"/>
      <c r="N172" s="8"/>
      <c r="O172" s="8"/>
      <c r="P172" s="8"/>
      <c r="Q172" s="8"/>
      <c r="R172" s="8"/>
      <c r="S172" s="8"/>
      <c r="T172" s="8"/>
      <c r="U172" s="8"/>
      <c r="V172" s="8"/>
    </row>
    <row r="173">
      <c r="A173" s="12" t="s">
        <v>397</v>
      </c>
      <c r="B173" s="6" t="s">
        <v>319</v>
      </c>
      <c r="C173" s="5" t="s">
        <v>358</v>
      </c>
      <c r="D173" s="5" t="s">
        <v>320</v>
      </c>
      <c r="E173" s="5" t="s">
        <v>316</v>
      </c>
      <c r="F173" s="8"/>
      <c r="G173" s="10"/>
      <c r="H173" s="8"/>
      <c r="I173" s="8"/>
      <c r="J173" s="8"/>
      <c r="K173" s="8"/>
      <c r="L173" s="8"/>
      <c r="M173" s="8"/>
      <c r="N173" s="8"/>
      <c r="O173" s="8"/>
      <c r="P173" s="8"/>
      <c r="Q173" s="8"/>
      <c r="R173" s="8"/>
      <c r="S173" s="8"/>
      <c r="T173" s="8"/>
      <c r="U173" s="8"/>
      <c r="V173" s="8"/>
    </row>
    <row r="174">
      <c r="A174" s="12" t="s">
        <v>398</v>
      </c>
      <c r="B174" s="11"/>
      <c r="C174" s="5" t="s">
        <v>358</v>
      </c>
      <c r="D174" s="5" t="s">
        <v>89</v>
      </c>
      <c r="E174" s="8"/>
      <c r="F174" s="8"/>
      <c r="G174" s="10"/>
      <c r="H174" s="8"/>
      <c r="I174" s="8"/>
      <c r="J174" s="8"/>
      <c r="K174" s="8"/>
      <c r="L174" s="8"/>
      <c r="M174" s="8"/>
      <c r="N174" s="8"/>
      <c r="O174" s="8"/>
      <c r="P174" s="8"/>
      <c r="Q174" s="8"/>
      <c r="R174" s="8"/>
      <c r="S174" s="8"/>
      <c r="T174" s="8"/>
      <c r="U174" s="8"/>
      <c r="V174" s="8"/>
    </row>
    <row r="175">
      <c r="A175" s="12" t="s">
        <v>399</v>
      </c>
      <c r="B175" s="11"/>
      <c r="C175" s="5" t="s">
        <v>358</v>
      </c>
      <c r="D175" s="5" t="s">
        <v>93</v>
      </c>
      <c r="E175" s="8"/>
      <c r="F175" s="8"/>
      <c r="G175" s="10"/>
      <c r="H175" s="8"/>
      <c r="I175" s="8"/>
      <c r="J175" s="8"/>
      <c r="K175" s="8"/>
      <c r="L175" s="8"/>
      <c r="M175" s="8"/>
      <c r="N175" s="8"/>
      <c r="O175" s="8"/>
      <c r="P175" s="8"/>
      <c r="Q175" s="8"/>
      <c r="R175" s="8"/>
      <c r="S175" s="8"/>
      <c r="T175" s="8"/>
      <c r="U175" s="8"/>
      <c r="V175" s="8"/>
    </row>
    <row r="176">
      <c r="A176" s="12" t="s">
        <v>400</v>
      </c>
      <c r="B176" s="11"/>
      <c r="C176" s="5" t="s">
        <v>358</v>
      </c>
      <c r="D176" s="5" t="s">
        <v>128</v>
      </c>
      <c r="E176" s="8"/>
      <c r="F176" s="8"/>
      <c r="G176" s="10"/>
      <c r="H176" s="8"/>
      <c r="I176" s="8"/>
      <c r="J176" s="8"/>
      <c r="K176" s="8"/>
      <c r="L176" s="8"/>
      <c r="M176" s="8"/>
      <c r="N176" s="8"/>
      <c r="O176" s="8"/>
      <c r="P176" s="8"/>
      <c r="Q176" s="8"/>
      <c r="R176" s="8"/>
      <c r="S176" s="8"/>
      <c r="T176" s="8"/>
      <c r="U176" s="8"/>
      <c r="V176" s="8"/>
    </row>
    <row r="177">
      <c r="A177" s="12" t="s">
        <v>401</v>
      </c>
      <c r="B177" s="11"/>
      <c r="C177" s="5" t="s">
        <v>358</v>
      </c>
      <c r="D177" s="5"/>
      <c r="E177" s="8"/>
      <c r="F177" s="8"/>
      <c r="G177" s="10"/>
      <c r="H177" s="8"/>
      <c r="I177" s="8"/>
      <c r="J177" s="8"/>
      <c r="K177" s="8"/>
      <c r="L177" s="8"/>
      <c r="M177" s="8"/>
      <c r="N177" s="8"/>
      <c r="O177" s="8"/>
      <c r="P177" s="8"/>
      <c r="Q177" s="8"/>
      <c r="R177" s="8"/>
      <c r="S177" s="8"/>
      <c r="T177" s="8"/>
      <c r="U177" s="8"/>
      <c r="V177" s="8"/>
    </row>
    <row r="178">
      <c r="A178" s="12" t="s">
        <v>402</v>
      </c>
      <c r="B178" s="11"/>
      <c r="C178" s="5" t="s">
        <v>358</v>
      </c>
      <c r="D178" s="5" t="s">
        <v>104</v>
      </c>
      <c r="E178" s="8"/>
      <c r="F178" s="8"/>
      <c r="G178" s="10"/>
      <c r="H178" s="8"/>
      <c r="I178" s="8"/>
      <c r="J178" s="8"/>
      <c r="K178" s="8"/>
      <c r="L178" s="8"/>
      <c r="M178" s="8"/>
      <c r="N178" s="8"/>
      <c r="O178" s="8"/>
      <c r="P178" s="8"/>
      <c r="Q178" s="8"/>
      <c r="R178" s="8"/>
      <c r="S178" s="8"/>
      <c r="T178" s="8"/>
      <c r="U178" s="8"/>
      <c r="V178" s="8"/>
    </row>
    <row r="179">
      <c r="A179" s="12" t="s">
        <v>403</v>
      </c>
      <c r="B179" s="11"/>
      <c r="C179" s="5" t="s">
        <v>358</v>
      </c>
      <c r="D179" s="5" t="s">
        <v>404</v>
      </c>
      <c r="E179" s="8"/>
      <c r="F179" s="8"/>
      <c r="G179" s="10"/>
      <c r="H179" s="8"/>
      <c r="I179" s="8"/>
      <c r="J179" s="8"/>
      <c r="K179" s="8"/>
      <c r="L179" s="8"/>
      <c r="M179" s="8"/>
      <c r="N179" s="8"/>
      <c r="O179" s="8"/>
      <c r="P179" s="8"/>
      <c r="Q179" s="8"/>
      <c r="R179" s="8"/>
      <c r="S179" s="8"/>
      <c r="T179" s="8"/>
      <c r="U179" s="8"/>
      <c r="V179" s="8"/>
    </row>
    <row r="180">
      <c r="A180" s="12" t="s">
        <v>405</v>
      </c>
      <c r="B180" s="11"/>
      <c r="C180" s="5" t="s">
        <v>358</v>
      </c>
      <c r="D180" s="5" t="s">
        <v>207</v>
      </c>
      <c r="E180" s="5" t="s">
        <v>207</v>
      </c>
      <c r="F180" s="5" t="s">
        <v>360</v>
      </c>
      <c r="G180" s="7" t="s">
        <v>406</v>
      </c>
      <c r="H180" s="8"/>
      <c r="I180" s="8"/>
      <c r="J180" s="8"/>
      <c r="K180" s="8"/>
      <c r="L180" s="8"/>
      <c r="M180" s="8"/>
      <c r="N180" s="8"/>
      <c r="O180" s="8"/>
      <c r="P180" s="8"/>
      <c r="Q180" s="8"/>
      <c r="R180" s="8"/>
      <c r="S180" s="8"/>
      <c r="T180" s="8"/>
      <c r="U180" s="8"/>
      <c r="V180" s="8"/>
    </row>
    <row r="181">
      <c r="A181" s="12" t="s">
        <v>407</v>
      </c>
      <c r="B181" s="11"/>
      <c r="C181" s="5" t="s">
        <v>358</v>
      </c>
      <c r="D181" s="5" t="s">
        <v>120</v>
      </c>
      <c r="E181" s="8"/>
      <c r="F181" s="8"/>
      <c r="G181" s="10"/>
      <c r="H181" s="8"/>
      <c r="I181" s="8"/>
      <c r="J181" s="8"/>
      <c r="K181" s="8"/>
      <c r="L181" s="8"/>
      <c r="M181" s="8"/>
      <c r="N181" s="8"/>
      <c r="O181" s="8"/>
      <c r="P181" s="8"/>
      <c r="Q181" s="8"/>
      <c r="R181" s="8"/>
      <c r="S181" s="8"/>
      <c r="T181" s="8"/>
      <c r="U181" s="8"/>
      <c r="V181" s="8"/>
    </row>
    <row r="182">
      <c r="A182" s="12" t="s">
        <v>408</v>
      </c>
      <c r="B182" s="11"/>
      <c r="C182" s="5" t="s">
        <v>358</v>
      </c>
      <c r="D182" s="5" t="s">
        <v>409</v>
      </c>
      <c r="E182" s="8"/>
      <c r="F182" s="8"/>
      <c r="G182" s="10"/>
      <c r="H182" s="8"/>
      <c r="I182" s="8"/>
      <c r="J182" s="8"/>
      <c r="K182" s="8"/>
      <c r="L182" s="8"/>
      <c r="M182" s="8"/>
      <c r="N182" s="8"/>
      <c r="O182" s="8"/>
      <c r="P182" s="8"/>
      <c r="Q182" s="8"/>
      <c r="R182" s="8"/>
      <c r="S182" s="8"/>
      <c r="T182" s="8"/>
      <c r="U182" s="8"/>
      <c r="V182" s="8"/>
    </row>
    <row r="183">
      <c r="A183" s="12" t="s">
        <v>410</v>
      </c>
      <c r="B183" s="11"/>
      <c r="C183" s="5" t="s">
        <v>358</v>
      </c>
      <c r="D183" s="5" t="s">
        <v>409</v>
      </c>
      <c r="E183" s="8"/>
      <c r="F183" s="8"/>
      <c r="G183" s="10"/>
      <c r="H183" s="8"/>
      <c r="I183" s="8"/>
      <c r="J183" s="8"/>
      <c r="K183" s="8"/>
      <c r="L183" s="8"/>
      <c r="M183" s="8"/>
      <c r="N183" s="8"/>
      <c r="O183" s="8"/>
      <c r="P183" s="8"/>
      <c r="Q183" s="8"/>
      <c r="R183" s="8"/>
      <c r="S183" s="8"/>
      <c r="T183" s="8"/>
      <c r="U183" s="8"/>
      <c r="V183" s="8"/>
    </row>
    <row r="184">
      <c r="A184" s="12" t="s">
        <v>411</v>
      </c>
      <c r="B184" s="11"/>
      <c r="C184" s="5" t="s">
        <v>358</v>
      </c>
      <c r="D184" s="5" t="s">
        <v>112</v>
      </c>
      <c r="E184" s="8"/>
      <c r="F184" s="8"/>
      <c r="G184" s="10"/>
      <c r="H184" s="8"/>
      <c r="I184" s="8"/>
      <c r="J184" s="8"/>
      <c r="K184" s="8"/>
      <c r="L184" s="8"/>
      <c r="M184" s="8"/>
      <c r="N184" s="8"/>
      <c r="O184" s="8"/>
      <c r="P184" s="8"/>
      <c r="Q184" s="8"/>
      <c r="R184" s="8"/>
      <c r="S184" s="8"/>
      <c r="T184" s="8"/>
      <c r="U184" s="8"/>
      <c r="V184" s="8"/>
    </row>
    <row r="185">
      <c r="A185" s="12" t="s">
        <v>412</v>
      </c>
      <c r="B185" s="11"/>
      <c r="C185" s="5" t="s">
        <v>358</v>
      </c>
      <c r="D185" s="5" t="s">
        <v>413</v>
      </c>
      <c r="E185" s="8"/>
      <c r="F185" s="8"/>
      <c r="G185" s="10"/>
      <c r="H185" s="8"/>
      <c r="I185" s="8"/>
      <c r="J185" s="8"/>
      <c r="K185" s="8"/>
      <c r="L185" s="8"/>
      <c r="M185" s="8"/>
      <c r="N185" s="8"/>
      <c r="O185" s="8"/>
      <c r="P185" s="8"/>
      <c r="Q185" s="8"/>
      <c r="R185" s="8"/>
      <c r="S185" s="8"/>
      <c r="T185" s="8"/>
      <c r="U185" s="8"/>
      <c r="V185" s="8"/>
    </row>
    <row r="186">
      <c r="A186" s="12" t="s">
        <v>414</v>
      </c>
      <c r="B186" s="11"/>
      <c r="C186" s="5" t="s">
        <v>358</v>
      </c>
      <c r="D186" s="5" t="s">
        <v>415</v>
      </c>
      <c r="E186" s="8"/>
      <c r="F186" s="8"/>
      <c r="G186" s="10"/>
      <c r="H186" s="8"/>
      <c r="I186" s="8"/>
      <c r="J186" s="8"/>
      <c r="K186" s="8"/>
      <c r="L186" s="8"/>
      <c r="M186" s="8"/>
      <c r="N186" s="8"/>
      <c r="O186" s="8"/>
      <c r="P186" s="8"/>
      <c r="Q186" s="8"/>
      <c r="R186" s="8"/>
      <c r="S186" s="8"/>
      <c r="T186" s="8"/>
      <c r="U186" s="8"/>
      <c r="V186" s="8"/>
    </row>
    <row r="187">
      <c r="A187" s="12" t="s">
        <v>416</v>
      </c>
      <c r="B187" s="11"/>
      <c r="C187" s="5" t="s">
        <v>358</v>
      </c>
      <c r="D187" s="5" t="s">
        <v>417</v>
      </c>
      <c r="E187" s="8"/>
      <c r="F187" s="8"/>
      <c r="G187" s="10"/>
      <c r="H187" s="8"/>
      <c r="I187" s="8"/>
      <c r="J187" s="8"/>
      <c r="K187" s="8"/>
      <c r="L187" s="8"/>
      <c r="M187" s="8"/>
      <c r="N187" s="8"/>
      <c r="O187" s="8"/>
      <c r="P187" s="8"/>
      <c r="Q187" s="8"/>
      <c r="R187" s="8"/>
      <c r="S187" s="8"/>
      <c r="T187" s="8"/>
      <c r="U187" s="8"/>
      <c r="V187" s="8"/>
    </row>
    <row r="188">
      <c r="A188" s="12" t="s">
        <v>418</v>
      </c>
      <c r="B188" s="11"/>
      <c r="C188" s="5" t="s">
        <v>358</v>
      </c>
      <c r="D188" s="5" t="s">
        <v>419</v>
      </c>
      <c r="E188" s="8"/>
      <c r="F188" s="8"/>
      <c r="G188" s="10"/>
      <c r="H188" s="8"/>
      <c r="I188" s="8"/>
      <c r="J188" s="8"/>
      <c r="K188" s="8"/>
      <c r="L188" s="8"/>
      <c r="M188" s="8"/>
      <c r="N188" s="8"/>
      <c r="O188" s="8"/>
      <c r="P188" s="8"/>
      <c r="Q188" s="8"/>
      <c r="R188" s="8"/>
      <c r="S188" s="8"/>
      <c r="T188" s="8"/>
      <c r="U188" s="8"/>
      <c r="V188" s="8"/>
    </row>
    <row r="189">
      <c r="A189" s="12" t="s">
        <v>420</v>
      </c>
      <c r="B189" s="11"/>
      <c r="C189" s="5" t="s">
        <v>358</v>
      </c>
      <c r="D189" s="5" t="s">
        <v>404</v>
      </c>
      <c r="E189" s="8"/>
      <c r="F189" s="8"/>
      <c r="G189" s="10"/>
      <c r="H189" s="8"/>
      <c r="I189" s="8"/>
      <c r="J189" s="8"/>
      <c r="K189" s="8"/>
      <c r="L189" s="8"/>
      <c r="M189" s="8"/>
      <c r="N189" s="8"/>
      <c r="O189" s="8"/>
      <c r="P189" s="8"/>
      <c r="Q189" s="8"/>
      <c r="R189" s="8"/>
      <c r="S189" s="8"/>
      <c r="T189" s="8"/>
      <c r="U189" s="8"/>
      <c r="V189" s="8"/>
    </row>
    <row r="190">
      <c r="A190" s="12" t="s">
        <v>421</v>
      </c>
      <c r="B190" s="11"/>
      <c r="C190" s="5" t="s">
        <v>358</v>
      </c>
      <c r="D190" s="5" t="s">
        <v>207</v>
      </c>
      <c r="E190" s="5" t="s">
        <v>207</v>
      </c>
      <c r="F190" s="8"/>
      <c r="G190" s="10"/>
      <c r="H190" s="8"/>
      <c r="I190" s="8"/>
      <c r="J190" s="8"/>
      <c r="K190" s="8"/>
      <c r="L190" s="8"/>
      <c r="M190" s="8"/>
      <c r="N190" s="8"/>
      <c r="O190" s="8"/>
      <c r="P190" s="8"/>
      <c r="Q190" s="8"/>
      <c r="R190" s="8"/>
      <c r="S190" s="8"/>
      <c r="T190" s="8"/>
      <c r="U190" s="8"/>
      <c r="V190" s="8"/>
    </row>
    <row r="191">
      <c r="A191" s="12" t="s">
        <v>422</v>
      </c>
      <c r="B191" s="11"/>
      <c r="C191" s="5" t="s">
        <v>358</v>
      </c>
      <c r="D191" s="12" t="s">
        <v>343</v>
      </c>
      <c r="E191" s="12" t="s">
        <v>423</v>
      </c>
      <c r="F191" s="8"/>
      <c r="G191" s="10"/>
      <c r="H191" s="8"/>
      <c r="I191" s="8"/>
      <c r="J191" s="8"/>
      <c r="K191" s="8"/>
      <c r="L191" s="8"/>
      <c r="M191" s="8"/>
      <c r="N191" s="8"/>
      <c r="O191" s="8"/>
      <c r="P191" s="8"/>
      <c r="Q191" s="8"/>
      <c r="R191" s="8"/>
      <c r="S191" s="8"/>
      <c r="T191" s="8"/>
      <c r="U191" s="8"/>
      <c r="V191" s="8"/>
    </row>
    <row r="192">
      <c r="A192" s="5" t="s">
        <v>424</v>
      </c>
      <c r="B192" s="6" t="s">
        <v>9</v>
      </c>
      <c r="C192" s="5" t="s">
        <v>358</v>
      </c>
      <c r="D192" s="5" t="s">
        <v>425</v>
      </c>
      <c r="E192" s="5" t="s">
        <v>426</v>
      </c>
      <c r="F192" s="5" t="s">
        <v>9</v>
      </c>
      <c r="G192" s="7" t="s">
        <v>9</v>
      </c>
      <c r="H192" s="8"/>
      <c r="I192" s="5" t="s">
        <v>316</v>
      </c>
      <c r="J192" s="8"/>
      <c r="K192" s="8"/>
      <c r="L192" s="8"/>
      <c r="M192" s="8"/>
      <c r="N192" s="8"/>
      <c r="O192" s="8"/>
      <c r="P192" s="8"/>
      <c r="Q192" s="8"/>
      <c r="R192" s="8"/>
      <c r="S192" s="8"/>
      <c r="T192" s="8"/>
      <c r="U192" s="8"/>
      <c r="V192" s="8"/>
    </row>
    <row r="193">
      <c r="A193" s="5" t="s">
        <v>427</v>
      </c>
      <c r="B193" s="6"/>
      <c r="C193" s="5" t="s">
        <v>358</v>
      </c>
      <c r="D193" s="5" t="s">
        <v>307</v>
      </c>
      <c r="E193" s="5" t="s">
        <v>308</v>
      </c>
      <c r="F193" s="5"/>
      <c r="G193" s="7"/>
      <c r="H193" s="8"/>
      <c r="I193" s="8"/>
      <c r="J193" s="8"/>
      <c r="K193" s="8"/>
      <c r="L193" s="8"/>
      <c r="M193" s="8"/>
      <c r="N193" s="8"/>
      <c r="O193" s="8"/>
      <c r="P193" s="8"/>
      <c r="Q193" s="8"/>
      <c r="R193" s="8"/>
      <c r="S193" s="8"/>
      <c r="T193" s="8"/>
      <c r="U193" s="8"/>
      <c r="V193" s="8"/>
    </row>
    <row r="194">
      <c r="A194" s="5" t="s">
        <v>428</v>
      </c>
      <c r="B194" s="6"/>
      <c r="C194" s="5" t="s">
        <v>358</v>
      </c>
      <c r="D194" s="12" t="s">
        <v>207</v>
      </c>
      <c r="E194" s="12" t="s">
        <v>207</v>
      </c>
      <c r="F194" s="5"/>
      <c r="G194" s="7"/>
      <c r="H194" s="8"/>
      <c r="I194" s="8"/>
      <c r="J194" s="8"/>
      <c r="K194" s="8"/>
      <c r="L194" s="8"/>
      <c r="M194" s="8"/>
      <c r="N194" s="8"/>
      <c r="O194" s="8"/>
      <c r="P194" s="8"/>
      <c r="Q194" s="8"/>
      <c r="R194" s="8"/>
      <c r="S194" s="8"/>
      <c r="T194" s="8"/>
      <c r="U194" s="8"/>
      <c r="V194" s="8"/>
    </row>
    <row r="195">
      <c r="A195" s="5" t="s">
        <v>429</v>
      </c>
      <c r="B195" s="6"/>
      <c r="C195" s="5" t="s">
        <v>358</v>
      </c>
      <c r="D195" s="12" t="s">
        <v>207</v>
      </c>
      <c r="E195" s="12" t="s">
        <v>207</v>
      </c>
      <c r="F195" s="5" t="s">
        <v>430</v>
      </c>
      <c r="G195" s="7"/>
      <c r="H195" s="8"/>
      <c r="I195" s="8"/>
      <c r="J195" s="8"/>
      <c r="K195" s="8"/>
      <c r="L195" s="8"/>
      <c r="M195" s="8"/>
      <c r="N195" s="8"/>
      <c r="O195" s="8"/>
      <c r="P195" s="8"/>
      <c r="Q195" s="8"/>
      <c r="R195" s="8"/>
      <c r="S195" s="8"/>
      <c r="T195" s="8"/>
      <c r="U195" s="8"/>
      <c r="V195" s="8"/>
    </row>
    <row r="196">
      <c r="A196" s="5" t="s">
        <v>431</v>
      </c>
      <c r="B196" s="6"/>
      <c r="C196" s="5" t="s">
        <v>358</v>
      </c>
      <c r="D196" s="5"/>
      <c r="E196" s="5"/>
      <c r="F196" s="5"/>
      <c r="G196" s="7"/>
      <c r="H196" s="8"/>
      <c r="I196" s="8"/>
      <c r="J196" s="8"/>
      <c r="K196" s="8"/>
      <c r="L196" s="8"/>
      <c r="M196" s="8"/>
      <c r="N196" s="8"/>
      <c r="O196" s="8"/>
      <c r="P196" s="8"/>
      <c r="Q196" s="8"/>
      <c r="R196" s="8"/>
      <c r="S196" s="8"/>
      <c r="T196" s="8"/>
      <c r="U196" s="8"/>
      <c r="V196" s="8"/>
    </row>
    <row r="197">
      <c r="A197" s="5" t="s">
        <v>432</v>
      </c>
      <c r="B197" s="6" t="s">
        <v>9</v>
      </c>
      <c r="C197" s="5" t="s">
        <v>358</v>
      </c>
      <c r="D197" s="12" t="s">
        <v>207</v>
      </c>
      <c r="E197" s="12" t="s">
        <v>207</v>
      </c>
      <c r="F197" s="5" t="s">
        <v>433</v>
      </c>
      <c r="G197" s="7" t="s">
        <v>434</v>
      </c>
      <c r="H197" s="8"/>
      <c r="I197" s="8"/>
      <c r="J197" s="8"/>
      <c r="K197" s="8"/>
      <c r="L197" s="8"/>
      <c r="M197" s="8"/>
      <c r="N197" s="8"/>
      <c r="O197" s="8"/>
      <c r="P197" s="8"/>
      <c r="Q197" s="8"/>
      <c r="R197" s="8"/>
      <c r="S197" s="8"/>
      <c r="T197" s="8"/>
      <c r="U197" s="8"/>
      <c r="V197" s="8"/>
    </row>
    <row r="198">
      <c r="A198" s="5" t="s">
        <v>435</v>
      </c>
      <c r="B198" s="6"/>
      <c r="C198" s="5" t="s">
        <v>358</v>
      </c>
      <c r="D198" s="5"/>
      <c r="E198" s="5"/>
      <c r="F198" s="5"/>
      <c r="G198" s="7"/>
      <c r="H198" s="8"/>
      <c r="I198" s="8"/>
      <c r="J198" s="8"/>
      <c r="K198" s="8"/>
      <c r="L198" s="8"/>
      <c r="M198" s="8"/>
      <c r="N198" s="8"/>
      <c r="O198" s="8"/>
      <c r="P198" s="8"/>
      <c r="Q198" s="8"/>
      <c r="R198" s="8"/>
      <c r="S198" s="8"/>
      <c r="T198" s="8"/>
      <c r="U198" s="8"/>
      <c r="V198" s="8"/>
    </row>
    <row r="199">
      <c r="A199" s="5" t="s">
        <v>436</v>
      </c>
      <c r="B199" s="6" t="s">
        <v>9</v>
      </c>
      <c r="C199" s="5" t="s">
        <v>358</v>
      </c>
      <c r="D199" s="5" t="s">
        <v>207</v>
      </c>
      <c r="E199" s="5" t="s">
        <v>207</v>
      </c>
      <c r="F199" s="5" t="s">
        <v>437</v>
      </c>
      <c r="G199" s="7" t="s">
        <v>438</v>
      </c>
      <c r="H199" s="8"/>
      <c r="I199" s="8"/>
      <c r="J199" s="8"/>
      <c r="K199" s="8"/>
      <c r="L199" s="8"/>
      <c r="M199" s="8"/>
      <c r="N199" s="8"/>
      <c r="O199" s="8"/>
      <c r="P199" s="8"/>
      <c r="Q199" s="8"/>
      <c r="R199" s="8"/>
      <c r="S199" s="8"/>
      <c r="T199" s="8"/>
      <c r="U199" s="8"/>
      <c r="V199" s="8"/>
    </row>
    <row r="200">
      <c r="A200" s="5" t="s">
        <v>439</v>
      </c>
      <c r="B200" s="6" t="s">
        <v>9</v>
      </c>
      <c r="C200" s="5" t="s">
        <v>358</v>
      </c>
      <c r="D200" s="5" t="s">
        <v>207</v>
      </c>
      <c r="E200" s="5" t="s">
        <v>207</v>
      </c>
      <c r="F200" s="5" t="s">
        <v>440</v>
      </c>
      <c r="G200" s="7" t="s">
        <v>9</v>
      </c>
      <c r="H200" s="8"/>
      <c r="I200" s="8"/>
      <c r="J200" s="8"/>
      <c r="K200" s="8"/>
      <c r="L200" s="8"/>
      <c r="M200" s="8"/>
      <c r="N200" s="8"/>
      <c r="O200" s="8"/>
      <c r="P200" s="8"/>
      <c r="Q200" s="8"/>
      <c r="R200" s="8"/>
      <c r="S200" s="8"/>
      <c r="T200" s="8"/>
      <c r="U200" s="8"/>
      <c r="V200" s="8"/>
    </row>
    <row r="201">
      <c r="A201" s="5" t="s">
        <v>441</v>
      </c>
      <c r="B201" s="6" t="s">
        <v>9</v>
      </c>
      <c r="C201" s="5" t="s">
        <v>358</v>
      </c>
      <c r="D201" s="5" t="s">
        <v>207</v>
      </c>
      <c r="E201" s="5" t="s">
        <v>207</v>
      </c>
      <c r="F201" s="5" t="s">
        <v>437</v>
      </c>
      <c r="G201" s="7" t="s">
        <v>442</v>
      </c>
      <c r="H201" s="8"/>
      <c r="I201" s="8"/>
      <c r="J201" s="8"/>
      <c r="K201" s="8"/>
      <c r="L201" s="8"/>
      <c r="M201" s="8"/>
      <c r="N201" s="8"/>
      <c r="O201" s="8"/>
      <c r="P201" s="8"/>
      <c r="Q201" s="8"/>
      <c r="R201" s="8"/>
      <c r="S201" s="8"/>
      <c r="T201" s="8"/>
      <c r="U201" s="8"/>
      <c r="V201" s="8"/>
    </row>
    <row r="202">
      <c r="A202" s="5" t="s">
        <v>443</v>
      </c>
      <c r="B202" s="6" t="s">
        <v>9</v>
      </c>
      <c r="C202" s="5" t="s">
        <v>358</v>
      </c>
      <c r="D202" s="5" t="s">
        <v>207</v>
      </c>
      <c r="E202" s="5" t="s">
        <v>207</v>
      </c>
      <c r="F202" s="5" t="s">
        <v>444</v>
      </c>
      <c r="G202" s="7" t="s">
        <v>445</v>
      </c>
      <c r="H202" s="8"/>
      <c r="I202" s="8"/>
      <c r="J202" s="8"/>
      <c r="K202" s="8"/>
      <c r="L202" s="8"/>
      <c r="M202" s="8"/>
      <c r="N202" s="8"/>
      <c r="O202" s="8"/>
      <c r="P202" s="8"/>
      <c r="Q202" s="8"/>
      <c r="R202" s="8"/>
      <c r="S202" s="8"/>
      <c r="T202" s="8"/>
      <c r="U202" s="8"/>
      <c r="V202" s="8"/>
    </row>
    <row r="203">
      <c r="A203" s="5" t="s">
        <v>446</v>
      </c>
      <c r="B203" s="11"/>
      <c r="C203" s="5" t="s">
        <v>358</v>
      </c>
      <c r="D203" s="5" t="s">
        <v>207</v>
      </c>
      <c r="E203" s="12" t="s">
        <v>207</v>
      </c>
      <c r="F203" s="8"/>
      <c r="G203" s="10"/>
      <c r="H203" s="8"/>
      <c r="I203" s="8"/>
      <c r="J203" s="8"/>
      <c r="K203" s="8"/>
      <c r="L203" s="8"/>
      <c r="M203" s="8"/>
      <c r="N203" s="8"/>
      <c r="O203" s="8"/>
      <c r="P203" s="8"/>
      <c r="Q203" s="8"/>
      <c r="R203" s="8"/>
      <c r="S203" s="8"/>
      <c r="T203" s="8"/>
      <c r="U203" s="8"/>
      <c r="V203" s="8"/>
    </row>
    <row r="204">
      <c r="A204" s="5" t="s">
        <v>447</v>
      </c>
      <c r="B204" s="6" t="s">
        <v>448</v>
      </c>
      <c r="C204" s="5" t="s">
        <v>358</v>
      </c>
      <c r="D204" s="5" t="s">
        <v>207</v>
      </c>
      <c r="E204" s="5" t="s">
        <v>207</v>
      </c>
      <c r="F204" s="5" t="s">
        <v>449</v>
      </c>
      <c r="G204" s="10"/>
      <c r="H204" s="8"/>
      <c r="I204" s="5" t="s">
        <v>40</v>
      </c>
      <c r="J204" s="8"/>
      <c r="K204" s="8"/>
      <c r="L204" s="8"/>
      <c r="M204" s="8"/>
      <c r="N204" s="8"/>
      <c r="O204" s="8"/>
      <c r="P204" s="8"/>
      <c r="Q204" s="8"/>
      <c r="R204" s="8"/>
      <c r="S204" s="8"/>
      <c r="T204" s="8"/>
      <c r="U204" s="8"/>
      <c r="V204" s="8"/>
    </row>
    <row r="205">
      <c r="A205" s="5" t="s">
        <v>450</v>
      </c>
      <c r="B205" s="6" t="s">
        <v>451</v>
      </c>
      <c r="C205" s="5" t="s">
        <v>358</v>
      </c>
      <c r="D205" s="5" t="s">
        <v>207</v>
      </c>
      <c r="E205" s="5" t="s">
        <v>207</v>
      </c>
      <c r="F205" s="5" t="s">
        <v>452</v>
      </c>
      <c r="G205" s="10"/>
      <c r="H205" s="8"/>
      <c r="I205" s="8"/>
      <c r="J205" s="8"/>
      <c r="K205" s="8"/>
      <c r="L205" s="8"/>
      <c r="M205" s="8"/>
      <c r="N205" s="8"/>
      <c r="O205" s="8"/>
      <c r="P205" s="8"/>
      <c r="Q205" s="8"/>
      <c r="R205" s="8"/>
      <c r="S205" s="8"/>
      <c r="T205" s="8"/>
      <c r="U205" s="8"/>
      <c r="V205" s="8"/>
    </row>
    <row r="206">
      <c r="A206" s="5" t="s">
        <v>453</v>
      </c>
      <c r="B206" s="6" t="s">
        <v>451</v>
      </c>
      <c r="C206" s="5" t="s">
        <v>358</v>
      </c>
      <c r="D206" s="5" t="s">
        <v>207</v>
      </c>
      <c r="E206" s="5" t="s">
        <v>207</v>
      </c>
      <c r="F206" s="5" t="s">
        <v>454</v>
      </c>
      <c r="G206" s="10"/>
      <c r="H206" s="8"/>
      <c r="I206" s="8"/>
      <c r="J206" s="8"/>
      <c r="K206" s="8"/>
      <c r="L206" s="8"/>
      <c r="M206" s="8"/>
      <c r="N206" s="8"/>
      <c r="O206" s="8"/>
      <c r="P206" s="8"/>
      <c r="Q206" s="8"/>
      <c r="R206" s="8"/>
      <c r="S206" s="8"/>
      <c r="T206" s="8"/>
      <c r="U206" s="8"/>
      <c r="V206" s="8"/>
    </row>
    <row r="207">
      <c r="A207" s="5" t="s">
        <v>455</v>
      </c>
      <c r="B207" s="6" t="s">
        <v>451</v>
      </c>
      <c r="C207" s="5" t="s">
        <v>358</v>
      </c>
      <c r="D207" s="5" t="s">
        <v>207</v>
      </c>
      <c r="E207" s="5" t="s">
        <v>207</v>
      </c>
      <c r="F207" s="5" t="s">
        <v>456</v>
      </c>
      <c r="G207" s="7" t="s">
        <v>457</v>
      </c>
      <c r="H207" s="8"/>
      <c r="I207" s="8"/>
      <c r="J207" s="8"/>
      <c r="K207" s="8"/>
      <c r="L207" s="8"/>
      <c r="M207" s="8"/>
      <c r="N207" s="8"/>
      <c r="O207" s="8"/>
      <c r="P207" s="8"/>
      <c r="Q207" s="8"/>
      <c r="R207" s="8"/>
      <c r="S207" s="8"/>
      <c r="T207" s="8"/>
      <c r="U207" s="8"/>
      <c r="V207" s="8"/>
    </row>
    <row r="208">
      <c r="A208" s="5" t="s">
        <v>458</v>
      </c>
      <c r="B208" s="6" t="s">
        <v>459</v>
      </c>
      <c r="C208" s="5" t="s">
        <v>358</v>
      </c>
      <c r="D208" s="5" t="s">
        <v>207</v>
      </c>
      <c r="E208" s="5" t="s">
        <v>207</v>
      </c>
      <c r="F208" s="5" t="s">
        <v>460</v>
      </c>
      <c r="G208" s="7" t="s">
        <v>461</v>
      </c>
      <c r="H208" s="8"/>
      <c r="I208" s="8"/>
      <c r="J208" s="8"/>
      <c r="K208" s="8"/>
      <c r="L208" s="8"/>
      <c r="M208" s="8"/>
      <c r="N208" s="8"/>
      <c r="O208" s="8"/>
      <c r="P208" s="8"/>
      <c r="Q208" s="8"/>
      <c r="R208" s="8"/>
      <c r="S208" s="8"/>
      <c r="T208" s="8"/>
      <c r="U208" s="8"/>
      <c r="V208" s="8"/>
    </row>
    <row r="209">
      <c r="A209" s="5" t="s">
        <v>462</v>
      </c>
      <c r="B209" s="6" t="s">
        <v>9</v>
      </c>
      <c r="C209" s="5" t="s">
        <v>358</v>
      </c>
      <c r="D209" s="5" t="s">
        <v>207</v>
      </c>
      <c r="E209" s="5" t="s">
        <v>207</v>
      </c>
      <c r="F209" s="5" t="s">
        <v>360</v>
      </c>
      <c r="G209" s="7" t="s">
        <v>444</v>
      </c>
      <c r="H209" s="8"/>
      <c r="I209" s="8"/>
      <c r="J209" s="8"/>
      <c r="K209" s="8"/>
      <c r="L209" s="8"/>
      <c r="M209" s="8"/>
      <c r="N209" s="8"/>
      <c r="O209" s="8"/>
      <c r="P209" s="8"/>
      <c r="Q209" s="8"/>
      <c r="R209" s="8"/>
      <c r="S209" s="8"/>
      <c r="T209" s="8"/>
      <c r="U209" s="8"/>
      <c r="V209" s="8"/>
    </row>
    <row r="210">
      <c r="A210" s="5" t="s">
        <v>463</v>
      </c>
      <c r="B210" s="6" t="s">
        <v>9</v>
      </c>
      <c r="C210" s="5" t="s">
        <v>358</v>
      </c>
      <c r="D210" s="5" t="s">
        <v>207</v>
      </c>
      <c r="E210" s="5" t="s">
        <v>207</v>
      </c>
      <c r="F210" s="5" t="s">
        <v>464</v>
      </c>
      <c r="G210" s="7" t="s">
        <v>363</v>
      </c>
      <c r="H210" s="8"/>
      <c r="I210" s="8"/>
      <c r="J210" s="8"/>
      <c r="K210" s="8"/>
      <c r="L210" s="8"/>
      <c r="M210" s="8"/>
      <c r="N210" s="8"/>
      <c r="O210" s="8"/>
      <c r="P210" s="8"/>
      <c r="Q210" s="8"/>
      <c r="R210" s="8"/>
      <c r="S210" s="8"/>
      <c r="T210" s="8"/>
      <c r="U210" s="8"/>
      <c r="V210" s="8"/>
    </row>
    <row r="211">
      <c r="A211" s="5" t="s">
        <v>465</v>
      </c>
      <c r="B211" s="6" t="s">
        <v>9</v>
      </c>
      <c r="C211" s="5" t="s">
        <v>358</v>
      </c>
      <c r="D211" s="5" t="s">
        <v>207</v>
      </c>
      <c r="E211" s="5" t="s">
        <v>207</v>
      </c>
      <c r="F211" s="5" t="s">
        <v>466</v>
      </c>
      <c r="G211" s="7" t="s">
        <v>467</v>
      </c>
      <c r="H211" s="8"/>
      <c r="I211" s="8"/>
      <c r="J211" s="8"/>
      <c r="K211" s="8"/>
      <c r="L211" s="8"/>
      <c r="M211" s="8"/>
      <c r="N211" s="8"/>
      <c r="O211" s="8"/>
      <c r="P211" s="8"/>
      <c r="Q211" s="8"/>
      <c r="R211" s="8"/>
      <c r="S211" s="8"/>
      <c r="T211" s="8"/>
      <c r="U211" s="8"/>
      <c r="V211" s="8"/>
    </row>
    <row r="212">
      <c r="A212" s="5" t="s">
        <v>468</v>
      </c>
      <c r="B212" s="6" t="s">
        <v>9</v>
      </c>
      <c r="C212" s="5" t="s">
        <v>358</v>
      </c>
      <c r="D212" s="5" t="s">
        <v>207</v>
      </c>
      <c r="E212" s="5" t="s">
        <v>207</v>
      </c>
      <c r="F212" s="5" t="s">
        <v>469</v>
      </c>
      <c r="G212" s="7" t="s">
        <v>470</v>
      </c>
      <c r="H212" s="8"/>
      <c r="I212" s="8"/>
      <c r="J212" s="8"/>
      <c r="K212" s="8"/>
      <c r="L212" s="8"/>
      <c r="M212" s="8"/>
      <c r="N212" s="8"/>
      <c r="O212" s="8"/>
      <c r="P212" s="8"/>
      <c r="Q212" s="8"/>
      <c r="R212" s="8"/>
      <c r="S212" s="8"/>
      <c r="T212" s="8"/>
      <c r="U212" s="8"/>
      <c r="V212" s="8"/>
    </row>
    <row r="213">
      <c r="A213" s="5" t="s">
        <v>471</v>
      </c>
      <c r="B213" s="11"/>
      <c r="C213" s="5" t="s">
        <v>358</v>
      </c>
      <c r="D213" s="5" t="s">
        <v>207</v>
      </c>
      <c r="E213" s="5" t="s">
        <v>207</v>
      </c>
      <c r="F213" s="5" t="s">
        <v>472</v>
      </c>
      <c r="G213" s="7" t="s">
        <v>473</v>
      </c>
      <c r="H213" s="8"/>
      <c r="I213" s="8"/>
      <c r="J213" s="8"/>
      <c r="K213" s="8"/>
      <c r="L213" s="8"/>
      <c r="M213" s="8"/>
      <c r="N213" s="8"/>
      <c r="O213" s="8"/>
      <c r="P213" s="8"/>
      <c r="Q213" s="8"/>
      <c r="R213" s="8"/>
      <c r="S213" s="8"/>
      <c r="T213" s="8"/>
      <c r="U213" s="8"/>
      <c r="V213" s="8"/>
    </row>
    <row r="214">
      <c r="A214" s="5" t="s">
        <v>474</v>
      </c>
      <c r="B214" s="6" t="s">
        <v>9</v>
      </c>
      <c r="C214" s="5" t="s">
        <v>358</v>
      </c>
      <c r="D214" s="5" t="s">
        <v>207</v>
      </c>
      <c r="E214" s="5" t="s">
        <v>207</v>
      </c>
      <c r="F214" s="5" t="s">
        <v>376</v>
      </c>
      <c r="G214" s="7" t="s">
        <v>475</v>
      </c>
      <c r="H214" s="8"/>
      <c r="I214" s="8"/>
      <c r="J214" s="8"/>
      <c r="K214" s="8"/>
      <c r="L214" s="8"/>
      <c r="M214" s="8"/>
      <c r="N214" s="8"/>
      <c r="O214" s="8"/>
      <c r="P214" s="8"/>
      <c r="Q214" s="8"/>
      <c r="R214" s="8"/>
      <c r="S214" s="8"/>
      <c r="T214" s="8"/>
      <c r="U214" s="8"/>
      <c r="V214" s="8"/>
    </row>
    <row r="215">
      <c r="A215" s="5" t="s">
        <v>476</v>
      </c>
      <c r="B215" s="6" t="s">
        <v>9</v>
      </c>
      <c r="C215" s="5" t="s">
        <v>358</v>
      </c>
      <c r="D215" s="5" t="s">
        <v>207</v>
      </c>
      <c r="E215" s="5" t="s">
        <v>207</v>
      </c>
      <c r="F215" s="5" t="s">
        <v>477</v>
      </c>
      <c r="G215" s="7" t="s">
        <v>478</v>
      </c>
      <c r="H215" s="8"/>
      <c r="I215" s="8"/>
      <c r="J215" s="8"/>
      <c r="K215" s="8"/>
      <c r="L215" s="8"/>
      <c r="M215" s="8"/>
      <c r="N215" s="8"/>
      <c r="O215" s="8"/>
      <c r="P215" s="8"/>
      <c r="Q215" s="8"/>
      <c r="R215" s="8"/>
      <c r="S215" s="8"/>
      <c r="T215" s="8"/>
      <c r="U215" s="8"/>
      <c r="V215" s="8"/>
    </row>
    <row r="216">
      <c r="A216" s="5" t="s">
        <v>479</v>
      </c>
      <c r="B216" s="6" t="s">
        <v>480</v>
      </c>
      <c r="C216" s="5" t="s">
        <v>358</v>
      </c>
      <c r="D216" s="5" t="s">
        <v>268</v>
      </c>
      <c r="E216" s="5" t="s">
        <v>207</v>
      </c>
      <c r="F216" s="5" t="s">
        <v>364</v>
      </c>
      <c r="G216" s="7" t="s">
        <v>481</v>
      </c>
      <c r="H216" s="8"/>
      <c r="I216" s="8"/>
      <c r="J216" s="8"/>
      <c r="K216" s="8"/>
      <c r="L216" s="8"/>
      <c r="M216" s="8"/>
      <c r="N216" s="8"/>
      <c r="O216" s="8"/>
      <c r="P216" s="8"/>
      <c r="Q216" s="8"/>
      <c r="R216" s="8"/>
      <c r="S216" s="8"/>
      <c r="T216" s="8"/>
      <c r="U216" s="8"/>
      <c r="V216" s="8"/>
    </row>
    <row r="217">
      <c r="A217" s="5" t="s">
        <v>482</v>
      </c>
      <c r="B217" s="6" t="s">
        <v>342</v>
      </c>
      <c r="C217" s="5" t="s">
        <v>358</v>
      </c>
      <c r="D217" s="5" t="s">
        <v>343</v>
      </c>
      <c r="E217" s="5" t="s">
        <v>207</v>
      </c>
      <c r="F217" s="5" t="s">
        <v>364</v>
      </c>
      <c r="G217" s="7" t="s">
        <v>483</v>
      </c>
      <c r="H217" s="8"/>
      <c r="I217" s="8"/>
      <c r="J217" s="8"/>
      <c r="K217" s="8"/>
      <c r="L217" s="8"/>
      <c r="M217" s="8"/>
      <c r="N217" s="8"/>
      <c r="O217" s="8"/>
      <c r="P217" s="8"/>
      <c r="Q217" s="8"/>
      <c r="R217" s="8"/>
      <c r="S217" s="8"/>
      <c r="T217" s="8"/>
      <c r="U217" s="8"/>
      <c r="V217" s="8"/>
    </row>
    <row r="218">
      <c r="A218" s="5" t="s">
        <v>484</v>
      </c>
      <c r="B218" s="6" t="s">
        <v>485</v>
      </c>
      <c r="C218" s="5" t="s">
        <v>358</v>
      </c>
      <c r="D218" s="5" t="s">
        <v>486</v>
      </c>
      <c r="E218" s="5" t="s">
        <v>207</v>
      </c>
      <c r="F218" s="5" t="s">
        <v>364</v>
      </c>
      <c r="G218" s="7" t="s">
        <v>487</v>
      </c>
      <c r="H218" s="8"/>
      <c r="I218" s="8"/>
      <c r="J218" s="8"/>
      <c r="K218" s="8"/>
      <c r="L218" s="8"/>
      <c r="M218" s="8"/>
      <c r="N218" s="8"/>
      <c r="O218" s="8"/>
      <c r="P218" s="8"/>
      <c r="Q218" s="8"/>
      <c r="R218" s="8"/>
      <c r="S218" s="8"/>
      <c r="T218" s="8"/>
      <c r="U218" s="8"/>
      <c r="V218" s="8"/>
    </row>
    <row r="219">
      <c r="A219" s="5" t="s">
        <v>488</v>
      </c>
      <c r="B219" s="6" t="s">
        <v>489</v>
      </c>
      <c r="C219" s="5" t="s">
        <v>358</v>
      </c>
      <c r="D219" s="5" t="s">
        <v>486</v>
      </c>
      <c r="E219" s="5" t="s">
        <v>207</v>
      </c>
      <c r="F219" s="5" t="s">
        <v>364</v>
      </c>
      <c r="G219" s="7" t="s">
        <v>490</v>
      </c>
      <c r="H219" s="8"/>
      <c r="I219" s="8"/>
      <c r="J219" s="8"/>
      <c r="K219" s="8"/>
      <c r="L219" s="8"/>
      <c r="M219" s="8"/>
      <c r="N219" s="8"/>
      <c r="O219" s="8"/>
      <c r="P219" s="8"/>
      <c r="Q219" s="8"/>
      <c r="R219" s="8"/>
      <c r="S219" s="8"/>
      <c r="T219" s="8"/>
      <c r="U219" s="8"/>
      <c r="V219" s="8"/>
    </row>
    <row r="220">
      <c r="A220" s="5" t="s">
        <v>488</v>
      </c>
      <c r="B220" s="6" t="s">
        <v>9</v>
      </c>
      <c r="C220" s="5" t="s">
        <v>358</v>
      </c>
      <c r="D220" s="5" t="s">
        <v>491</v>
      </c>
      <c r="E220" s="5" t="s">
        <v>492</v>
      </c>
      <c r="F220" s="5" t="s">
        <v>360</v>
      </c>
      <c r="G220" s="7" t="s">
        <v>336</v>
      </c>
      <c r="H220" s="8"/>
      <c r="I220" s="8"/>
      <c r="J220" s="8"/>
      <c r="K220" s="8"/>
      <c r="L220" s="8"/>
      <c r="M220" s="8"/>
      <c r="N220" s="8"/>
      <c r="O220" s="8"/>
      <c r="P220" s="8"/>
      <c r="Q220" s="8"/>
      <c r="R220" s="8"/>
      <c r="S220" s="8"/>
      <c r="T220" s="8"/>
      <c r="U220" s="8"/>
      <c r="V220" s="8"/>
    </row>
    <row r="221">
      <c r="A221" s="5" t="s">
        <v>493</v>
      </c>
      <c r="B221" s="11"/>
      <c r="C221" s="5" t="s">
        <v>358</v>
      </c>
      <c r="D221" s="5" t="s">
        <v>9</v>
      </c>
      <c r="E221" s="5" t="s">
        <v>207</v>
      </c>
      <c r="F221" s="5" t="s">
        <v>360</v>
      </c>
      <c r="G221" s="13" t="s">
        <v>494</v>
      </c>
      <c r="H221" s="8"/>
      <c r="I221" s="8"/>
      <c r="J221" s="8"/>
      <c r="K221" s="8"/>
      <c r="L221" s="8"/>
      <c r="M221" s="8"/>
      <c r="N221" s="8"/>
      <c r="O221" s="8"/>
      <c r="P221" s="8"/>
      <c r="Q221" s="8"/>
      <c r="R221" s="8"/>
      <c r="S221" s="8"/>
      <c r="T221" s="8"/>
      <c r="U221" s="8"/>
      <c r="V221" s="8"/>
    </row>
    <row r="222">
      <c r="A222" s="5" t="s">
        <v>495</v>
      </c>
      <c r="B222" s="11"/>
      <c r="C222" s="5" t="s">
        <v>358</v>
      </c>
      <c r="D222" s="5" t="s">
        <v>9</v>
      </c>
      <c r="E222" s="12" t="s">
        <v>207</v>
      </c>
      <c r="F222" s="5" t="s">
        <v>360</v>
      </c>
      <c r="G222" s="13" t="s">
        <v>496</v>
      </c>
      <c r="H222" s="8"/>
      <c r="I222" s="8"/>
      <c r="J222" s="8"/>
      <c r="K222" s="8"/>
      <c r="L222" s="8"/>
      <c r="M222" s="8"/>
      <c r="N222" s="8"/>
      <c r="O222" s="8"/>
      <c r="P222" s="8"/>
      <c r="Q222" s="8"/>
      <c r="R222" s="8"/>
      <c r="S222" s="8"/>
      <c r="T222" s="8"/>
      <c r="U222" s="8"/>
      <c r="V222" s="8"/>
    </row>
    <row r="223">
      <c r="A223" s="5" t="s">
        <v>497</v>
      </c>
      <c r="B223" s="6" t="s">
        <v>9</v>
      </c>
      <c r="C223" s="5" t="s">
        <v>358</v>
      </c>
      <c r="D223" s="5" t="s">
        <v>9</v>
      </c>
      <c r="E223" s="5" t="s">
        <v>207</v>
      </c>
      <c r="F223" s="5" t="s">
        <v>360</v>
      </c>
      <c r="G223" s="7" t="s">
        <v>498</v>
      </c>
      <c r="H223" s="8"/>
      <c r="I223" s="8"/>
      <c r="J223" s="8"/>
      <c r="K223" s="8"/>
      <c r="L223" s="8"/>
      <c r="M223" s="8"/>
      <c r="N223" s="8"/>
      <c r="O223" s="8"/>
      <c r="P223" s="8"/>
      <c r="Q223" s="8"/>
      <c r="R223" s="8"/>
      <c r="S223" s="8"/>
      <c r="T223" s="8"/>
      <c r="U223" s="8"/>
      <c r="V223" s="8"/>
    </row>
    <row r="224">
      <c r="A224" s="5" t="s">
        <v>499</v>
      </c>
      <c r="B224" s="6" t="s">
        <v>9</v>
      </c>
      <c r="C224" s="5" t="s">
        <v>358</v>
      </c>
      <c r="D224" s="5" t="s">
        <v>9</v>
      </c>
      <c r="E224" s="5" t="s">
        <v>207</v>
      </c>
      <c r="F224" s="5" t="s">
        <v>360</v>
      </c>
      <c r="G224" s="7" t="s">
        <v>500</v>
      </c>
      <c r="H224" s="8"/>
      <c r="I224" s="8"/>
      <c r="J224" s="8"/>
      <c r="K224" s="8"/>
      <c r="L224" s="8"/>
      <c r="M224" s="8"/>
      <c r="N224" s="8"/>
      <c r="O224" s="8"/>
      <c r="P224" s="8"/>
      <c r="Q224" s="8"/>
      <c r="R224" s="8"/>
      <c r="S224" s="8"/>
      <c r="T224" s="8"/>
      <c r="U224" s="8"/>
      <c r="V224" s="8"/>
    </row>
    <row r="225">
      <c r="A225" s="8"/>
      <c r="B225" s="11"/>
      <c r="C225" s="5"/>
      <c r="D225" s="5"/>
      <c r="E225" s="5"/>
      <c r="F225" s="5"/>
      <c r="G225" s="10"/>
      <c r="H225" s="8"/>
      <c r="I225" s="8"/>
      <c r="J225" s="8"/>
      <c r="K225" s="8"/>
      <c r="L225" s="8"/>
      <c r="M225" s="8"/>
      <c r="N225" s="8"/>
      <c r="O225" s="8"/>
      <c r="P225" s="8"/>
      <c r="Q225" s="8"/>
      <c r="R225" s="8"/>
      <c r="S225" s="8"/>
      <c r="T225" s="8"/>
      <c r="U225" s="8"/>
      <c r="V225" s="8"/>
    </row>
    <row r="226">
      <c r="A226" s="8"/>
      <c r="B226" s="11"/>
      <c r="C226" s="5"/>
      <c r="D226" s="5"/>
      <c r="E226" s="5"/>
      <c r="F226" s="5"/>
      <c r="G226" s="10"/>
      <c r="H226" s="8"/>
      <c r="I226" s="8"/>
      <c r="J226" s="8"/>
      <c r="K226" s="8"/>
      <c r="L226" s="8"/>
      <c r="M226" s="8"/>
      <c r="N226" s="8"/>
      <c r="O226" s="8"/>
      <c r="P226" s="8"/>
      <c r="Q226" s="8"/>
      <c r="R226" s="8"/>
      <c r="S226" s="8"/>
      <c r="T226" s="8"/>
      <c r="U226" s="8"/>
      <c r="V226" s="8"/>
    </row>
    <row r="227">
      <c r="A227" s="8"/>
      <c r="B227" s="11"/>
      <c r="C227" s="5"/>
      <c r="D227" s="5"/>
      <c r="E227" s="5"/>
      <c r="F227" s="5"/>
      <c r="G227" s="10"/>
      <c r="H227" s="8"/>
      <c r="I227" s="8"/>
      <c r="J227" s="8"/>
      <c r="K227" s="8"/>
      <c r="L227" s="8"/>
      <c r="M227" s="8"/>
      <c r="N227" s="8"/>
      <c r="O227" s="8"/>
      <c r="P227" s="8"/>
      <c r="Q227" s="8"/>
      <c r="R227" s="8"/>
      <c r="S227" s="8"/>
      <c r="T227" s="8"/>
      <c r="U227" s="8"/>
      <c r="V227" s="8"/>
    </row>
    <row r="228">
      <c r="A228" s="8"/>
      <c r="B228" s="11"/>
      <c r="C228" s="5"/>
      <c r="D228" s="5"/>
      <c r="E228" s="5"/>
      <c r="F228" s="5"/>
      <c r="G228" s="10"/>
      <c r="H228" s="8"/>
      <c r="I228" s="8"/>
      <c r="J228" s="8"/>
      <c r="K228" s="8"/>
      <c r="L228" s="8"/>
      <c r="M228" s="8"/>
      <c r="N228" s="8"/>
      <c r="O228" s="8"/>
      <c r="P228" s="8"/>
      <c r="Q228" s="8"/>
      <c r="R228" s="8"/>
      <c r="S228" s="8"/>
      <c r="T228" s="8"/>
      <c r="U228" s="8"/>
      <c r="V228" s="8"/>
    </row>
    <row r="229">
      <c r="A229" s="12" t="s">
        <v>501</v>
      </c>
      <c r="B229" s="11"/>
      <c r="C229" s="12" t="s">
        <v>502</v>
      </c>
      <c r="D229" s="5"/>
      <c r="E229" s="5" t="s">
        <v>359</v>
      </c>
      <c r="F229" s="5"/>
      <c r="G229" s="10"/>
      <c r="H229" s="8"/>
      <c r="I229" s="8"/>
      <c r="J229" s="8"/>
      <c r="K229" s="8"/>
      <c r="L229" s="8"/>
      <c r="M229" s="8"/>
      <c r="N229" s="8"/>
      <c r="O229" s="8"/>
      <c r="P229" s="8"/>
      <c r="Q229" s="8"/>
      <c r="R229" s="8"/>
      <c r="S229" s="8"/>
      <c r="T229" s="8"/>
      <c r="U229" s="8"/>
      <c r="V229" s="8"/>
    </row>
    <row r="230">
      <c r="A230" s="5" t="s">
        <v>503</v>
      </c>
      <c r="B230" s="11"/>
      <c r="C230" s="12" t="s">
        <v>502</v>
      </c>
      <c r="D230" s="5"/>
      <c r="E230" s="12" t="s">
        <v>359</v>
      </c>
      <c r="F230" s="5"/>
      <c r="G230" s="10"/>
      <c r="H230" s="8"/>
      <c r="I230" s="8"/>
      <c r="J230" s="8"/>
      <c r="K230" s="8"/>
      <c r="L230" s="8"/>
      <c r="M230" s="8"/>
      <c r="N230" s="8"/>
      <c r="O230" s="8"/>
      <c r="P230" s="8"/>
      <c r="Q230" s="8"/>
      <c r="R230" s="8"/>
      <c r="S230" s="8"/>
      <c r="T230" s="8"/>
      <c r="U230" s="8"/>
      <c r="V230" s="8"/>
    </row>
    <row r="231">
      <c r="A231" s="5" t="s">
        <v>504</v>
      </c>
      <c r="B231" s="11"/>
      <c r="C231" s="5" t="s">
        <v>502</v>
      </c>
      <c r="D231" s="12" t="s">
        <v>153</v>
      </c>
      <c r="E231" s="12" t="s">
        <v>359</v>
      </c>
      <c r="F231" s="8"/>
      <c r="G231" s="10"/>
      <c r="H231" s="8"/>
      <c r="I231" s="8"/>
      <c r="J231" s="8"/>
      <c r="K231" s="8"/>
      <c r="L231" s="8"/>
      <c r="M231" s="8"/>
      <c r="N231" s="8"/>
      <c r="O231" s="8"/>
      <c r="P231" s="8"/>
      <c r="Q231" s="8"/>
      <c r="R231" s="8"/>
      <c r="S231" s="8"/>
      <c r="T231" s="8"/>
      <c r="U231" s="8"/>
      <c r="V231" s="8"/>
    </row>
    <row r="232">
      <c r="A232" s="12" t="s">
        <v>505</v>
      </c>
      <c r="B232" s="11"/>
      <c r="C232" s="5" t="s">
        <v>502</v>
      </c>
      <c r="D232" s="5"/>
      <c r="E232" s="5"/>
      <c r="F232" s="5" t="s">
        <v>506</v>
      </c>
      <c r="G232" s="10"/>
      <c r="H232" s="8"/>
      <c r="I232" s="8"/>
      <c r="J232" s="8"/>
      <c r="K232" s="8"/>
      <c r="L232" s="8"/>
      <c r="M232" s="8"/>
      <c r="N232" s="8"/>
      <c r="O232" s="8"/>
      <c r="P232" s="8"/>
      <c r="Q232" s="8"/>
      <c r="R232" s="8"/>
      <c r="S232" s="8"/>
      <c r="T232" s="8"/>
      <c r="U232" s="8"/>
      <c r="V232" s="8"/>
    </row>
    <row r="233">
      <c r="A233" s="5" t="s">
        <v>507</v>
      </c>
      <c r="B233" s="11"/>
      <c r="C233" s="5" t="s">
        <v>502</v>
      </c>
      <c r="D233" s="5"/>
      <c r="E233" s="5"/>
      <c r="F233" s="5" t="s">
        <v>508</v>
      </c>
      <c r="G233" s="10"/>
      <c r="H233" s="8"/>
      <c r="I233" s="8"/>
      <c r="J233" s="8"/>
      <c r="K233" s="8"/>
      <c r="L233" s="8"/>
      <c r="M233" s="8"/>
      <c r="N233" s="8"/>
      <c r="O233" s="8"/>
      <c r="P233" s="8"/>
      <c r="Q233" s="8"/>
      <c r="R233" s="8"/>
      <c r="S233" s="8"/>
      <c r="T233" s="8"/>
      <c r="U233" s="8"/>
      <c r="V233" s="8"/>
    </row>
    <row r="234">
      <c r="A234" s="12" t="s">
        <v>509</v>
      </c>
      <c r="B234" s="11"/>
      <c r="C234" s="5" t="s">
        <v>502</v>
      </c>
      <c r="D234" s="5" t="s">
        <v>510</v>
      </c>
      <c r="E234" s="5" t="s">
        <v>207</v>
      </c>
      <c r="F234" s="5" t="s">
        <v>511</v>
      </c>
      <c r="G234" s="10"/>
      <c r="H234" s="8"/>
      <c r="I234" s="8"/>
      <c r="J234" s="8"/>
      <c r="K234" s="8"/>
      <c r="L234" s="8"/>
      <c r="M234" s="8"/>
      <c r="N234" s="8"/>
      <c r="O234" s="8"/>
      <c r="P234" s="8"/>
      <c r="Q234" s="8"/>
      <c r="R234" s="8"/>
      <c r="S234" s="8"/>
      <c r="T234" s="8"/>
      <c r="U234" s="8"/>
      <c r="V234" s="8"/>
    </row>
    <row r="235">
      <c r="A235" s="5" t="s">
        <v>512</v>
      </c>
      <c r="B235" s="11"/>
      <c r="C235" s="5" t="s">
        <v>502</v>
      </c>
      <c r="D235" s="5"/>
      <c r="E235" s="12" t="s">
        <v>207</v>
      </c>
      <c r="F235" s="5"/>
      <c r="G235" s="7" t="s">
        <v>513</v>
      </c>
      <c r="H235" s="8"/>
      <c r="I235" s="8"/>
      <c r="J235" s="8"/>
      <c r="K235" s="8"/>
      <c r="L235" s="8"/>
      <c r="M235" s="8"/>
      <c r="N235" s="8"/>
      <c r="O235" s="8"/>
      <c r="P235" s="8"/>
      <c r="Q235" s="8"/>
      <c r="R235" s="8"/>
      <c r="S235" s="8"/>
      <c r="T235" s="8"/>
      <c r="U235" s="8"/>
      <c r="V235" s="8"/>
    </row>
    <row r="236">
      <c r="A236" s="5" t="s">
        <v>514</v>
      </c>
      <c r="B236" s="11"/>
      <c r="C236" s="5" t="s">
        <v>502</v>
      </c>
      <c r="D236" s="5"/>
      <c r="E236" s="5" t="s">
        <v>207</v>
      </c>
      <c r="F236" s="5" t="s">
        <v>515</v>
      </c>
      <c r="G236" s="10"/>
      <c r="H236" s="8"/>
      <c r="I236" s="8"/>
      <c r="J236" s="8"/>
      <c r="K236" s="8"/>
      <c r="L236" s="8"/>
      <c r="M236" s="8"/>
      <c r="N236" s="8"/>
      <c r="O236" s="8"/>
      <c r="P236" s="8"/>
      <c r="Q236" s="8"/>
      <c r="R236" s="8"/>
      <c r="S236" s="8"/>
      <c r="T236" s="8"/>
      <c r="U236" s="8"/>
      <c r="V236" s="8"/>
    </row>
    <row r="237">
      <c r="A237" s="5" t="s">
        <v>516</v>
      </c>
      <c r="B237" s="11"/>
      <c r="C237" s="5" t="s">
        <v>502</v>
      </c>
      <c r="D237" s="5"/>
      <c r="E237" s="5"/>
      <c r="F237" s="5"/>
      <c r="G237" s="10"/>
      <c r="H237" s="8"/>
      <c r="I237" s="8"/>
      <c r="J237" s="8"/>
      <c r="K237" s="8"/>
      <c r="L237" s="8"/>
      <c r="M237" s="8"/>
      <c r="N237" s="8"/>
      <c r="O237" s="8"/>
      <c r="P237" s="8"/>
      <c r="Q237" s="8"/>
      <c r="R237" s="8"/>
      <c r="S237" s="8"/>
      <c r="T237" s="8"/>
      <c r="U237" s="8"/>
      <c r="V237" s="8"/>
    </row>
    <row r="238">
      <c r="A238" s="5" t="s">
        <v>517</v>
      </c>
      <c r="B238" s="11"/>
      <c r="C238" s="5" t="s">
        <v>502</v>
      </c>
      <c r="D238" s="5"/>
      <c r="E238" s="5"/>
      <c r="F238" s="5"/>
      <c r="G238" s="10"/>
      <c r="H238" s="8"/>
      <c r="I238" s="8"/>
      <c r="J238" s="8"/>
      <c r="K238" s="8"/>
      <c r="L238" s="8"/>
      <c r="M238" s="8"/>
      <c r="N238" s="8"/>
      <c r="O238" s="8"/>
      <c r="P238" s="8"/>
      <c r="Q238" s="8"/>
      <c r="R238" s="8"/>
      <c r="S238" s="8"/>
      <c r="T238" s="8"/>
      <c r="U238" s="8"/>
      <c r="V238" s="8"/>
    </row>
    <row r="239">
      <c r="A239" s="5" t="s">
        <v>518</v>
      </c>
      <c r="B239" s="11"/>
      <c r="C239" s="5" t="s">
        <v>502</v>
      </c>
      <c r="D239" s="5"/>
      <c r="E239" s="5"/>
      <c r="F239" s="5"/>
      <c r="G239" s="10"/>
      <c r="H239" s="8"/>
      <c r="I239" s="8"/>
      <c r="J239" s="8"/>
      <c r="K239" s="8"/>
      <c r="L239" s="8"/>
      <c r="M239" s="8"/>
      <c r="N239" s="8"/>
      <c r="O239" s="8"/>
      <c r="P239" s="8"/>
      <c r="Q239" s="8"/>
      <c r="R239" s="8"/>
      <c r="S239" s="8"/>
      <c r="T239" s="8"/>
      <c r="U239" s="8"/>
      <c r="V239" s="8"/>
    </row>
    <row r="240">
      <c r="A240" s="5" t="s">
        <v>519</v>
      </c>
      <c r="B240" s="11"/>
      <c r="C240" s="5" t="s">
        <v>502</v>
      </c>
      <c r="D240" s="5"/>
      <c r="E240" s="5"/>
      <c r="F240" s="5"/>
      <c r="G240" s="10"/>
      <c r="H240" s="8"/>
      <c r="I240" s="8"/>
      <c r="J240" s="8"/>
      <c r="K240" s="8"/>
      <c r="L240" s="8"/>
      <c r="M240" s="8"/>
      <c r="N240" s="8"/>
      <c r="O240" s="8"/>
      <c r="P240" s="8"/>
      <c r="Q240" s="8"/>
      <c r="R240" s="8"/>
      <c r="S240" s="8"/>
      <c r="T240" s="8"/>
      <c r="U240" s="8"/>
      <c r="V240" s="8"/>
    </row>
    <row r="241">
      <c r="A241" s="5" t="s">
        <v>520</v>
      </c>
      <c r="B241" s="11"/>
      <c r="C241" s="5" t="s">
        <v>502</v>
      </c>
      <c r="D241" s="5"/>
      <c r="E241" s="5"/>
      <c r="F241" s="5"/>
      <c r="G241" s="10"/>
      <c r="H241" s="8"/>
      <c r="I241" s="8"/>
      <c r="J241" s="8"/>
      <c r="K241" s="8"/>
      <c r="L241" s="8"/>
      <c r="M241" s="8"/>
      <c r="N241" s="8"/>
      <c r="O241" s="8"/>
      <c r="P241" s="8"/>
      <c r="Q241" s="8"/>
      <c r="R241" s="8"/>
      <c r="S241" s="8"/>
      <c r="T241" s="8"/>
      <c r="U241" s="8"/>
      <c r="V241" s="8"/>
    </row>
    <row r="242">
      <c r="A242" s="5" t="s">
        <v>521</v>
      </c>
      <c r="B242" s="11"/>
      <c r="C242" s="5" t="s">
        <v>502</v>
      </c>
      <c r="D242" s="5"/>
      <c r="E242" s="5"/>
      <c r="F242" s="5"/>
      <c r="G242" s="10"/>
      <c r="H242" s="8"/>
      <c r="I242" s="8"/>
      <c r="J242" s="8"/>
      <c r="K242" s="8"/>
      <c r="L242" s="8"/>
      <c r="M242" s="8"/>
      <c r="N242" s="8"/>
      <c r="O242" s="8"/>
      <c r="P242" s="8"/>
      <c r="Q242" s="8"/>
      <c r="R242" s="8"/>
      <c r="S242" s="8"/>
      <c r="T242" s="8"/>
      <c r="U242" s="8"/>
      <c r="V242" s="8"/>
    </row>
    <row r="243">
      <c r="A243" s="5" t="s">
        <v>522</v>
      </c>
      <c r="B243" s="11"/>
      <c r="C243" s="5" t="s">
        <v>502</v>
      </c>
      <c r="D243" s="5"/>
      <c r="E243" s="5"/>
      <c r="F243" s="5"/>
      <c r="G243" s="10"/>
      <c r="H243" s="8"/>
      <c r="I243" s="8"/>
      <c r="J243" s="8"/>
      <c r="K243" s="8"/>
      <c r="L243" s="8"/>
      <c r="M243" s="8"/>
      <c r="N243" s="8"/>
      <c r="O243" s="8"/>
      <c r="P243" s="8"/>
      <c r="Q243" s="8"/>
      <c r="R243" s="8"/>
      <c r="S243" s="8"/>
      <c r="T243" s="8"/>
      <c r="U243" s="8"/>
      <c r="V243" s="8"/>
    </row>
    <row r="244">
      <c r="A244" s="5" t="s">
        <v>523</v>
      </c>
      <c r="B244" s="11"/>
      <c r="C244" s="5" t="s">
        <v>502</v>
      </c>
      <c r="D244" s="5" t="s">
        <v>510</v>
      </c>
      <c r="E244" s="5" t="s">
        <v>207</v>
      </c>
      <c r="F244" s="5" t="s">
        <v>524</v>
      </c>
      <c r="G244" s="7" t="s">
        <v>525</v>
      </c>
      <c r="H244" s="8"/>
      <c r="I244" s="8"/>
      <c r="J244" s="8"/>
      <c r="K244" s="8"/>
      <c r="L244" s="8"/>
      <c r="M244" s="8"/>
      <c r="N244" s="8"/>
      <c r="O244" s="8"/>
      <c r="P244" s="8"/>
      <c r="Q244" s="8"/>
      <c r="R244" s="8"/>
      <c r="S244" s="8"/>
      <c r="T244" s="8"/>
      <c r="U244" s="8"/>
      <c r="V244" s="8"/>
    </row>
    <row r="245">
      <c r="A245" s="5" t="s">
        <v>526</v>
      </c>
      <c r="B245" s="11"/>
      <c r="C245" s="5" t="s">
        <v>502</v>
      </c>
      <c r="D245" s="5"/>
      <c r="E245" s="5"/>
      <c r="F245" s="5"/>
      <c r="G245" s="10"/>
      <c r="H245" s="8"/>
      <c r="I245" s="8"/>
      <c r="J245" s="8"/>
      <c r="K245" s="8"/>
      <c r="L245" s="8"/>
      <c r="M245" s="8"/>
      <c r="N245" s="8"/>
      <c r="O245" s="8"/>
      <c r="P245" s="8"/>
      <c r="Q245" s="8"/>
      <c r="R245" s="8"/>
      <c r="S245" s="8"/>
      <c r="T245" s="8"/>
      <c r="U245" s="8"/>
      <c r="V245" s="8"/>
    </row>
    <row r="246">
      <c r="A246" s="5" t="s">
        <v>527</v>
      </c>
      <c r="B246" s="11"/>
      <c r="C246" s="5" t="s">
        <v>502</v>
      </c>
      <c r="D246" s="5"/>
      <c r="E246" s="5"/>
      <c r="F246" s="5"/>
      <c r="G246" s="10"/>
      <c r="H246" s="8"/>
      <c r="I246" s="8"/>
      <c r="J246" s="8"/>
      <c r="K246" s="8"/>
      <c r="L246" s="8"/>
      <c r="M246" s="8"/>
      <c r="N246" s="8"/>
      <c r="O246" s="8"/>
      <c r="P246" s="8"/>
      <c r="Q246" s="8"/>
      <c r="R246" s="8"/>
      <c r="S246" s="8"/>
      <c r="T246" s="8"/>
      <c r="U246" s="8"/>
      <c r="V246" s="8"/>
    </row>
    <row r="247">
      <c r="A247" s="5" t="s">
        <v>528</v>
      </c>
      <c r="B247" s="11"/>
      <c r="C247" s="5" t="s">
        <v>502</v>
      </c>
      <c r="D247" s="5"/>
      <c r="E247" s="5"/>
      <c r="F247" s="5"/>
      <c r="G247" s="10"/>
      <c r="H247" s="8"/>
      <c r="I247" s="8"/>
      <c r="J247" s="8"/>
      <c r="K247" s="8"/>
      <c r="L247" s="8"/>
      <c r="M247" s="8"/>
      <c r="N247" s="8"/>
      <c r="O247" s="8"/>
      <c r="P247" s="8"/>
      <c r="Q247" s="8"/>
      <c r="R247" s="8"/>
      <c r="S247" s="8"/>
      <c r="T247" s="8"/>
      <c r="U247" s="8"/>
      <c r="V247" s="8"/>
    </row>
    <row r="248">
      <c r="A248" s="5" t="s">
        <v>529</v>
      </c>
      <c r="B248" s="11"/>
      <c r="C248" s="5" t="s">
        <v>502</v>
      </c>
      <c r="D248" s="5"/>
      <c r="E248" s="5"/>
      <c r="F248" s="5"/>
      <c r="G248" s="10"/>
      <c r="H248" s="8"/>
      <c r="I248" s="8"/>
      <c r="J248" s="8"/>
      <c r="K248" s="8"/>
      <c r="L248" s="8"/>
      <c r="M248" s="8"/>
      <c r="N248" s="8"/>
      <c r="O248" s="8"/>
      <c r="P248" s="8"/>
      <c r="Q248" s="8"/>
      <c r="R248" s="8"/>
      <c r="S248" s="8"/>
      <c r="T248" s="8"/>
      <c r="U248" s="8"/>
      <c r="V248" s="8"/>
    </row>
    <row r="249">
      <c r="A249" s="5" t="s">
        <v>530</v>
      </c>
      <c r="B249" s="11"/>
      <c r="C249" s="5" t="s">
        <v>502</v>
      </c>
      <c r="D249" s="5"/>
      <c r="E249" s="5"/>
      <c r="F249" s="5"/>
      <c r="G249" s="10"/>
      <c r="H249" s="8"/>
      <c r="I249" s="8"/>
      <c r="J249" s="8"/>
      <c r="K249" s="8"/>
      <c r="L249" s="8"/>
      <c r="M249" s="8"/>
      <c r="N249" s="8"/>
      <c r="O249" s="8"/>
      <c r="P249" s="8"/>
      <c r="Q249" s="8"/>
      <c r="R249" s="8"/>
      <c r="S249" s="8"/>
      <c r="T249" s="8"/>
      <c r="U249" s="8"/>
      <c r="V249" s="8"/>
    </row>
    <row r="250">
      <c r="A250" s="5" t="s">
        <v>531</v>
      </c>
      <c r="B250" s="11"/>
      <c r="C250" s="5" t="s">
        <v>502</v>
      </c>
      <c r="D250" s="5"/>
      <c r="E250" s="5"/>
      <c r="F250" s="5"/>
      <c r="G250" s="10"/>
      <c r="H250" s="8"/>
      <c r="I250" s="8"/>
      <c r="J250" s="8"/>
      <c r="K250" s="8"/>
      <c r="L250" s="8"/>
      <c r="M250" s="8"/>
      <c r="N250" s="8"/>
      <c r="O250" s="8"/>
      <c r="P250" s="8"/>
      <c r="Q250" s="8"/>
      <c r="R250" s="8"/>
      <c r="S250" s="8"/>
      <c r="T250" s="8"/>
      <c r="U250" s="8"/>
      <c r="V250" s="8"/>
    </row>
    <row r="251">
      <c r="A251" s="5" t="s">
        <v>532</v>
      </c>
      <c r="B251" s="6" t="s">
        <v>9</v>
      </c>
      <c r="C251" s="5" t="s">
        <v>502</v>
      </c>
      <c r="D251" s="5" t="s">
        <v>207</v>
      </c>
      <c r="E251" s="5" t="s">
        <v>207</v>
      </c>
      <c r="F251" s="5" t="s">
        <v>533</v>
      </c>
      <c r="G251" s="7" t="s">
        <v>9</v>
      </c>
      <c r="H251" s="8"/>
      <c r="I251" s="8"/>
      <c r="J251" s="8"/>
      <c r="K251" s="8"/>
      <c r="L251" s="8"/>
      <c r="M251" s="8"/>
      <c r="N251" s="8"/>
      <c r="O251" s="8"/>
      <c r="P251" s="8"/>
      <c r="Q251" s="8"/>
      <c r="R251" s="8"/>
      <c r="S251" s="8"/>
      <c r="T251" s="8"/>
      <c r="U251" s="8"/>
      <c r="V251" s="8"/>
    </row>
    <row r="252">
      <c r="A252" s="5" t="s">
        <v>534</v>
      </c>
      <c r="B252" s="6" t="s">
        <v>9</v>
      </c>
      <c r="C252" s="5" t="s">
        <v>502</v>
      </c>
      <c r="D252" s="5" t="s">
        <v>69</v>
      </c>
      <c r="E252" s="8"/>
      <c r="F252" s="8"/>
      <c r="G252" s="10"/>
      <c r="H252" s="8"/>
      <c r="I252" s="8"/>
      <c r="J252" s="8"/>
      <c r="K252" s="8"/>
      <c r="L252" s="8"/>
      <c r="M252" s="8"/>
      <c r="N252" s="8"/>
      <c r="O252" s="8"/>
      <c r="P252" s="8"/>
      <c r="Q252" s="8"/>
      <c r="R252" s="8"/>
      <c r="S252" s="8"/>
      <c r="T252" s="8"/>
      <c r="U252" s="8"/>
      <c r="V252" s="8"/>
    </row>
    <row r="253">
      <c r="A253" s="5" t="s">
        <v>535</v>
      </c>
      <c r="B253" s="6" t="s">
        <v>536</v>
      </c>
      <c r="C253" s="5" t="s">
        <v>502</v>
      </c>
      <c r="D253" s="5" t="s">
        <v>128</v>
      </c>
      <c r="E253" s="12" t="s">
        <v>95</v>
      </c>
      <c r="F253" s="5" t="s">
        <v>537</v>
      </c>
      <c r="G253" s="7" t="s">
        <v>538</v>
      </c>
      <c r="H253" s="8"/>
      <c r="I253" s="8"/>
      <c r="J253" s="8"/>
      <c r="K253" s="8"/>
      <c r="L253" s="8"/>
      <c r="M253" s="8"/>
      <c r="N253" s="8"/>
      <c r="O253" s="8"/>
      <c r="P253" s="8"/>
      <c r="Q253" s="8"/>
      <c r="R253" s="8"/>
      <c r="S253" s="8"/>
      <c r="T253" s="8"/>
      <c r="U253" s="8"/>
      <c r="V253" s="8"/>
    </row>
    <row r="254">
      <c r="A254" s="5" t="s">
        <v>539</v>
      </c>
      <c r="B254" s="6" t="s">
        <v>9</v>
      </c>
      <c r="C254" s="5" t="s">
        <v>502</v>
      </c>
      <c r="D254" s="5" t="s">
        <v>207</v>
      </c>
      <c r="E254" s="5" t="s">
        <v>207</v>
      </c>
      <c r="F254" s="5" t="s">
        <v>537</v>
      </c>
      <c r="G254" s="7" t="s">
        <v>540</v>
      </c>
      <c r="H254" s="8"/>
      <c r="I254" s="8"/>
      <c r="J254" s="8"/>
      <c r="K254" s="8"/>
      <c r="L254" s="8"/>
      <c r="M254" s="8"/>
      <c r="N254" s="8"/>
      <c r="O254" s="8"/>
      <c r="P254" s="8"/>
      <c r="Q254" s="8"/>
      <c r="R254" s="8"/>
      <c r="S254" s="8"/>
      <c r="T254" s="8"/>
      <c r="U254" s="8"/>
      <c r="V254" s="8"/>
    </row>
    <row r="255">
      <c r="A255" s="5" t="s">
        <v>541</v>
      </c>
      <c r="B255" s="6" t="s">
        <v>542</v>
      </c>
      <c r="C255" s="5" t="s">
        <v>502</v>
      </c>
      <c r="D255" s="5" t="s">
        <v>207</v>
      </c>
      <c r="E255" s="5" t="s">
        <v>207</v>
      </c>
      <c r="F255" s="5" t="s">
        <v>537</v>
      </c>
      <c r="G255" s="10"/>
      <c r="H255" s="8"/>
      <c r="I255" s="8"/>
      <c r="J255" s="8"/>
      <c r="K255" s="8"/>
      <c r="L255" s="8"/>
      <c r="M255" s="8"/>
      <c r="N255" s="8"/>
      <c r="O255" s="8"/>
      <c r="P255" s="8"/>
      <c r="Q255" s="8"/>
      <c r="R255" s="8"/>
      <c r="S255" s="8"/>
      <c r="T255" s="8"/>
      <c r="U255" s="8"/>
      <c r="V255" s="8"/>
    </row>
    <row r="256">
      <c r="A256" s="8"/>
      <c r="B256" s="11"/>
      <c r="C256" s="8"/>
      <c r="D256" s="8"/>
      <c r="E256" s="8"/>
      <c r="F256" s="8"/>
      <c r="G256" s="10"/>
      <c r="H256" s="8"/>
      <c r="I256" s="8"/>
      <c r="J256" s="8"/>
      <c r="K256" s="8"/>
      <c r="L256" s="8"/>
      <c r="M256" s="8"/>
      <c r="N256" s="8"/>
      <c r="O256" s="8"/>
      <c r="P256" s="8"/>
      <c r="Q256" s="8"/>
      <c r="R256" s="8"/>
      <c r="S256" s="8"/>
      <c r="T256" s="8"/>
      <c r="U256" s="8"/>
      <c r="V256" s="8"/>
    </row>
    <row r="257">
      <c r="A257" s="8"/>
      <c r="B257" s="11"/>
      <c r="C257" s="8"/>
      <c r="D257" s="8"/>
      <c r="E257" s="8"/>
      <c r="F257" s="8"/>
      <c r="G257" s="10"/>
      <c r="H257" s="8"/>
      <c r="I257" s="8"/>
      <c r="J257" s="8"/>
      <c r="K257" s="8"/>
      <c r="L257" s="8"/>
      <c r="M257" s="8"/>
      <c r="N257" s="8"/>
      <c r="O257" s="8"/>
      <c r="P257" s="8"/>
      <c r="Q257" s="8"/>
      <c r="R257" s="8"/>
      <c r="S257" s="8"/>
      <c r="T257" s="8"/>
      <c r="U257" s="8"/>
      <c r="V257" s="8"/>
    </row>
    <row r="258">
      <c r="A258" s="8"/>
      <c r="B258" s="11"/>
      <c r="C258" s="8"/>
      <c r="D258" s="8"/>
      <c r="E258" s="8"/>
      <c r="F258" s="8"/>
      <c r="G258" s="10"/>
      <c r="H258" s="8"/>
      <c r="I258" s="8"/>
      <c r="J258" s="8"/>
      <c r="K258" s="8"/>
      <c r="L258" s="8"/>
      <c r="M258" s="8"/>
      <c r="N258" s="8"/>
      <c r="O258" s="8"/>
      <c r="P258" s="8"/>
      <c r="Q258" s="8"/>
      <c r="R258" s="8"/>
      <c r="S258" s="8"/>
      <c r="T258" s="8"/>
      <c r="U258" s="8"/>
      <c r="V258" s="8"/>
    </row>
    <row r="259">
      <c r="A259" s="8"/>
      <c r="B259" s="11"/>
      <c r="C259" s="8"/>
      <c r="D259" s="8"/>
      <c r="E259" s="8"/>
      <c r="F259" s="8"/>
      <c r="G259" s="10"/>
      <c r="H259" s="8"/>
      <c r="I259" s="8"/>
      <c r="J259" s="8"/>
      <c r="K259" s="8"/>
      <c r="L259" s="8"/>
      <c r="M259" s="8"/>
      <c r="N259" s="8"/>
      <c r="O259" s="8"/>
      <c r="P259" s="8"/>
      <c r="Q259" s="8"/>
      <c r="R259" s="8"/>
      <c r="S259" s="8"/>
      <c r="T259" s="8"/>
      <c r="U259" s="8"/>
      <c r="V259" s="8"/>
    </row>
    <row r="260">
      <c r="A260" s="8"/>
      <c r="B260" s="11"/>
      <c r="C260" s="8"/>
      <c r="D260" s="8"/>
      <c r="E260" s="8"/>
      <c r="F260" s="8"/>
      <c r="G260" s="10"/>
      <c r="H260" s="8"/>
      <c r="I260" s="8"/>
      <c r="J260" s="8"/>
      <c r="K260" s="8"/>
      <c r="L260" s="8"/>
      <c r="M260" s="8"/>
      <c r="N260" s="8"/>
      <c r="O260" s="8"/>
      <c r="P260" s="8"/>
      <c r="Q260" s="8"/>
      <c r="R260" s="8"/>
      <c r="S260" s="8"/>
      <c r="T260" s="8"/>
      <c r="U260" s="8"/>
      <c r="V260" s="8"/>
    </row>
    <row r="261">
      <c r="A261" s="5" t="s">
        <v>543</v>
      </c>
      <c r="B261" s="6" t="s">
        <v>9</v>
      </c>
      <c r="C261" s="5" t="s">
        <v>544</v>
      </c>
      <c r="D261" s="5" t="s">
        <v>510</v>
      </c>
      <c r="E261" s="5" t="s">
        <v>316</v>
      </c>
      <c r="F261" s="5" t="s">
        <v>545</v>
      </c>
      <c r="G261" s="7">
        <v>8.62232047745852E14</v>
      </c>
      <c r="H261" s="8"/>
      <c r="I261" s="8"/>
      <c r="J261" s="8"/>
      <c r="K261" s="8"/>
      <c r="L261" s="8"/>
      <c r="M261" s="8"/>
      <c r="N261" s="8"/>
      <c r="O261" s="8"/>
      <c r="P261" s="8"/>
      <c r="Q261" s="8"/>
      <c r="R261" s="8"/>
      <c r="S261" s="8"/>
      <c r="T261" s="8"/>
      <c r="U261" s="8"/>
      <c r="V261" s="8"/>
    </row>
    <row r="262">
      <c r="A262" s="5" t="s">
        <v>546</v>
      </c>
      <c r="B262" s="6" t="s">
        <v>9</v>
      </c>
      <c r="C262" s="5" t="s">
        <v>544</v>
      </c>
      <c r="D262" s="5" t="s">
        <v>312</v>
      </c>
      <c r="E262" s="5" t="s">
        <v>547</v>
      </c>
      <c r="F262" s="5" t="s">
        <v>9</v>
      </c>
      <c r="G262" s="7" t="s">
        <v>9</v>
      </c>
      <c r="H262" s="8"/>
      <c r="I262" s="5" t="s">
        <v>316</v>
      </c>
      <c r="J262" s="8"/>
      <c r="K262" s="8"/>
      <c r="L262" s="8"/>
      <c r="M262" s="8"/>
      <c r="N262" s="8"/>
      <c r="O262" s="8"/>
      <c r="P262" s="8"/>
      <c r="Q262" s="8"/>
      <c r="R262" s="8"/>
      <c r="S262" s="8"/>
      <c r="T262" s="8"/>
      <c r="U262" s="8"/>
      <c r="V262" s="8"/>
    </row>
    <row r="263">
      <c r="A263" s="5" t="s">
        <v>548</v>
      </c>
      <c r="B263" s="6"/>
      <c r="C263" s="5" t="s">
        <v>544</v>
      </c>
      <c r="D263" s="5" t="s">
        <v>549</v>
      </c>
      <c r="E263" s="5" t="s">
        <v>550</v>
      </c>
      <c r="F263" s="5"/>
      <c r="G263" s="7"/>
      <c r="H263" s="8"/>
      <c r="I263" s="5"/>
      <c r="J263" s="8"/>
      <c r="K263" s="8"/>
      <c r="L263" s="8"/>
      <c r="M263" s="8"/>
      <c r="N263" s="8"/>
      <c r="O263" s="8"/>
      <c r="P263" s="8"/>
      <c r="Q263" s="8"/>
      <c r="R263" s="8"/>
      <c r="S263" s="8"/>
      <c r="T263" s="8"/>
      <c r="U263" s="8"/>
      <c r="V263" s="8"/>
    </row>
    <row r="264">
      <c r="A264" s="5" t="s">
        <v>551</v>
      </c>
      <c r="B264" s="6"/>
      <c r="C264" s="5" t="s">
        <v>544</v>
      </c>
      <c r="D264" s="5" t="s">
        <v>552</v>
      </c>
      <c r="E264" s="5"/>
      <c r="F264" s="5" t="s">
        <v>553</v>
      </c>
      <c r="G264" s="7"/>
      <c r="H264" s="8"/>
      <c r="I264" s="5"/>
      <c r="J264" s="8"/>
      <c r="K264" s="8"/>
      <c r="L264" s="8"/>
      <c r="M264" s="8"/>
      <c r="N264" s="8"/>
      <c r="O264" s="8"/>
      <c r="P264" s="8"/>
      <c r="Q264" s="8"/>
      <c r="R264" s="8"/>
      <c r="S264" s="8"/>
      <c r="T264" s="8"/>
      <c r="U264" s="8"/>
      <c r="V264" s="8"/>
    </row>
    <row r="265">
      <c r="A265" s="5" t="s">
        <v>554</v>
      </c>
      <c r="B265" s="6" t="s">
        <v>9</v>
      </c>
      <c r="C265" s="5" t="s">
        <v>544</v>
      </c>
      <c r="D265" s="5" t="s">
        <v>555</v>
      </c>
      <c r="E265" s="5" t="s">
        <v>556</v>
      </c>
      <c r="F265" s="5" t="s">
        <v>9</v>
      </c>
      <c r="G265" s="7" t="s">
        <v>9</v>
      </c>
      <c r="H265" s="8"/>
      <c r="I265" s="5" t="s">
        <v>316</v>
      </c>
      <c r="J265" s="8"/>
      <c r="K265" s="8"/>
      <c r="L265" s="8"/>
      <c r="M265" s="8"/>
      <c r="N265" s="8"/>
      <c r="O265" s="8"/>
      <c r="P265" s="8"/>
      <c r="Q265" s="8"/>
      <c r="R265" s="8"/>
      <c r="S265" s="8"/>
      <c r="T265" s="8"/>
      <c r="U265" s="8"/>
      <c r="V265" s="8"/>
    </row>
    <row r="266">
      <c r="A266" s="5" t="s">
        <v>557</v>
      </c>
      <c r="B266" s="6"/>
      <c r="C266" s="5" t="s">
        <v>544</v>
      </c>
      <c r="D266" s="5" t="s">
        <v>558</v>
      </c>
      <c r="E266" s="5" t="s">
        <v>316</v>
      </c>
      <c r="F266" s="5"/>
      <c r="G266" s="7"/>
      <c r="H266" s="8"/>
      <c r="I266" s="5"/>
      <c r="J266" s="8"/>
      <c r="K266" s="8"/>
      <c r="L266" s="8"/>
      <c r="M266" s="8"/>
      <c r="N266" s="8"/>
      <c r="O266" s="8"/>
      <c r="P266" s="8"/>
      <c r="Q266" s="8"/>
      <c r="R266" s="8"/>
      <c r="S266" s="8"/>
      <c r="T266" s="8"/>
      <c r="U266" s="8"/>
      <c r="V266" s="8"/>
    </row>
    <row r="267">
      <c r="A267" s="5" t="s">
        <v>559</v>
      </c>
      <c r="B267" s="6"/>
      <c r="C267" s="5" t="s">
        <v>544</v>
      </c>
      <c r="D267" s="5" t="s">
        <v>560</v>
      </c>
      <c r="E267" s="5" t="s">
        <v>561</v>
      </c>
      <c r="F267" s="5"/>
      <c r="G267" s="7">
        <v>8.61539060203374E14</v>
      </c>
      <c r="H267" s="8"/>
      <c r="I267" s="5"/>
      <c r="J267" s="8"/>
      <c r="K267" s="8"/>
      <c r="L267" s="8"/>
      <c r="M267" s="8"/>
      <c r="N267" s="8"/>
      <c r="O267" s="8"/>
      <c r="P267" s="8"/>
      <c r="Q267" s="8"/>
      <c r="R267" s="8"/>
      <c r="S267" s="8"/>
      <c r="T267" s="8"/>
      <c r="U267" s="8"/>
      <c r="V267" s="8"/>
    </row>
    <row r="268">
      <c r="A268" s="5" t="s">
        <v>562</v>
      </c>
      <c r="B268" s="6" t="s">
        <v>9</v>
      </c>
      <c r="C268" s="5" t="s">
        <v>544</v>
      </c>
      <c r="D268" s="5" t="s">
        <v>425</v>
      </c>
      <c r="E268" s="5" t="s">
        <v>563</v>
      </c>
      <c r="F268" s="5" t="s">
        <v>9</v>
      </c>
      <c r="G268" s="7" t="s">
        <v>9</v>
      </c>
      <c r="H268" s="8"/>
      <c r="I268" s="5" t="s">
        <v>316</v>
      </c>
      <c r="J268" s="8"/>
      <c r="K268" s="8"/>
      <c r="L268" s="8"/>
      <c r="M268" s="8"/>
      <c r="N268" s="8"/>
      <c r="O268" s="8"/>
      <c r="P268" s="8"/>
      <c r="Q268" s="8"/>
      <c r="R268" s="8"/>
      <c r="S268" s="8"/>
      <c r="T268" s="8"/>
      <c r="U268" s="8"/>
      <c r="V268" s="8"/>
    </row>
    <row r="269">
      <c r="A269" s="5" t="s">
        <v>564</v>
      </c>
      <c r="B269" s="6"/>
      <c r="C269" s="5" t="s">
        <v>544</v>
      </c>
      <c r="D269" s="5" t="s">
        <v>565</v>
      </c>
      <c r="E269" s="5" t="s">
        <v>207</v>
      </c>
      <c r="F269" s="5" t="s">
        <v>545</v>
      </c>
      <c r="G269" s="7">
        <v>8.61539060207177E14</v>
      </c>
      <c r="H269" s="8"/>
      <c r="I269" s="5"/>
      <c r="J269" s="8"/>
      <c r="K269" s="8"/>
      <c r="L269" s="8"/>
      <c r="M269" s="8"/>
      <c r="N269" s="8"/>
      <c r="O269" s="8"/>
      <c r="P269" s="8"/>
      <c r="Q269" s="8"/>
      <c r="R269" s="8"/>
      <c r="S269" s="8"/>
      <c r="T269" s="8"/>
      <c r="U269" s="8"/>
      <c r="V269" s="8"/>
    </row>
    <row r="270">
      <c r="A270" s="5" t="s">
        <v>566</v>
      </c>
      <c r="B270" s="6" t="s">
        <v>9</v>
      </c>
      <c r="C270" s="5" t="s">
        <v>544</v>
      </c>
      <c r="D270" s="5" t="s">
        <v>560</v>
      </c>
      <c r="E270" s="5" t="s">
        <v>9</v>
      </c>
      <c r="F270" s="5" t="s">
        <v>9</v>
      </c>
      <c r="G270" s="7" t="s">
        <v>9</v>
      </c>
      <c r="H270" s="8"/>
      <c r="I270" s="5" t="s">
        <v>316</v>
      </c>
      <c r="J270" s="8"/>
      <c r="K270" s="8"/>
      <c r="L270" s="8"/>
      <c r="M270" s="8"/>
      <c r="N270" s="8"/>
      <c r="O270" s="8"/>
      <c r="P270" s="8"/>
      <c r="Q270" s="8"/>
      <c r="R270" s="8"/>
      <c r="S270" s="8"/>
      <c r="T270" s="8"/>
      <c r="U270" s="8"/>
      <c r="V270" s="8"/>
    </row>
    <row r="271">
      <c r="A271" s="5" t="s">
        <v>567</v>
      </c>
      <c r="B271" s="11"/>
      <c r="C271" s="5" t="s">
        <v>544</v>
      </c>
      <c r="D271" s="5" t="s">
        <v>272</v>
      </c>
      <c r="E271" s="8"/>
      <c r="F271" s="8"/>
      <c r="G271" s="10"/>
      <c r="H271" s="8"/>
      <c r="I271" s="8"/>
      <c r="J271" s="8"/>
      <c r="K271" s="8"/>
      <c r="L271" s="8"/>
      <c r="M271" s="8"/>
      <c r="N271" s="8"/>
      <c r="O271" s="8"/>
      <c r="P271" s="8"/>
      <c r="Q271" s="8"/>
      <c r="R271" s="8"/>
      <c r="S271" s="8"/>
      <c r="T271" s="8"/>
      <c r="U271" s="8"/>
      <c r="V271" s="8"/>
    </row>
    <row r="272">
      <c r="A272" s="5" t="s">
        <v>568</v>
      </c>
      <c r="B272" s="11"/>
      <c r="C272" s="5" t="s">
        <v>544</v>
      </c>
      <c r="D272" s="5" t="s">
        <v>569</v>
      </c>
      <c r="E272" s="5" t="s">
        <v>316</v>
      </c>
      <c r="F272" s="8"/>
      <c r="G272" s="10"/>
      <c r="H272" s="8"/>
      <c r="I272" s="8"/>
      <c r="J272" s="8"/>
      <c r="K272" s="8"/>
      <c r="L272" s="8"/>
      <c r="M272" s="8"/>
      <c r="N272" s="8"/>
      <c r="O272" s="8"/>
      <c r="P272" s="8"/>
      <c r="Q272" s="8"/>
      <c r="R272" s="8"/>
      <c r="S272" s="8"/>
      <c r="T272" s="8"/>
      <c r="U272" s="8"/>
      <c r="V272" s="8"/>
    </row>
    <row r="273">
      <c r="A273" s="5" t="s">
        <v>570</v>
      </c>
      <c r="B273" s="6" t="s">
        <v>9</v>
      </c>
      <c r="C273" s="5" t="s">
        <v>544</v>
      </c>
      <c r="D273" s="5" t="s">
        <v>9</v>
      </c>
      <c r="E273" s="5" t="s">
        <v>207</v>
      </c>
      <c r="F273" s="5" t="s">
        <v>571</v>
      </c>
      <c r="G273" s="7">
        <v>3.55224362573641E14</v>
      </c>
      <c r="H273" s="8"/>
      <c r="I273" s="8"/>
      <c r="J273" s="8"/>
      <c r="K273" s="8"/>
      <c r="L273" s="8"/>
      <c r="M273" s="8"/>
      <c r="N273" s="8"/>
      <c r="O273" s="8"/>
      <c r="P273" s="8"/>
      <c r="Q273" s="8"/>
      <c r="R273" s="8"/>
      <c r="S273" s="8"/>
      <c r="T273" s="8"/>
      <c r="U273" s="8"/>
      <c r="V273" s="8"/>
    </row>
    <row r="274">
      <c r="A274" s="5" t="s">
        <v>572</v>
      </c>
      <c r="B274" s="6" t="s">
        <v>573</v>
      </c>
      <c r="C274" s="5" t="s">
        <v>544</v>
      </c>
      <c r="D274" s="5" t="s">
        <v>9</v>
      </c>
      <c r="E274" s="5" t="s">
        <v>207</v>
      </c>
      <c r="F274" s="5" t="s">
        <v>574</v>
      </c>
      <c r="G274" s="7">
        <v>3.59933086932E14</v>
      </c>
      <c r="H274" s="8"/>
      <c r="I274" s="8"/>
      <c r="J274" s="8"/>
      <c r="K274" s="8"/>
      <c r="L274" s="8"/>
      <c r="M274" s="8"/>
      <c r="N274" s="8"/>
      <c r="O274" s="8"/>
      <c r="P274" s="8"/>
      <c r="Q274" s="8"/>
      <c r="R274" s="8"/>
      <c r="S274" s="8"/>
      <c r="T274" s="8"/>
      <c r="U274" s="8"/>
      <c r="V274" s="8"/>
    </row>
    <row r="275">
      <c r="A275" s="5" t="s">
        <v>575</v>
      </c>
      <c r="B275" s="6" t="s">
        <v>576</v>
      </c>
      <c r="C275" s="5" t="s">
        <v>544</v>
      </c>
      <c r="D275" s="5" t="s">
        <v>9</v>
      </c>
      <c r="E275" s="5" t="s">
        <v>207</v>
      </c>
      <c r="F275" s="5" t="s">
        <v>577</v>
      </c>
      <c r="G275" s="7" t="s">
        <v>578</v>
      </c>
      <c r="H275" s="8"/>
      <c r="I275" s="8"/>
      <c r="J275" s="8"/>
      <c r="K275" s="8"/>
      <c r="L275" s="8"/>
      <c r="M275" s="8"/>
      <c r="N275" s="8"/>
      <c r="O275" s="8"/>
      <c r="P275" s="8"/>
      <c r="Q275" s="8"/>
      <c r="R275" s="8"/>
      <c r="S275" s="8"/>
      <c r="T275" s="8"/>
      <c r="U275" s="8"/>
      <c r="V275" s="8"/>
    </row>
    <row r="276">
      <c r="A276" s="5" t="s">
        <v>579</v>
      </c>
      <c r="B276" s="6" t="s">
        <v>9</v>
      </c>
      <c r="C276" s="5" t="s">
        <v>544</v>
      </c>
      <c r="D276" s="5" t="s">
        <v>9</v>
      </c>
      <c r="E276" s="5" t="s">
        <v>207</v>
      </c>
      <c r="F276" s="5" t="s">
        <v>580</v>
      </c>
      <c r="G276" s="7" t="s">
        <v>581</v>
      </c>
      <c r="H276" s="8"/>
      <c r="I276" s="8"/>
      <c r="J276" s="8"/>
      <c r="K276" s="8"/>
      <c r="L276" s="8"/>
      <c r="M276" s="8"/>
      <c r="N276" s="8"/>
      <c r="O276" s="8"/>
      <c r="P276" s="8"/>
      <c r="Q276" s="8"/>
      <c r="R276" s="8"/>
      <c r="S276" s="8"/>
      <c r="T276" s="8"/>
      <c r="U276" s="8"/>
      <c r="V276" s="8"/>
    </row>
    <row r="277">
      <c r="A277" s="5" t="s">
        <v>582</v>
      </c>
      <c r="B277" s="6" t="s">
        <v>583</v>
      </c>
      <c r="C277" s="5" t="s">
        <v>544</v>
      </c>
      <c r="D277" s="5" t="s">
        <v>9</v>
      </c>
      <c r="E277" s="5" t="s">
        <v>207</v>
      </c>
      <c r="F277" s="5" t="s">
        <v>584</v>
      </c>
      <c r="G277" s="7">
        <v>3.55262100199329E14</v>
      </c>
      <c r="H277" s="8"/>
      <c r="I277" s="8"/>
      <c r="J277" s="8"/>
      <c r="K277" s="8"/>
      <c r="L277" s="8"/>
      <c r="M277" s="8"/>
      <c r="N277" s="8"/>
      <c r="O277" s="8"/>
      <c r="P277" s="8"/>
      <c r="Q277" s="8"/>
      <c r="R277" s="8"/>
      <c r="S277" s="8"/>
      <c r="T277" s="8"/>
      <c r="U277" s="8"/>
      <c r="V277" s="8"/>
    </row>
    <row r="278">
      <c r="A278" s="5" t="s">
        <v>585</v>
      </c>
      <c r="B278" s="6" t="s">
        <v>9</v>
      </c>
      <c r="C278" s="5" t="s">
        <v>544</v>
      </c>
      <c r="D278" s="5" t="s">
        <v>9</v>
      </c>
      <c r="E278" s="5" t="s">
        <v>207</v>
      </c>
      <c r="F278" s="5" t="s">
        <v>571</v>
      </c>
      <c r="G278" s="7">
        <v>3.55224362586684E14</v>
      </c>
      <c r="H278" s="8"/>
      <c r="I278" s="8"/>
      <c r="J278" s="8"/>
      <c r="K278" s="8"/>
      <c r="L278" s="8"/>
      <c r="M278" s="8"/>
      <c r="N278" s="8"/>
      <c r="O278" s="8"/>
      <c r="P278" s="8"/>
      <c r="Q278" s="8"/>
      <c r="R278" s="8"/>
      <c r="S278" s="8"/>
      <c r="T278" s="8"/>
      <c r="U278" s="8"/>
      <c r="V278" s="8"/>
    </row>
    <row r="279">
      <c r="A279" s="5" t="s">
        <v>586</v>
      </c>
      <c r="B279" s="6" t="s">
        <v>9</v>
      </c>
      <c r="C279" s="5" t="s">
        <v>544</v>
      </c>
      <c r="D279" s="5" t="s">
        <v>9</v>
      </c>
      <c r="E279" s="5" t="s">
        <v>207</v>
      </c>
      <c r="F279" s="5" t="s">
        <v>571</v>
      </c>
      <c r="G279" s="7">
        <v>3.55224362586684E14</v>
      </c>
      <c r="H279" s="8"/>
      <c r="I279" s="8"/>
      <c r="J279" s="8"/>
      <c r="K279" s="8"/>
      <c r="L279" s="8"/>
      <c r="M279" s="8"/>
      <c r="N279" s="8"/>
      <c r="O279" s="8"/>
      <c r="P279" s="8"/>
      <c r="Q279" s="8"/>
      <c r="R279" s="8"/>
      <c r="S279" s="8"/>
      <c r="T279" s="8"/>
      <c r="U279" s="8"/>
      <c r="V279" s="8"/>
    </row>
    <row r="280">
      <c r="A280" s="5" t="s">
        <v>587</v>
      </c>
      <c r="B280" s="6" t="s">
        <v>9</v>
      </c>
      <c r="C280" s="5" t="s">
        <v>544</v>
      </c>
      <c r="D280" s="5"/>
      <c r="E280" s="5" t="s">
        <v>588</v>
      </c>
      <c r="F280" s="5" t="s">
        <v>571</v>
      </c>
      <c r="G280" s="7">
        <v>3.55224362587872E14</v>
      </c>
      <c r="H280" s="8"/>
      <c r="I280" s="8"/>
      <c r="J280" s="8"/>
      <c r="K280" s="8"/>
      <c r="L280" s="8"/>
      <c r="M280" s="8"/>
      <c r="N280" s="8"/>
      <c r="O280" s="8"/>
      <c r="P280" s="8"/>
      <c r="Q280" s="8"/>
      <c r="R280" s="8"/>
      <c r="S280" s="8"/>
      <c r="T280" s="8"/>
      <c r="U280" s="8"/>
      <c r="V280" s="8"/>
    </row>
    <row r="281">
      <c r="A281" s="5" t="s">
        <v>589</v>
      </c>
      <c r="B281" s="6"/>
      <c r="C281" s="5" t="s">
        <v>544</v>
      </c>
      <c r="D281" s="5" t="s">
        <v>590</v>
      </c>
      <c r="E281" s="5" t="s">
        <v>591</v>
      </c>
      <c r="F281" s="5" t="s">
        <v>592</v>
      </c>
      <c r="G281" s="10"/>
      <c r="H281" s="8"/>
      <c r="I281" s="8"/>
      <c r="J281" s="8"/>
      <c r="K281" s="8"/>
      <c r="L281" s="8"/>
      <c r="M281" s="8"/>
      <c r="N281" s="8"/>
      <c r="O281" s="8"/>
      <c r="P281" s="8"/>
      <c r="Q281" s="8"/>
      <c r="R281" s="8"/>
      <c r="S281" s="8"/>
      <c r="T281" s="8"/>
      <c r="U281" s="8"/>
      <c r="V281" s="8"/>
    </row>
    <row r="282">
      <c r="A282" s="5" t="s">
        <v>593</v>
      </c>
      <c r="B282" s="11"/>
      <c r="C282" s="5" t="s">
        <v>544</v>
      </c>
      <c r="D282" s="5" t="s">
        <v>590</v>
      </c>
      <c r="E282" s="5" t="s">
        <v>591</v>
      </c>
      <c r="F282" s="5" t="s">
        <v>594</v>
      </c>
      <c r="G282" s="10"/>
      <c r="H282" s="8"/>
      <c r="I282" s="8"/>
      <c r="J282" s="8"/>
      <c r="K282" s="8"/>
      <c r="L282" s="8"/>
      <c r="M282" s="8"/>
      <c r="N282" s="8"/>
      <c r="O282" s="8"/>
      <c r="P282" s="8"/>
      <c r="Q282" s="8"/>
      <c r="R282" s="8"/>
      <c r="S282" s="8"/>
      <c r="T282" s="8"/>
      <c r="U282" s="8"/>
      <c r="V282" s="8"/>
    </row>
    <row r="283">
      <c r="A283" s="5" t="s">
        <v>595</v>
      </c>
      <c r="B283" s="6"/>
      <c r="C283" s="5"/>
      <c r="D283" s="5" t="s">
        <v>596</v>
      </c>
      <c r="E283" s="5"/>
      <c r="F283" s="5" t="s">
        <v>597</v>
      </c>
      <c r="G283" s="10"/>
      <c r="H283" s="8"/>
      <c r="I283" s="8"/>
      <c r="J283" s="8"/>
      <c r="K283" s="8"/>
      <c r="L283" s="8"/>
      <c r="M283" s="8"/>
      <c r="N283" s="8"/>
      <c r="O283" s="8"/>
      <c r="P283" s="8"/>
      <c r="Q283" s="8"/>
      <c r="R283" s="8"/>
      <c r="S283" s="8"/>
      <c r="T283" s="8"/>
      <c r="U283" s="8"/>
      <c r="V283" s="8"/>
    </row>
    <row r="284">
      <c r="A284" s="5" t="s">
        <v>598</v>
      </c>
      <c r="B284" s="6"/>
      <c r="C284" s="5" t="s">
        <v>599</v>
      </c>
      <c r="D284" s="5" t="s">
        <v>600</v>
      </c>
      <c r="E284" s="5" t="s">
        <v>316</v>
      </c>
      <c r="F284" s="8"/>
      <c r="G284" s="10"/>
      <c r="H284" s="8"/>
      <c r="I284" s="8"/>
      <c r="J284" s="8"/>
      <c r="K284" s="8"/>
      <c r="L284" s="8"/>
      <c r="M284" s="8"/>
      <c r="N284" s="8"/>
      <c r="O284" s="8"/>
      <c r="P284" s="8"/>
      <c r="Q284" s="8"/>
      <c r="R284" s="8"/>
      <c r="S284" s="8"/>
      <c r="T284" s="8"/>
      <c r="U284" s="8"/>
      <c r="V284" s="8"/>
    </row>
    <row r="285">
      <c r="A285" s="8"/>
      <c r="B285" s="11"/>
      <c r="C285" s="8"/>
      <c r="D285" s="8"/>
      <c r="E285" s="8"/>
      <c r="F285" s="8"/>
      <c r="G285" s="10"/>
      <c r="H285" s="8"/>
      <c r="I285" s="8"/>
      <c r="J285" s="8"/>
      <c r="K285" s="8"/>
      <c r="L285" s="8"/>
      <c r="M285" s="8"/>
      <c r="N285" s="8"/>
      <c r="O285" s="8"/>
      <c r="P285" s="8"/>
      <c r="Q285" s="8"/>
      <c r="R285" s="8"/>
      <c r="S285" s="8"/>
      <c r="T285" s="8"/>
      <c r="U285" s="8"/>
      <c r="V285" s="8"/>
    </row>
    <row r="286">
      <c r="A286" s="8"/>
      <c r="B286" s="11"/>
      <c r="C286" s="8"/>
      <c r="D286" s="8"/>
      <c r="E286" s="8"/>
      <c r="F286" s="8"/>
      <c r="G286" s="10"/>
      <c r="H286" s="8"/>
      <c r="I286" s="8"/>
      <c r="J286" s="8"/>
      <c r="K286" s="8"/>
      <c r="L286" s="8"/>
      <c r="M286" s="8"/>
      <c r="N286" s="8"/>
      <c r="O286" s="8"/>
      <c r="P286" s="8"/>
      <c r="Q286" s="8"/>
      <c r="R286" s="8"/>
      <c r="S286" s="8"/>
      <c r="T286" s="8"/>
      <c r="U286" s="8"/>
      <c r="V286" s="8"/>
    </row>
    <row r="287">
      <c r="A287" s="8"/>
      <c r="B287" s="11"/>
      <c r="C287" s="8"/>
      <c r="D287" s="8"/>
      <c r="E287" s="8"/>
      <c r="F287" s="8"/>
      <c r="G287" s="10"/>
      <c r="H287" s="8"/>
      <c r="I287" s="8"/>
      <c r="J287" s="8"/>
      <c r="K287" s="8"/>
      <c r="L287" s="8"/>
      <c r="M287" s="8"/>
      <c r="N287" s="8"/>
      <c r="O287" s="8"/>
      <c r="P287" s="8"/>
      <c r="Q287" s="8"/>
      <c r="R287" s="8"/>
      <c r="S287" s="8"/>
      <c r="T287" s="8"/>
      <c r="U287" s="8"/>
      <c r="V287" s="8"/>
    </row>
    <row r="288">
      <c r="A288" s="8"/>
      <c r="B288" s="11"/>
      <c r="C288" s="8"/>
      <c r="D288" s="8"/>
      <c r="E288" s="8"/>
      <c r="F288" s="8"/>
      <c r="G288" s="10"/>
      <c r="H288" s="8"/>
      <c r="I288" s="8"/>
      <c r="J288" s="8"/>
      <c r="K288" s="8"/>
      <c r="L288" s="8"/>
      <c r="M288" s="8"/>
      <c r="N288" s="8"/>
      <c r="O288" s="8"/>
      <c r="P288" s="8"/>
      <c r="Q288" s="8"/>
      <c r="R288" s="8"/>
      <c r="S288" s="8"/>
      <c r="T288" s="8"/>
      <c r="U288" s="8"/>
      <c r="V288" s="8"/>
    </row>
    <row r="289">
      <c r="A289" s="8"/>
      <c r="B289" s="11"/>
      <c r="C289" s="8"/>
      <c r="D289" s="8"/>
      <c r="E289" s="8"/>
      <c r="F289" s="8"/>
      <c r="G289" s="10"/>
      <c r="H289" s="8"/>
      <c r="I289" s="8"/>
      <c r="J289" s="8"/>
      <c r="K289" s="8"/>
      <c r="L289" s="8"/>
      <c r="M289" s="8"/>
      <c r="N289" s="8"/>
      <c r="O289" s="8"/>
      <c r="P289" s="8"/>
      <c r="Q289" s="8"/>
      <c r="R289" s="8"/>
      <c r="S289" s="8"/>
      <c r="T289" s="8"/>
      <c r="U289" s="8"/>
      <c r="V289" s="8"/>
    </row>
    <row r="290">
      <c r="A290" s="8"/>
      <c r="B290" s="11"/>
      <c r="C290" s="8"/>
      <c r="D290" s="8"/>
      <c r="E290" s="8"/>
      <c r="F290" s="8"/>
      <c r="G290" s="10"/>
      <c r="H290" s="8"/>
      <c r="I290" s="8"/>
      <c r="J290" s="8"/>
      <c r="K290" s="8"/>
      <c r="L290" s="8"/>
      <c r="M290" s="8"/>
      <c r="N290" s="8"/>
      <c r="O290" s="8"/>
      <c r="P290" s="8"/>
      <c r="Q290" s="8"/>
      <c r="R290" s="8"/>
      <c r="S290" s="8"/>
      <c r="T290" s="8"/>
      <c r="U290" s="8"/>
      <c r="V290" s="8"/>
    </row>
    <row r="291">
      <c r="A291" s="8"/>
      <c r="B291" s="11"/>
      <c r="C291" s="8"/>
      <c r="D291" s="8"/>
      <c r="E291" s="8"/>
      <c r="F291" s="8"/>
      <c r="G291" s="10"/>
      <c r="H291" s="8"/>
      <c r="I291" s="8"/>
      <c r="J291" s="8"/>
      <c r="K291" s="8"/>
      <c r="L291" s="8"/>
      <c r="M291" s="8"/>
      <c r="N291" s="8"/>
      <c r="O291" s="8"/>
      <c r="P291" s="8"/>
      <c r="Q291" s="8"/>
      <c r="R291" s="8"/>
      <c r="S291" s="8"/>
      <c r="T291" s="8"/>
      <c r="U291" s="8"/>
      <c r="V291" s="8"/>
    </row>
    <row r="292">
      <c r="A292" s="8"/>
      <c r="B292" s="11"/>
      <c r="C292" s="8"/>
      <c r="D292" s="8"/>
      <c r="E292" s="8"/>
      <c r="F292" s="8"/>
      <c r="G292" s="10"/>
      <c r="H292" s="8"/>
      <c r="I292" s="8"/>
      <c r="J292" s="8"/>
      <c r="K292" s="8"/>
      <c r="L292" s="8"/>
      <c r="M292" s="8"/>
      <c r="N292" s="8"/>
      <c r="O292" s="8"/>
      <c r="P292" s="8"/>
      <c r="Q292" s="8"/>
      <c r="R292" s="8"/>
      <c r="S292" s="8"/>
      <c r="T292" s="8"/>
      <c r="U292" s="8"/>
      <c r="V292" s="8"/>
    </row>
    <row r="293">
      <c r="A293" s="8"/>
      <c r="B293" s="11"/>
      <c r="C293" s="8"/>
      <c r="D293" s="8"/>
      <c r="E293" s="8"/>
      <c r="F293" s="8"/>
      <c r="G293" s="10"/>
      <c r="H293" s="8"/>
      <c r="I293" s="8"/>
      <c r="J293" s="8"/>
      <c r="K293" s="8"/>
      <c r="L293" s="8"/>
      <c r="M293" s="8"/>
      <c r="N293" s="8"/>
      <c r="O293" s="8"/>
      <c r="P293" s="8"/>
      <c r="Q293" s="8"/>
      <c r="R293" s="8"/>
      <c r="S293" s="8"/>
      <c r="T293" s="8"/>
      <c r="U293" s="8"/>
      <c r="V293" s="8"/>
    </row>
    <row r="294">
      <c r="A294" s="8"/>
      <c r="B294" s="11"/>
      <c r="C294" s="8"/>
      <c r="D294" s="8"/>
      <c r="E294" s="8"/>
      <c r="F294" s="8"/>
      <c r="G294" s="10"/>
      <c r="H294" s="8"/>
      <c r="I294" s="8"/>
      <c r="J294" s="8"/>
      <c r="K294" s="8"/>
      <c r="L294" s="8"/>
      <c r="M294" s="8"/>
      <c r="N294" s="8"/>
      <c r="O294" s="8"/>
      <c r="P294" s="8"/>
      <c r="Q294" s="8"/>
      <c r="R294" s="8"/>
      <c r="S294" s="8"/>
      <c r="T294" s="8"/>
      <c r="U294" s="8"/>
      <c r="V294" s="8"/>
    </row>
    <row r="295">
      <c r="A295" s="8"/>
      <c r="B295" s="11"/>
      <c r="C295" s="8"/>
      <c r="D295" s="8"/>
      <c r="E295" s="8"/>
      <c r="F295" s="8"/>
      <c r="G295" s="10"/>
      <c r="H295" s="8"/>
      <c r="I295" s="8"/>
      <c r="J295" s="8"/>
      <c r="K295" s="8"/>
      <c r="L295" s="8"/>
      <c r="M295" s="8"/>
      <c r="N295" s="8"/>
      <c r="O295" s="8"/>
      <c r="P295" s="8"/>
      <c r="Q295" s="8"/>
      <c r="R295" s="8"/>
      <c r="S295" s="8"/>
      <c r="T295" s="8"/>
      <c r="U295" s="8"/>
      <c r="V295" s="8"/>
    </row>
    <row r="296">
      <c r="A296" s="8"/>
      <c r="B296" s="11"/>
      <c r="C296" s="8"/>
      <c r="D296" s="8"/>
      <c r="E296" s="8"/>
      <c r="F296" s="8"/>
      <c r="G296" s="10"/>
      <c r="H296" s="8"/>
      <c r="I296" s="8"/>
      <c r="J296" s="8"/>
      <c r="K296" s="8"/>
      <c r="L296" s="8"/>
      <c r="M296" s="8"/>
      <c r="N296" s="8"/>
      <c r="O296" s="8"/>
      <c r="P296" s="8"/>
      <c r="Q296" s="8"/>
      <c r="R296" s="8"/>
      <c r="S296" s="8"/>
      <c r="T296" s="8"/>
      <c r="U296" s="8"/>
      <c r="V296" s="8"/>
    </row>
    <row r="297">
      <c r="A297" s="8"/>
      <c r="B297" s="11"/>
      <c r="C297" s="8"/>
      <c r="D297" s="8"/>
      <c r="E297" s="8"/>
      <c r="F297" s="8"/>
      <c r="G297" s="10"/>
      <c r="H297" s="8"/>
      <c r="I297" s="8"/>
      <c r="J297" s="8"/>
      <c r="K297" s="8"/>
      <c r="L297" s="8"/>
      <c r="M297" s="8"/>
      <c r="N297" s="8"/>
      <c r="O297" s="8"/>
      <c r="P297" s="8"/>
      <c r="Q297" s="8"/>
      <c r="R297" s="8"/>
      <c r="S297" s="8"/>
      <c r="T297" s="8"/>
      <c r="U297" s="8"/>
      <c r="V297" s="8"/>
    </row>
    <row r="298">
      <c r="A298" s="8"/>
      <c r="B298" s="11"/>
      <c r="C298" s="8"/>
      <c r="D298" s="8"/>
      <c r="E298" s="8"/>
      <c r="F298" s="8"/>
      <c r="G298" s="10"/>
      <c r="H298" s="8"/>
      <c r="I298" s="8"/>
      <c r="J298" s="8"/>
      <c r="K298" s="8"/>
      <c r="L298" s="8"/>
      <c r="M298" s="8"/>
      <c r="N298" s="8"/>
      <c r="O298" s="8"/>
      <c r="P298" s="8"/>
      <c r="Q298" s="8"/>
      <c r="R298" s="8"/>
      <c r="S298" s="8"/>
      <c r="T298" s="8"/>
      <c r="U298" s="8"/>
      <c r="V298" s="8"/>
    </row>
    <row r="299">
      <c r="A299" s="8"/>
      <c r="B299" s="11"/>
      <c r="C299" s="8"/>
      <c r="D299" s="8"/>
      <c r="E299" s="8"/>
      <c r="F299" s="8"/>
      <c r="G299" s="10"/>
      <c r="H299" s="8"/>
      <c r="I299" s="8"/>
      <c r="J299" s="8"/>
      <c r="K299" s="8"/>
      <c r="L299" s="8"/>
      <c r="M299" s="8"/>
      <c r="N299" s="8"/>
      <c r="O299" s="8"/>
      <c r="P299" s="8"/>
      <c r="Q299" s="8"/>
      <c r="R299" s="8"/>
      <c r="S299" s="8"/>
      <c r="T299" s="8"/>
      <c r="U299" s="8"/>
      <c r="V299" s="8"/>
    </row>
    <row r="300">
      <c r="A300" s="8"/>
      <c r="B300" s="11"/>
      <c r="C300" s="8"/>
      <c r="D300" s="8"/>
      <c r="E300" s="8"/>
      <c r="F300" s="8"/>
      <c r="G300" s="10"/>
      <c r="H300" s="8"/>
      <c r="I300" s="8"/>
      <c r="J300" s="8"/>
      <c r="K300" s="8"/>
      <c r="L300" s="8"/>
      <c r="M300" s="8"/>
      <c r="N300" s="8"/>
      <c r="O300" s="8"/>
      <c r="P300" s="8"/>
      <c r="Q300" s="8"/>
      <c r="R300" s="8"/>
      <c r="S300" s="8"/>
      <c r="T300" s="8"/>
      <c r="U300" s="8"/>
      <c r="V300" s="8"/>
    </row>
    <row r="301">
      <c r="A301" s="8"/>
      <c r="B301" s="11"/>
      <c r="C301" s="8"/>
      <c r="D301" s="8"/>
      <c r="E301" s="8"/>
      <c r="F301" s="8"/>
      <c r="G301" s="10"/>
      <c r="H301" s="8"/>
      <c r="I301" s="8"/>
      <c r="J301" s="8"/>
      <c r="K301" s="8"/>
      <c r="L301" s="8"/>
      <c r="M301" s="8"/>
      <c r="N301" s="8"/>
      <c r="O301" s="8"/>
      <c r="P301" s="8"/>
      <c r="Q301" s="8"/>
      <c r="R301" s="8"/>
      <c r="S301" s="8"/>
      <c r="T301" s="8"/>
      <c r="U301" s="8"/>
      <c r="V301" s="8"/>
    </row>
    <row r="302">
      <c r="A302" s="5" t="s">
        <v>601</v>
      </c>
      <c r="B302" s="6" t="s">
        <v>602</v>
      </c>
      <c r="C302" s="5" t="s">
        <v>544</v>
      </c>
      <c r="D302" s="5" t="s">
        <v>9</v>
      </c>
      <c r="E302" s="5" t="s">
        <v>207</v>
      </c>
      <c r="F302" s="5" t="s">
        <v>571</v>
      </c>
      <c r="G302" s="7">
        <v>3.55224362574433E14</v>
      </c>
      <c r="H302" s="8"/>
      <c r="I302" s="8"/>
      <c r="J302" s="8"/>
      <c r="K302" s="8"/>
      <c r="L302" s="8"/>
      <c r="M302" s="8"/>
      <c r="N302" s="8"/>
      <c r="O302" s="8"/>
      <c r="P302" s="8"/>
      <c r="Q302" s="8"/>
      <c r="R302" s="8"/>
      <c r="S302" s="8"/>
      <c r="T302" s="8"/>
      <c r="U302" s="8"/>
      <c r="V302" s="8"/>
    </row>
    <row r="303">
      <c r="A303" s="5" t="s">
        <v>603</v>
      </c>
      <c r="B303" s="6" t="s">
        <v>604</v>
      </c>
      <c r="C303" s="5" t="s">
        <v>544</v>
      </c>
      <c r="D303" s="5" t="s">
        <v>605</v>
      </c>
      <c r="E303" s="5" t="s">
        <v>606</v>
      </c>
      <c r="F303" s="5" t="s">
        <v>571</v>
      </c>
      <c r="G303" s="7">
        <v>3.55224362573591E14</v>
      </c>
      <c r="H303" s="8"/>
      <c r="I303" s="8"/>
      <c r="J303" s="8"/>
      <c r="K303" s="8"/>
      <c r="L303" s="8"/>
      <c r="M303" s="8"/>
      <c r="N303" s="8"/>
      <c r="O303" s="8"/>
      <c r="P303" s="8"/>
      <c r="Q303" s="8"/>
      <c r="R303" s="8"/>
      <c r="S303" s="8"/>
      <c r="T303" s="8"/>
      <c r="U303" s="8"/>
      <c r="V303" s="8"/>
    </row>
    <row r="304">
      <c r="A304" s="12" t="s">
        <v>607</v>
      </c>
      <c r="B304" s="6" t="s">
        <v>608</v>
      </c>
      <c r="C304" s="5" t="s">
        <v>544</v>
      </c>
      <c r="D304" s="5" t="s">
        <v>9</v>
      </c>
      <c r="E304" s="5" t="s">
        <v>207</v>
      </c>
      <c r="F304" s="5" t="s">
        <v>571</v>
      </c>
      <c r="G304" s="7">
        <v>3.55224362588094E14</v>
      </c>
      <c r="H304" s="8"/>
      <c r="I304" s="8"/>
      <c r="J304" s="8"/>
      <c r="K304" s="8"/>
      <c r="L304" s="8"/>
      <c r="M304" s="8"/>
      <c r="N304" s="8"/>
      <c r="O304" s="8"/>
      <c r="P304" s="8"/>
      <c r="Q304" s="8"/>
      <c r="R304" s="8"/>
      <c r="S304" s="8"/>
      <c r="T304" s="8"/>
      <c r="U304" s="8"/>
      <c r="V304" s="8"/>
    </row>
    <row r="305">
      <c r="A305" s="12" t="s">
        <v>609</v>
      </c>
      <c r="B305" s="6" t="s">
        <v>610</v>
      </c>
      <c r="C305" s="5" t="s">
        <v>544</v>
      </c>
      <c r="D305" s="5" t="s">
        <v>9</v>
      </c>
      <c r="E305" s="5" t="s">
        <v>207</v>
      </c>
      <c r="F305" s="5" t="s">
        <v>571</v>
      </c>
      <c r="G305" s="7">
        <v>3.55224362587864E14</v>
      </c>
      <c r="H305" s="8"/>
      <c r="I305" s="8"/>
      <c r="J305" s="8"/>
      <c r="K305" s="8"/>
      <c r="L305" s="8"/>
      <c r="M305" s="8"/>
      <c r="N305" s="8"/>
      <c r="O305" s="8"/>
      <c r="P305" s="8"/>
      <c r="Q305" s="8"/>
      <c r="R305" s="8"/>
      <c r="S305" s="8"/>
      <c r="T305" s="8"/>
      <c r="U305" s="8"/>
      <c r="V305" s="8"/>
    </row>
    <row r="306">
      <c r="A306" s="12" t="s">
        <v>611</v>
      </c>
      <c r="B306" s="6" t="s">
        <v>9</v>
      </c>
      <c r="C306" s="5" t="s">
        <v>544</v>
      </c>
      <c r="D306" s="5" t="s">
        <v>95</v>
      </c>
      <c r="E306" s="5" t="s">
        <v>612</v>
      </c>
      <c r="F306" s="5" t="s">
        <v>545</v>
      </c>
      <c r="G306" s="7" t="s">
        <v>613</v>
      </c>
      <c r="H306" s="8"/>
      <c r="I306" s="5" t="s">
        <v>95</v>
      </c>
      <c r="J306" s="8"/>
      <c r="K306" s="8"/>
      <c r="L306" s="8"/>
      <c r="M306" s="8"/>
      <c r="N306" s="8"/>
      <c r="O306" s="8"/>
      <c r="P306" s="8"/>
      <c r="Q306" s="8"/>
      <c r="R306" s="8"/>
      <c r="S306" s="8"/>
      <c r="T306" s="8"/>
      <c r="U306" s="8"/>
      <c r="V306" s="8"/>
    </row>
    <row r="307">
      <c r="A307" s="8"/>
      <c r="B307" s="11"/>
      <c r="C307" s="8"/>
      <c r="D307" s="8"/>
      <c r="E307" s="8"/>
      <c r="F307" s="8"/>
      <c r="G307" s="10"/>
      <c r="H307" s="8"/>
      <c r="I307" s="8"/>
      <c r="J307" s="8"/>
      <c r="K307" s="8"/>
      <c r="L307" s="8"/>
      <c r="M307" s="8"/>
      <c r="N307" s="8"/>
      <c r="O307" s="8"/>
      <c r="P307" s="8"/>
      <c r="Q307" s="8"/>
      <c r="R307" s="8"/>
      <c r="S307" s="8"/>
      <c r="T307" s="8"/>
      <c r="U307" s="8"/>
      <c r="V307" s="8"/>
    </row>
    <row r="308">
      <c r="A308" s="8"/>
      <c r="B308" s="11"/>
      <c r="C308" s="8"/>
      <c r="D308" s="8"/>
      <c r="E308" s="8"/>
      <c r="F308" s="8"/>
      <c r="G308" s="10"/>
      <c r="H308" s="8"/>
      <c r="I308" s="8"/>
      <c r="J308" s="8"/>
      <c r="K308" s="8"/>
      <c r="L308" s="8"/>
      <c r="M308" s="8"/>
      <c r="N308" s="8"/>
      <c r="O308" s="8"/>
      <c r="P308" s="8"/>
      <c r="Q308" s="8"/>
      <c r="R308" s="8"/>
      <c r="S308" s="8"/>
      <c r="T308" s="8"/>
      <c r="U308" s="8"/>
      <c r="V308" s="8"/>
    </row>
    <row r="309">
      <c r="A309" s="8"/>
      <c r="B309" s="11"/>
      <c r="C309" s="8"/>
      <c r="D309" s="8"/>
      <c r="E309" s="8"/>
      <c r="F309" s="8"/>
      <c r="G309" s="10"/>
      <c r="H309" s="8"/>
      <c r="I309" s="8"/>
      <c r="J309" s="8"/>
      <c r="K309" s="8"/>
      <c r="L309" s="8"/>
      <c r="M309" s="8"/>
      <c r="N309" s="8"/>
      <c r="O309" s="8"/>
      <c r="P309" s="8"/>
      <c r="Q309" s="8"/>
      <c r="R309" s="8"/>
      <c r="S309" s="8"/>
      <c r="T309" s="8"/>
      <c r="U309" s="8"/>
      <c r="V309" s="8"/>
    </row>
    <row r="310">
      <c r="A310" s="8"/>
      <c r="B310" s="11"/>
      <c r="C310" s="8"/>
      <c r="D310" s="8"/>
      <c r="E310" s="8"/>
      <c r="F310" s="8"/>
      <c r="G310" s="10"/>
      <c r="H310" s="8"/>
      <c r="I310" s="8"/>
      <c r="J310" s="8"/>
      <c r="K310" s="8"/>
      <c r="L310" s="8"/>
      <c r="M310" s="8"/>
      <c r="N310" s="8"/>
      <c r="O310" s="8"/>
      <c r="P310" s="8"/>
      <c r="Q310" s="8"/>
      <c r="R310" s="8"/>
      <c r="S310" s="8"/>
      <c r="T310" s="8"/>
      <c r="U310" s="8"/>
      <c r="V310" s="8"/>
    </row>
    <row r="311">
      <c r="A311" s="8"/>
      <c r="B311" s="11"/>
      <c r="C311" s="8"/>
      <c r="D311" s="8"/>
      <c r="E311" s="8"/>
      <c r="F311" s="8"/>
      <c r="G311" s="10"/>
      <c r="H311" s="8"/>
      <c r="I311" s="8"/>
      <c r="J311" s="8"/>
      <c r="K311" s="8"/>
      <c r="L311" s="8"/>
      <c r="M311" s="8"/>
      <c r="N311" s="8"/>
      <c r="O311" s="8"/>
      <c r="P311" s="8"/>
      <c r="Q311" s="8"/>
      <c r="R311" s="8"/>
      <c r="S311" s="8"/>
      <c r="T311" s="8"/>
      <c r="U311" s="8"/>
      <c r="V311" s="8"/>
    </row>
    <row r="312">
      <c r="A312" s="8"/>
      <c r="B312" s="11"/>
      <c r="C312" s="20" t="s">
        <v>614</v>
      </c>
      <c r="D312" s="8"/>
      <c r="E312" s="13" t="s">
        <v>359</v>
      </c>
      <c r="F312" s="8"/>
      <c r="G312" s="7" t="s">
        <v>365</v>
      </c>
      <c r="H312" s="8"/>
      <c r="I312" s="8"/>
      <c r="J312" s="8"/>
      <c r="K312" s="8"/>
      <c r="L312" s="8"/>
      <c r="M312" s="8"/>
      <c r="N312" s="8"/>
      <c r="O312" s="8"/>
      <c r="P312" s="8"/>
      <c r="Q312" s="8"/>
      <c r="R312" s="8"/>
      <c r="S312" s="8"/>
      <c r="T312" s="8"/>
      <c r="U312" s="8"/>
      <c r="V312" s="8"/>
    </row>
    <row r="313">
      <c r="A313" s="8"/>
      <c r="B313" s="11"/>
      <c r="C313" s="20" t="s">
        <v>615</v>
      </c>
      <c r="D313" s="8"/>
      <c r="E313" s="20" t="s">
        <v>359</v>
      </c>
      <c r="F313" s="8"/>
      <c r="G313" s="7" t="s">
        <v>365</v>
      </c>
      <c r="H313" s="8"/>
      <c r="I313" s="8"/>
      <c r="J313" s="8"/>
      <c r="K313" s="8"/>
      <c r="L313" s="8"/>
      <c r="M313" s="8"/>
      <c r="N313" s="8"/>
      <c r="O313" s="8"/>
      <c r="P313" s="8"/>
      <c r="Q313" s="8"/>
      <c r="R313" s="8"/>
      <c r="S313" s="8"/>
      <c r="T313" s="8"/>
      <c r="U313" s="8"/>
      <c r="V313" s="8"/>
    </row>
    <row r="314">
      <c r="A314" s="8"/>
      <c r="B314" s="11"/>
      <c r="C314" s="20" t="s">
        <v>616</v>
      </c>
      <c r="D314" s="8"/>
      <c r="E314" s="20" t="s">
        <v>359</v>
      </c>
      <c r="F314" s="8"/>
      <c r="G314" s="7" t="s">
        <v>365</v>
      </c>
      <c r="H314" s="8"/>
      <c r="I314" s="8"/>
      <c r="J314" s="8"/>
      <c r="K314" s="8"/>
      <c r="L314" s="8"/>
      <c r="M314" s="8"/>
      <c r="N314" s="8"/>
      <c r="O314" s="8"/>
      <c r="P314" s="8"/>
      <c r="Q314" s="8"/>
      <c r="R314" s="8"/>
      <c r="S314" s="8"/>
      <c r="T314" s="8"/>
      <c r="U314" s="8"/>
      <c r="V314" s="8"/>
    </row>
    <row r="315">
      <c r="A315" s="8"/>
      <c r="B315" s="11"/>
      <c r="C315" s="20" t="s">
        <v>617</v>
      </c>
      <c r="D315" s="8"/>
      <c r="E315" s="20" t="s">
        <v>359</v>
      </c>
      <c r="F315" s="8"/>
      <c r="G315" s="7" t="s">
        <v>365</v>
      </c>
      <c r="H315" s="8"/>
      <c r="I315" s="8"/>
      <c r="J315" s="8"/>
      <c r="K315" s="8"/>
      <c r="L315" s="8"/>
      <c r="M315" s="8"/>
      <c r="N315" s="8"/>
      <c r="O315" s="8"/>
      <c r="P315" s="8"/>
      <c r="Q315" s="8"/>
      <c r="R315" s="8"/>
      <c r="S315" s="8"/>
      <c r="T315" s="8"/>
      <c r="U315" s="8"/>
      <c r="V315" s="8"/>
    </row>
    <row r="316">
      <c r="A316" s="8"/>
      <c r="B316" s="11"/>
      <c r="C316" s="20" t="s">
        <v>618</v>
      </c>
      <c r="D316" s="8"/>
      <c r="E316" s="20" t="s">
        <v>359</v>
      </c>
      <c r="F316" s="8"/>
      <c r="G316" s="7" t="s">
        <v>365</v>
      </c>
      <c r="H316" s="8"/>
      <c r="I316" s="8"/>
      <c r="J316" s="8"/>
      <c r="K316" s="8"/>
      <c r="L316" s="8"/>
      <c r="M316" s="8"/>
      <c r="N316" s="8"/>
      <c r="O316" s="8"/>
      <c r="P316" s="8"/>
      <c r="Q316" s="8"/>
      <c r="R316" s="8"/>
      <c r="S316" s="8"/>
      <c r="T316" s="8"/>
      <c r="U316" s="8"/>
      <c r="V316" s="8"/>
    </row>
    <row r="317">
      <c r="A317" s="8"/>
      <c r="B317" s="11"/>
      <c r="C317" s="20" t="s">
        <v>619</v>
      </c>
      <c r="D317" s="8"/>
      <c r="E317" s="20" t="s">
        <v>359</v>
      </c>
      <c r="F317" s="8"/>
      <c r="G317" s="10"/>
      <c r="H317" s="8"/>
      <c r="I317" s="8"/>
      <c r="J317" s="8"/>
      <c r="K317" s="8"/>
      <c r="L317" s="8"/>
      <c r="M317" s="8"/>
      <c r="N317" s="8"/>
      <c r="O317" s="8"/>
      <c r="P317" s="8"/>
      <c r="Q317" s="8"/>
      <c r="R317" s="8"/>
      <c r="S317" s="8"/>
      <c r="T317" s="8"/>
      <c r="U317" s="8"/>
      <c r="V317" s="8"/>
    </row>
    <row r="318">
      <c r="A318" s="8"/>
      <c r="B318" s="11"/>
      <c r="C318" s="8"/>
      <c r="D318" s="8"/>
      <c r="E318" s="8"/>
      <c r="F318" s="8"/>
      <c r="G318" s="10"/>
      <c r="H318" s="8"/>
      <c r="I318" s="8"/>
      <c r="J318" s="8"/>
      <c r="K318" s="8"/>
      <c r="L318" s="8"/>
      <c r="M318" s="8"/>
      <c r="N318" s="8"/>
      <c r="O318" s="8"/>
      <c r="P318" s="8"/>
      <c r="Q318" s="8"/>
      <c r="R318" s="8"/>
      <c r="S318" s="8"/>
      <c r="T318" s="8"/>
      <c r="U318" s="8"/>
      <c r="V318" s="8"/>
    </row>
    <row r="319">
      <c r="A319" s="8"/>
      <c r="B319" s="11"/>
      <c r="C319" s="8"/>
      <c r="D319" s="8"/>
      <c r="E319" s="8"/>
      <c r="F319" s="8"/>
      <c r="G319" s="10"/>
      <c r="H319" s="8"/>
      <c r="I319" s="8"/>
      <c r="J319" s="8"/>
      <c r="K319" s="8"/>
      <c r="L319" s="8"/>
      <c r="M319" s="8"/>
      <c r="N319" s="8"/>
      <c r="O319" s="8"/>
      <c r="P319" s="8"/>
      <c r="Q319" s="8"/>
      <c r="R319" s="8"/>
      <c r="S319" s="8"/>
      <c r="T319" s="8"/>
      <c r="U319" s="8"/>
      <c r="V319" s="8"/>
    </row>
    <row r="320">
      <c r="A320" s="8"/>
      <c r="B320" s="11"/>
      <c r="C320" s="8"/>
      <c r="D320" s="8"/>
      <c r="E320" s="8"/>
      <c r="F320" s="8"/>
      <c r="G320" s="10"/>
      <c r="H320" s="8"/>
      <c r="I320" s="8"/>
      <c r="J320" s="8"/>
      <c r="K320" s="8"/>
      <c r="L320" s="8"/>
      <c r="M320" s="8"/>
      <c r="N320" s="8"/>
      <c r="O320" s="8"/>
      <c r="P320" s="8"/>
      <c r="Q320" s="8"/>
      <c r="R320" s="8"/>
      <c r="S320" s="8"/>
      <c r="T320" s="8"/>
      <c r="U320" s="8"/>
      <c r="V320" s="8"/>
    </row>
    <row r="321">
      <c r="A321" s="21" t="s">
        <v>620</v>
      </c>
      <c r="B321" s="6" t="s">
        <v>9</v>
      </c>
      <c r="C321" s="5" t="s">
        <v>9</v>
      </c>
      <c r="D321" s="12" t="s">
        <v>207</v>
      </c>
      <c r="E321" s="5" t="s">
        <v>207</v>
      </c>
      <c r="F321" s="20" t="s">
        <v>621</v>
      </c>
      <c r="G321" s="22" t="s">
        <v>622</v>
      </c>
      <c r="H321" s="8"/>
      <c r="I321" s="8"/>
      <c r="J321" s="8"/>
      <c r="K321" s="8"/>
      <c r="L321" s="8"/>
      <c r="M321" s="8"/>
      <c r="N321" s="8"/>
      <c r="O321" s="8"/>
      <c r="P321" s="8"/>
      <c r="Q321" s="8"/>
      <c r="R321" s="8"/>
      <c r="S321" s="8"/>
      <c r="T321" s="8"/>
      <c r="U321" s="8"/>
      <c r="V321" s="8"/>
    </row>
    <row r="322">
      <c r="A322" s="23" t="s">
        <v>623</v>
      </c>
      <c r="B322" s="6" t="s">
        <v>9</v>
      </c>
      <c r="C322" s="5" t="s">
        <v>9</v>
      </c>
      <c r="D322" s="12" t="s">
        <v>207</v>
      </c>
      <c r="E322" s="5" t="s">
        <v>207</v>
      </c>
      <c r="F322" s="20" t="s">
        <v>621</v>
      </c>
      <c r="G322" s="22" t="s">
        <v>624</v>
      </c>
      <c r="H322" s="8"/>
      <c r="I322" s="8"/>
      <c r="J322" s="8"/>
      <c r="K322" s="8"/>
      <c r="L322" s="8"/>
      <c r="M322" s="8"/>
      <c r="N322" s="8"/>
      <c r="O322" s="8"/>
      <c r="P322" s="8"/>
      <c r="Q322" s="8"/>
      <c r="R322" s="8"/>
      <c r="S322" s="8"/>
      <c r="T322" s="8"/>
      <c r="U322" s="8"/>
      <c r="V322" s="8"/>
    </row>
    <row r="323">
      <c r="A323" s="23" t="s">
        <v>625</v>
      </c>
      <c r="B323" s="6" t="s">
        <v>9</v>
      </c>
      <c r="C323" s="5" t="s">
        <v>9</v>
      </c>
      <c r="D323" s="12" t="s">
        <v>272</v>
      </c>
      <c r="E323" s="5" t="s">
        <v>207</v>
      </c>
      <c r="F323" s="20" t="s">
        <v>621</v>
      </c>
      <c r="G323" s="22" t="s">
        <v>626</v>
      </c>
      <c r="H323" s="8"/>
      <c r="I323" s="8"/>
      <c r="J323" s="8"/>
      <c r="K323" s="8"/>
      <c r="L323" s="8"/>
      <c r="M323" s="8"/>
      <c r="N323" s="8"/>
      <c r="O323" s="8"/>
      <c r="P323" s="8"/>
      <c r="Q323" s="8"/>
      <c r="R323" s="8"/>
      <c r="S323" s="8"/>
      <c r="T323" s="8"/>
      <c r="U323" s="8"/>
      <c r="V323" s="8"/>
    </row>
    <row r="324">
      <c r="A324" s="23" t="s">
        <v>627</v>
      </c>
      <c r="B324" s="6" t="s">
        <v>9</v>
      </c>
      <c r="C324" s="5" t="s">
        <v>9</v>
      </c>
      <c r="D324" s="12" t="s">
        <v>207</v>
      </c>
      <c r="E324" s="5" t="s">
        <v>207</v>
      </c>
      <c r="F324" s="20" t="s">
        <v>621</v>
      </c>
      <c r="G324" s="22" t="s">
        <v>628</v>
      </c>
      <c r="H324" s="8"/>
      <c r="I324" s="8"/>
      <c r="J324" s="8"/>
      <c r="K324" s="8"/>
      <c r="L324" s="8"/>
      <c r="M324" s="8"/>
      <c r="N324" s="8"/>
      <c r="O324" s="8"/>
      <c r="P324" s="8"/>
      <c r="Q324" s="8"/>
      <c r="R324" s="8"/>
      <c r="S324" s="8"/>
      <c r="T324" s="8"/>
      <c r="U324" s="8"/>
      <c r="V324" s="8"/>
    </row>
    <row r="325">
      <c r="A325" s="23" t="s">
        <v>629</v>
      </c>
      <c r="B325" s="6" t="s">
        <v>9</v>
      </c>
      <c r="C325" s="5" t="s">
        <v>9</v>
      </c>
      <c r="D325" s="20" t="s">
        <v>359</v>
      </c>
      <c r="E325" s="22" t="s">
        <v>359</v>
      </c>
      <c r="F325" s="20" t="s">
        <v>621</v>
      </c>
      <c r="G325" s="22" t="s">
        <v>630</v>
      </c>
      <c r="H325" s="8"/>
      <c r="I325" s="8"/>
      <c r="J325" s="8"/>
      <c r="K325" s="8"/>
      <c r="L325" s="8"/>
      <c r="M325" s="8"/>
      <c r="N325" s="8"/>
      <c r="O325" s="8"/>
      <c r="P325" s="8"/>
      <c r="Q325" s="8"/>
      <c r="R325" s="8"/>
      <c r="S325" s="8"/>
      <c r="T325" s="8"/>
      <c r="U325" s="8"/>
      <c r="V325" s="8"/>
    </row>
    <row r="326">
      <c r="A326" s="23" t="s">
        <v>631</v>
      </c>
      <c r="B326" s="6" t="s">
        <v>9</v>
      </c>
      <c r="C326" s="5" t="s">
        <v>9</v>
      </c>
      <c r="D326" s="12" t="s">
        <v>632</v>
      </c>
      <c r="E326" s="12" t="s">
        <v>207</v>
      </c>
      <c r="F326" s="20" t="s">
        <v>621</v>
      </c>
      <c r="G326" s="22" t="s">
        <v>633</v>
      </c>
      <c r="H326" s="8"/>
      <c r="I326" s="8"/>
      <c r="J326" s="8"/>
      <c r="K326" s="8"/>
      <c r="L326" s="8"/>
      <c r="M326" s="8"/>
      <c r="N326" s="8"/>
      <c r="O326" s="8"/>
      <c r="P326" s="8"/>
      <c r="Q326" s="8"/>
      <c r="R326" s="8"/>
      <c r="S326" s="8"/>
      <c r="T326" s="8"/>
      <c r="U326" s="8"/>
      <c r="V326" s="8"/>
    </row>
    <row r="327">
      <c r="A327" s="23" t="s">
        <v>634</v>
      </c>
      <c r="B327" s="6" t="s">
        <v>9</v>
      </c>
      <c r="C327" s="5" t="s">
        <v>9</v>
      </c>
      <c r="D327" s="12" t="s">
        <v>207</v>
      </c>
      <c r="E327" s="12" t="s">
        <v>207</v>
      </c>
      <c r="F327" s="20" t="s">
        <v>621</v>
      </c>
      <c r="G327" s="22" t="s">
        <v>635</v>
      </c>
      <c r="H327" s="8"/>
      <c r="I327" s="8"/>
      <c r="J327" s="8"/>
      <c r="K327" s="8"/>
      <c r="L327" s="8"/>
      <c r="M327" s="8"/>
      <c r="N327" s="8"/>
      <c r="O327" s="8"/>
      <c r="P327" s="8"/>
      <c r="Q327" s="8"/>
      <c r="R327" s="8"/>
      <c r="S327" s="8"/>
      <c r="T327" s="8"/>
      <c r="U327" s="8"/>
      <c r="V327" s="8"/>
    </row>
    <row r="328">
      <c r="A328" s="23" t="s">
        <v>636</v>
      </c>
      <c r="B328" s="6" t="s">
        <v>9</v>
      </c>
      <c r="C328" s="5" t="s">
        <v>9</v>
      </c>
      <c r="D328" s="22" t="s">
        <v>637</v>
      </c>
      <c r="E328" s="22" t="s">
        <v>637</v>
      </c>
      <c r="F328" s="20" t="s">
        <v>621</v>
      </c>
      <c r="G328" s="24" t="s">
        <v>638</v>
      </c>
      <c r="H328" s="8"/>
      <c r="I328" s="8"/>
      <c r="J328" s="8"/>
      <c r="K328" s="8"/>
      <c r="L328" s="8"/>
      <c r="M328" s="8"/>
      <c r="N328" s="8"/>
      <c r="O328" s="8"/>
      <c r="P328" s="8"/>
      <c r="Q328" s="8"/>
      <c r="R328" s="8"/>
      <c r="S328" s="8"/>
      <c r="T328" s="8"/>
      <c r="U328" s="8"/>
      <c r="V328" s="8"/>
    </row>
    <row r="329">
      <c r="A329" s="23" t="s">
        <v>639</v>
      </c>
      <c r="B329" s="6" t="s">
        <v>9</v>
      </c>
      <c r="C329" s="5" t="s">
        <v>9</v>
      </c>
      <c r="D329" s="20" t="s">
        <v>359</v>
      </c>
      <c r="E329" s="20" t="s">
        <v>359</v>
      </c>
      <c r="F329" s="20" t="s">
        <v>621</v>
      </c>
      <c r="G329" s="22" t="s">
        <v>640</v>
      </c>
      <c r="H329" s="8"/>
      <c r="I329" s="8"/>
      <c r="J329" s="8"/>
      <c r="K329" s="8"/>
      <c r="L329" s="8"/>
      <c r="M329" s="8"/>
      <c r="N329" s="8"/>
      <c r="O329" s="8"/>
      <c r="P329" s="8"/>
      <c r="Q329" s="8"/>
      <c r="R329" s="8"/>
      <c r="S329" s="8"/>
      <c r="T329" s="8"/>
      <c r="U329" s="8"/>
      <c r="V329" s="8"/>
    </row>
    <row r="330">
      <c r="A330" s="23" t="s">
        <v>641</v>
      </c>
      <c r="B330" s="6" t="s">
        <v>9</v>
      </c>
      <c r="C330" s="5" t="s">
        <v>9</v>
      </c>
      <c r="D330" s="22" t="s">
        <v>207</v>
      </c>
      <c r="E330" s="22" t="s">
        <v>207</v>
      </c>
      <c r="F330" s="20" t="s">
        <v>621</v>
      </c>
      <c r="G330" s="22" t="s">
        <v>642</v>
      </c>
      <c r="H330" s="8"/>
      <c r="I330" s="8"/>
      <c r="J330" s="8"/>
      <c r="K330" s="8"/>
      <c r="L330" s="8"/>
      <c r="M330" s="8"/>
      <c r="N330" s="8"/>
      <c r="O330" s="8"/>
      <c r="P330" s="8"/>
      <c r="Q330" s="8"/>
      <c r="R330" s="8"/>
      <c r="S330" s="8"/>
      <c r="T330" s="8"/>
      <c r="U330" s="8"/>
      <c r="V330" s="8"/>
    </row>
    <row r="331">
      <c r="A331" s="8"/>
      <c r="B331" s="11"/>
      <c r="C331" s="8"/>
      <c r="D331" s="8"/>
      <c r="E331" s="8"/>
      <c r="F331" s="8"/>
      <c r="G331" s="10"/>
      <c r="H331" s="8"/>
      <c r="I331" s="8"/>
      <c r="J331" s="8"/>
      <c r="K331" s="8"/>
      <c r="L331" s="8"/>
      <c r="M331" s="8"/>
      <c r="N331" s="8"/>
      <c r="O331" s="8"/>
      <c r="P331" s="8"/>
      <c r="Q331" s="8"/>
      <c r="R331" s="8"/>
      <c r="S331" s="8"/>
      <c r="T331" s="8"/>
      <c r="U331" s="8"/>
      <c r="V331" s="8"/>
    </row>
    <row r="332">
      <c r="A332" s="25" t="s">
        <v>643</v>
      </c>
      <c r="B332" s="6" t="s">
        <v>644</v>
      </c>
      <c r="C332" s="5" t="s">
        <v>9</v>
      </c>
      <c r="D332" s="22" t="s">
        <v>207</v>
      </c>
      <c r="E332" s="22" t="s">
        <v>207</v>
      </c>
      <c r="F332" s="20" t="s">
        <v>621</v>
      </c>
      <c r="G332" s="22" t="s">
        <v>645</v>
      </c>
      <c r="H332" s="8"/>
      <c r="I332" s="8"/>
      <c r="J332" s="8"/>
      <c r="K332" s="8"/>
      <c r="L332" s="8"/>
      <c r="M332" s="8"/>
      <c r="N332" s="8"/>
      <c r="O332" s="8"/>
      <c r="P332" s="8"/>
      <c r="Q332" s="8"/>
      <c r="R332" s="8"/>
      <c r="S332" s="8"/>
      <c r="T332" s="8"/>
      <c r="U332" s="8"/>
      <c r="V332" s="8"/>
    </row>
    <row r="333">
      <c r="A333" s="25" t="s">
        <v>646</v>
      </c>
      <c r="B333" s="6" t="s">
        <v>647</v>
      </c>
      <c r="C333" s="5" t="s">
        <v>9</v>
      </c>
      <c r="D333" s="22" t="s">
        <v>207</v>
      </c>
      <c r="E333" s="22" t="s">
        <v>207</v>
      </c>
      <c r="F333" s="20" t="s">
        <v>621</v>
      </c>
      <c r="G333" s="22" t="s">
        <v>648</v>
      </c>
      <c r="H333" s="8"/>
      <c r="I333" s="8"/>
      <c r="J333" s="8"/>
      <c r="K333" s="8"/>
      <c r="L333" s="8"/>
      <c r="M333" s="8"/>
      <c r="N333" s="8"/>
      <c r="O333" s="8"/>
      <c r="P333" s="8"/>
      <c r="Q333" s="8"/>
      <c r="R333" s="8"/>
      <c r="S333" s="8"/>
      <c r="T333" s="8"/>
      <c r="U333" s="8"/>
      <c r="V333" s="8"/>
    </row>
    <row r="334">
      <c r="A334" s="25" t="s">
        <v>649</v>
      </c>
      <c r="B334" s="6" t="s">
        <v>650</v>
      </c>
      <c r="C334" s="5" t="s">
        <v>9</v>
      </c>
      <c r="D334" s="22" t="s">
        <v>207</v>
      </c>
      <c r="E334" s="22" t="s">
        <v>207</v>
      </c>
      <c r="F334" s="20" t="s">
        <v>621</v>
      </c>
      <c r="G334" s="22" t="s">
        <v>651</v>
      </c>
      <c r="H334" s="8"/>
      <c r="I334" s="8"/>
      <c r="J334" s="8"/>
      <c r="K334" s="8"/>
      <c r="L334" s="8"/>
      <c r="M334" s="8"/>
      <c r="N334" s="8"/>
      <c r="O334" s="8"/>
      <c r="P334" s="8"/>
      <c r="Q334" s="8"/>
      <c r="R334" s="8"/>
      <c r="S334" s="8"/>
      <c r="T334" s="8"/>
      <c r="U334" s="8"/>
      <c r="V334" s="8"/>
    </row>
    <row r="335">
      <c r="A335" s="25" t="s">
        <v>652</v>
      </c>
      <c r="B335" s="6" t="s">
        <v>653</v>
      </c>
      <c r="C335" s="5" t="s">
        <v>9</v>
      </c>
      <c r="D335" s="22" t="s">
        <v>207</v>
      </c>
      <c r="E335" s="22" t="s">
        <v>207</v>
      </c>
      <c r="F335" s="20" t="s">
        <v>621</v>
      </c>
      <c r="G335" s="22" t="s">
        <v>654</v>
      </c>
      <c r="H335" s="8"/>
      <c r="I335" s="8"/>
      <c r="J335" s="8"/>
      <c r="K335" s="8"/>
      <c r="L335" s="8"/>
      <c r="M335" s="8"/>
      <c r="N335" s="8"/>
      <c r="O335" s="8"/>
      <c r="P335" s="8"/>
      <c r="Q335" s="8"/>
      <c r="R335" s="8"/>
      <c r="S335" s="8"/>
      <c r="T335" s="8"/>
      <c r="U335" s="8"/>
      <c r="V335" s="8"/>
    </row>
    <row r="336">
      <c r="A336" s="25" t="s">
        <v>655</v>
      </c>
      <c r="B336" s="6" t="s">
        <v>656</v>
      </c>
      <c r="C336" s="5" t="s">
        <v>9</v>
      </c>
      <c r="D336" s="22" t="s">
        <v>207</v>
      </c>
      <c r="E336" s="22" t="s">
        <v>207</v>
      </c>
      <c r="F336" s="20" t="s">
        <v>621</v>
      </c>
      <c r="G336" s="22" t="s">
        <v>657</v>
      </c>
      <c r="H336" s="8"/>
      <c r="I336" s="8"/>
      <c r="J336" s="8"/>
      <c r="K336" s="8"/>
      <c r="L336" s="8"/>
      <c r="M336" s="8"/>
      <c r="N336" s="8"/>
      <c r="O336" s="8"/>
      <c r="P336" s="8"/>
      <c r="Q336" s="8"/>
      <c r="R336" s="8"/>
      <c r="S336" s="8"/>
      <c r="T336" s="8"/>
      <c r="U336" s="8"/>
      <c r="V336" s="8"/>
    </row>
    <row r="337">
      <c r="A337" s="25" t="s">
        <v>658</v>
      </c>
      <c r="B337" s="6" t="s">
        <v>659</v>
      </c>
      <c r="C337" s="5" t="s">
        <v>9</v>
      </c>
      <c r="D337" s="22" t="s">
        <v>207</v>
      </c>
      <c r="E337" s="22" t="s">
        <v>207</v>
      </c>
      <c r="F337" s="20" t="s">
        <v>621</v>
      </c>
      <c r="G337" s="22" t="s">
        <v>660</v>
      </c>
      <c r="H337" s="8"/>
      <c r="I337" s="8"/>
      <c r="J337" s="8"/>
      <c r="K337" s="8"/>
      <c r="L337" s="8"/>
      <c r="M337" s="8"/>
      <c r="N337" s="8"/>
      <c r="O337" s="8"/>
      <c r="P337" s="8"/>
      <c r="Q337" s="8"/>
      <c r="R337" s="8"/>
      <c r="S337" s="8"/>
      <c r="T337" s="8"/>
      <c r="U337" s="8"/>
      <c r="V337" s="8"/>
    </row>
    <row r="338">
      <c r="A338" s="25" t="s">
        <v>661</v>
      </c>
      <c r="B338" s="6" t="s">
        <v>662</v>
      </c>
      <c r="C338" s="5" t="s">
        <v>9</v>
      </c>
      <c r="D338" s="22" t="s">
        <v>207</v>
      </c>
      <c r="E338" s="22" t="s">
        <v>207</v>
      </c>
      <c r="F338" s="20" t="s">
        <v>621</v>
      </c>
      <c r="G338" s="22" t="s">
        <v>663</v>
      </c>
      <c r="H338" s="8"/>
      <c r="I338" s="8"/>
      <c r="J338" s="8"/>
      <c r="K338" s="8"/>
      <c r="L338" s="8"/>
      <c r="M338" s="8"/>
      <c r="N338" s="8"/>
      <c r="O338" s="8"/>
      <c r="P338" s="8"/>
      <c r="Q338" s="8"/>
      <c r="R338" s="8"/>
      <c r="S338" s="8"/>
      <c r="T338" s="8"/>
      <c r="U338" s="8"/>
      <c r="V338" s="8"/>
    </row>
    <row r="339">
      <c r="A339" s="25" t="s">
        <v>664</v>
      </c>
      <c r="B339" s="6" t="s">
        <v>665</v>
      </c>
      <c r="C339" s="5" t="s">
        <v>9</v>
      </c>
      <c r="D339" s="22" t="s">
        <v>207</v>
      </c>
      <c r="E339" s="22" t="s">
        <v>207</v>
      </c>
      <c r="F339" s="22" t="s">
        <v>666</v>
      </c>
      <c r="G339" s="22" t="s">
        <v>667</v>
      </c>
      <c r="H339" s="8"/>
      <c r="I339" s="8"/>
      <c r="J339" s="8"/>
      <c r="K339" s="8"/>
      <c r="L339" s="8"/>
      <c r="M339" s="8"/>
      <c r="N339" s="8"/>
      <c r="O339" s="8"/>
      <c r="P339" s="8"/>
      <c r="Q339" s="8"/>
      <c r="R339" s="8"/>
      <c r="S339" s="8"/>
      <c r="T339" s="8"/>
      <c r="U339" s="8"/>
      <c r="V339" s="8"/>
    </row>
    <row r="340">
      <c r="A340" s="25" t="s">
        <v>668</v>
      </c>
      <c r="B340" s="6" t="s">
        <v>665</v>
      </c>
      <c r="C340" s="5" t="s">
        <v>9</v>
      </c>
      <c r="D340" s="22" t="s">
        <v>207</v>
      </c>
      <c r="E340" s="22" t="s">
        <v>207</v>
      </c>
      <c r="F340" s="22" t="s">
        <v>666</v>
      </c>
      <c r="G340" s="22" t="s">
        <v>669</v>
      </c>
      <c r="H340" s="8"/>
      <c r="I340" s="8"/>
      <c r="J340" s="8"/>
      <c r="K340" s="8"/>
      <c r="L340" s="8"/>
      <c r="M340" s="8"/>
      <c r="N340" s="8"/>
      <c r="O340" s="8"/>
      <c r="P340" s="8"/>
      <c r="Q340" s="8"/>
      <c r="R340" s="8"/>
      <c r="S340" s="8"/>
      <c r="T340" s="8"/>
      <c r="U340" s="8"/>
      <c r="V340" s="8"/>
    </row>
    <row r="341">
      <c r="A341" s="8"/>
      <c r="B341" s="11"/>
      <c r="C341" s="8"/>
      <c r="D341" s="8"/>
      <c r="E341" s="8"/>
      <c r="F341" s="8"/>
      <c r="G341" s="10"/>
      <c r="H341" s="8"/>
      <c r="I341" s="8"/>
      <c r="J341" s="8"/>
      <c r="K341" s="8"/>
      <c r="L341" s="8"/>
      <c r="M341" s="8"/>
      <c r="N341" s="8"/>
      <c r="O341" s="8"/>
      <c r="P341" s="8"/>
      <c r="Q341" s="8"/>
      <c r="R341" s="8"/>
      <c r="S341" s="8"/>
      <c r="T341" s="8"/>
      <c r="U341" s="8"/>
      <c r="V341" s="8"/>
    </row>
    <row r="342">
      <c r="A342" s="8"/>
      <c r="B342" s="11"/>
      <c r="C342" s="8"/>
      <c r="D342" s="8"/>
      <c r="E342" s="8"/>
      <c r="F342" s="8"/>
      <c r="G342" s="10"/>
      <c r="H342" s="8"/>
      <c r="I342" s="8"/>
      <c r="J342" s="8"/>
      <c r="K342" s="8"/>
      <c r="L342" s="8"/>
      <c r="M342" s="8"/>
      <c r="N342" s="8"/>
      <c r="O342" s="8"/>
      <c r="P342" s="8"/>
      <c r="Q342" s="8"/>
      <c r="R342" s="8"/>
      <c r="S342" s="8"/>
      <c r="T342" s="8"/>
      <c r="U342" s="8"/>
      <c r="V342" s="8"/>
    </row>
    <row r="343">
      <c r="A343" s="8"/>
      <c r="B343" s="11"/>
      <c r="C343" s="8"/>
      <c r="D343" s="8"/>
      <c r="E343" s="8"/>
      <c r="F343" s="8"/>
      <c r="G343" s="10"/>
      <c r="H343" s="8"/>
      <c r="I343" s="8"/>
      <c r="J343" s="8"/>
      <c r="K343" s="8"/>
      <c r="L343" s="8"/>
      <c r="M343" s="8"/>
      <c r="N343" s="8"/>
      <c r="O343" s="8"/>
      <c r="P343" s="8"/>
      <c r="Q343" s="8"/>
      <c r="R343" s="8"/>
      <c r="S343" s="8"/>
      <c r="T343" s="8"/>
      <c r="U343" s="8"/>
      <c r="V343" s="8"/>
    </row>
    <row r="344">
      <c r="A344" s="5" t="s">
        <v>670</v>
      </c>
      <c r="B344" s="6" t="s">
        <v>363</v>
      </c>
      <c r="C344" s="8"/>
      <c r="D344" s="5" t="s">
        <v>207</v>
      </c>
      <c r="E344" s="5" t="s">
        <v>207</v>
      </c>
      <c r="F344" s="5" t="s">
        <v>671</v>
      </c>
      <c r="G344" s="7" t="s">
        <v>363</v>
      </c>
      <c r="H344" s="8"/>
      <c r="I344" s="8"/>
      <c r="J344" s="8"/>
      <c r="K344" s="8"/>
      <c r="L344" s="8"/>
      <c r="M344" s="8"/>
      <c r="N344" s="8"/>
      <c r="O344" s="8"/>
      <c r="P344" s="8"/>
      <c r="Q344" s="8"/>
      <c r="R344" s="8"/>
      <c r="S344" s="8"/>
      <c r="T344" s="8"/>
      <c r="U344" s="8"/>
      <c r="V344" s="8"/>
    </row>
    <row r="345">
      <c r="A345" s="5" t="s">
        <v>672</v>
      </c>
      <c r="B345" s="6" t="s">
        <v>363</v>
      </c>
      <c r="C345" s="8"/>
      <c r="D345" s="5" t="s">
        <v>207</v>
      </c>
      <c r="E345" s="5" t="s">
        <v>207</v>
      </c>
      <c r="F345" s="5" t="s">
        <v>671</v>
      </c>
      <c r="G345" s="7" t="s">
        <v>363</v>
      </c>
      <c r="H345" s="8"/>
      <c r="I345" s="8"/>
      <c r="J345" s="8"/>
      <c r="K345" s="8"/>
      <c r="L345" s="8"/>
      <c r="M345" s="8"/>
      <c r="N345" s="8"/>
      <c r="O345" s="8"/>
      <c r="P345" s="8"/>
      <c r="Q345" s="8"/>
      <c r="R345" s="8"/>
      <c r="S345" s="8"/>
      <c r="T345" s="8"/>
      <c r="U345" s="8"/>
      <c r="V345" s="8"/>
    </row>
    <row r="346">
      <c r="A346" s="5" t="s">
        <v>673</v>
      </c>
      <c r="B346" s="6" t="s">
        <v>363</v>
      </c>
      <c r="C346" s="8"/>
      <c r="D346" s="5" t="s">
        <v>207</v>
      </c>
      <c r="E346" s="5" t="s">
        <v>207</v>
      </c>
      <c r="F346" s="5" t="s">
        <v>671</v>
      </c>
      <c r="G346" s="7" t="s">
        <v>363</v>
      </c>
      <c r="H346" s="8"/>
      <c r="I346" s="8"/>
      <c r="J346" s="8"/>
      <c r="K346" s="8"/>
      <c r="L346" s="8"/>
      <c r="M346" s="8"/>
      <c r="N346" s="8"/>
      <c r="O346" s="8"/>
      <c r="P346" s="8"/>
      <c r="Q346" s="8"/>
      <c r="R346" s="8"/>
      <c r="S346" s="8"/>
      <c r="T346" s="8"/>
      <c r="U346" s="8"/>
      <c r="V346" s="8"/>
    </row>
    <row r="347">
      <c r="A347" s="5" t="s">
        <v>674</v>
      </c>
      <c r="B347" s="6" t="s">
        <v>363</v>
      </c>
      <c r="C347" s="8"/>
      <c r="D347" s="5" t="s">
        <v>207</v>
      </c>
      <c r="E347" s="5" t="s">
        <v>207</v>
      </c>
      <c r="F347" s="5" t="s">
        <v>671</v>
      </c>
      <c r="G347" s="7" t="s">
        <v>363</v>
      </c>
      <c r="H347" s="8"/>
      <c r="I347" s="8"/>
      <c r="J347" s="8"/>
      <c r="K347" s="8"/>
      <c r="L347" s="8"/>
      <c r="M347" s="8"/>
      <c r="N347" s="8"/>
      <c r="O347" s="8"/>
      <c r="P347" s="8"/>
      <c r="Q347" s="8"/>
      <c r="R347" s="8"/>
      <c r="S347" s="8"/>
      <c r="T347" s="8"/>
      <c r="U347" s="8"/>
      <c r="V347" s="8"/>
    </row>
    <row r="348">
      <c r="A348" s="5" t="s">
        <v>675</v>
      </c>
      <c r="B348" s="6" t="s">
        <v>363</v>
      </c>
      <c r="C348" s="8"/>
      <c r="D348" s="5" t="s">
        <v>207</v>
      </c>
      <c r="E348" s="5" t="s">
        <v>207</v>
      </c>
      <c r="F348" s="5" t="s">
        <v>671</v>
      </c>
      <c r="G348" s="7" t="s">
        <v>363</v>
      </c>
      <c r="H348" s="8"/>
      <c r="I348" s="8"/>
      <c r="J348" s="8"/>
      <c r="K348" s="8"/>
      <c r="L348" s="8"/>
      <c r="M348" s="8"/>
      <c r="N348" s="8"/>
      <c r="O348" s="8"/>
      <c r="P348" s="8"/>
      <c r="Q348" s="8"/>
      <c r="R348" s="8"/>
      <c r="S348" s="8"/>
      <c r="T348" s="8"/>
      <c r="U348" s="8"/>
      <c r="V348" s="8"/>
    </row>
    <row r="349">
      <c r="A349" s="5" t="s">
        <v>676</v>
      </c>
      <c r="B349" s="6" t="s">
        <v>363</v>
      </c>
      <c r="C349" s="8"/>
      <c r="D349" s="5" t="s">
        <v>207</v>
      </c>
      <c r="E349" s="5" t="s">
        <v>207</v>
      </c>
      <c r="F349" s="5" t="s">
        <v>671</v>
      </c>
      <c r="G349" s="7" t="s">
        <v>363</v>
      </c>
      <c r="H349" s="8"/>
      <c r="I349" s="8"/>
      <c r="J349" s="8"/>
      <c r="K349" s="8"/>
      <c r="L349" s="8"/>
      <c r="M349" s="8"/>
      <c r="N349" s="8"/>
      <c r="O349" s="8"/>
      <c r="P349" s="8"/>
      <c r="Q349" s="8"/>
      <c r="R349" s="8"/>
      <c r="S349" s="8"/>
      <c r="T349" s="8"/>
      <c r="U349" s="8"/>
      <c r="V349" s="8"/>
    </row>
    <row r="350">
      <c r="A350" s="5" t="s">
        <v>677</v>
      </c>
      <c r="B350" s="6" t="s">
        <v>363</v>
      </c>
      <c r="C350" s="8"/>
      <c r="D350" s="5" t="s">
        <v>207</v>
      </c>
      <c r="E350" s="5" t="s">
        <v>207</v>
      </c>
      <c r="F350" s="5" t="s">
        <v>671</v>
      </c>
      <c r="G350" s="7" t="s">
        <v>363</v>
      </c>
      <c r="H350" s="8"/>
      <c r="I350" s="8"/>
      <c r="J350" s="8"/>
      <c r="K350" s="8"/>
      <c r="L350" s="8"/>
      <c r="M350" s="8"/>
      <c r="N350" s="8"/>
      <c r="O350" s="8"/>
      <c r="P350" s="8"/>
      <c r="Q350" s="8"/>
      <c r="R350" s="8"/>
      <c r="S350" s="8"/>
      <c r="T350" s="8"/>
      <c r="U350" s="8"/>
      <c r="V350" s="8"/>
    </row>
    <row r="351">
      <c r="A351" s="5" t="s">
        <v>678</v>
      </c>
      <c r="B351" s="6" t="s">
        <v>363</v>
      </c>
      <c r="C351" s="8"/>
      <c r="D351" s="5" t="s">
        <v>207</v>
      </c>
      <c r="E351" s="5" t="s">
        <v>207</v>
      </c>
      <c r="F351" s="5" t="s">
        <v>671</v>
      </c>
      <c r="G351" s="7" t="s">
        <v>363</v>
      </c>
      <c r="H351" s="8"/>
      <c r="I351" s="8"/>
      <c r="J351" s="8"/>
      <c r="K351" s="8"/>
      <c r="L351" s="8"/>
      <c r="M351" s="8"/>
      <c r="N351" s="8"/>
      <c r="O351" s="8"/>
      <c r="P351" s="8"/>
      <c r="Q351" s="8"/>
      <c r="R351" s="8"/>
      <c r="S351" s="8"/>
      <c r="T351" s="8"/>
      <c r="U351" s="8"/>
      <c r="V351" s="8"/>
    </row>
    <row r="352">
      <c r="A352" s="5" t="s">
        <v>679</v>
      </c>
      <c r="B352" s="6" t="s">
        <v>363</v>
      </c>
      <c r="C352" s="8"/>
      <c r="D352" s="5" t="s">
        <v>207</v>
      </c>
      <c r="E352" s="5" t="s">
        <v>207</v>
      </c>
      <c r="F352" s="5" t="s">
        <v>671</v>
      </c>
      <c r="G352" s="7" t="s">
        <v>363</v>
      </c>
      <c r="H352" s="8"/>
      <c r="I352" s="8"/>
      <c r="J352" s="8"/>
      <c r="K352" s="8"/>
      <c r="L352" s="8"/>
      <c r="M352" s="8"/>
      <c r="N352" s="8"/>
      <c r="O352" s="8"/>
      <c r="P352" s="8"/>
      <c r="Q352" s="8"/>
      <c r="R352" s="8"/>
      <c r="S352" s="8"/>
      <c r="T352" s="8"/>
      <c r="U352" s="8"/>
      <c r="V352" s="8"/>
    </row>
    <row r="353">
      <c r="A353" s="5" t="s">
        <v>680</v>
      </c>
      <c r="B353" s="6" t="s">
        <v>363</v>
      </c>
      <c r="C353" s="8"/>
      <c r="D353" s="5" t="s">
        <v>207</v>
      </c>
      <c r="E353" s="5" t="s">
        <v>207</v>
      </c>
      <c r="F353" s="5" t="s">
        <v>671</v>
      </c>
      <c r="G353" s="7" t="s">
        <v>363</v>
      </c>
      <c r="H353" s="8"/>
      <c r="I353" s="8"/>
      <c r="J353" s="8"/>
      <c r="K353" s="8"/>
      <c r="L353" s="8"/>
      <c r="M353" s="8"/>
      <c r="N353" s="8"/>
      <c r="O353" s="8"/>
      <c r="P353" s="8"/>
      <c r="Q353" s="8"/>
      <c r="R353" s="8"/>
      <c r="S353" s="8"/>
      <c r="T353" s="8"/>
      <c r="U353" s="8"/>
      <c r="V353" s="8"/>
    </row>
    <row r="354">
      <c r="A354" s="5" t="s">
        <v>681</v>
      </c>
      <c r="B354" s="6" t="s">
        <v>363</v>
      </c>
      <c r="C354" s="8"/>
      <c r="D354" s="5" t="s">
        <v>207</v>
      </c>
      <c r="E354" s="5" t="s">
        <v>207</v>
      </c>
      <c r="F354" s="5" t="s">
        <v>671</v>
      </c>
      <c r="G354" s="7" t="s">
        <v>363</v>
      </c>
      <c r="H354" s="8"/>
      <c r="I354" s="8"/>
      <c r="J354" s="8"/>
      <c r="K354" s="8"/>
      <c r="L354" s="8"/>
      <c r="M354" s="8"/>
      <c r="N354" s="8"/>
      <c r="O354" s="8"/>
      <c r="P354" s="8"/>
      <c r="Q354" s="8"/>
      <c r="R354" s="8"/>
      <c r="S354" s="8"/>
      <c r="T354" s="8"/>
      <c r="U354" s="8"/>
      <c r="V354" s="8"/>
    </row>
    <row r="355">
      <c r="A355" s="5" t="s">
        <v>682</v>
      </c>
      <c r="B355" s="6" t="s">
        <v>363</v>
      </c>
      <c r="C355" s="8"/>
      <c r="D355" s="5" t="s">
        <v>207</v>
      </c>
      <c r="E355" s="5" t="s">
        <v>207</v>
      </c>
      <c r="F355" s="5" t="s">
        <v>671</v>
      </c>
      <c r="G355" s="7" t="s">
        <v>363</v>
      </c>
      <c r="H355" s="8"/>
      <c r="I355" s="8"/>
      <c r="J355" s="8"/>
      <c r="K355" s="8"/>
      <c r="L355" s="8"/>
      <c r="M355" s="8"/>
      <c r="N355" s="8"/>
      <c r="O355" s="8"/>
      <c r="P355" s="8"/>
      <c r="Q355" s="8"/>
      <c r="R355" s="8"/>
      <c r="S355" s="8"/>
      <c r="T355" s="8"/>
      <c r="U355" s="8"/>
      <c r="V355" s="8"/>
    </row>
    <row r="356">
      <c r="A356" s="5" t="s">
        <v>683</v>
      </c>
      <c r="B356" s="6" t="s">
        <v>363</v>
      </c>
      <c r="C356" s="8"/>
      <c r="D356" s="5" t="s">
        <v>207</v>
      </c>
      <c r="E356" s="5" t="s">
        <v>207</v>
      </c>
      <c r="F356" s="5" t="s">
        <v>671</v>
      </c>
      <c r="G356" s="7" t="s">
        <v>363</v>
      </c>
      <c r="H356" s="8"/>
      <c r="I356" s="8"/>
      <c r="J356" s="8"/>
      <c r="K356" s="8"/>
      <c r="L356" s="8"/>
      <c r="M356" s="8"/>
      <c r="N356" s="8"/>
      <c r="O356" s="8"/>
      <c r="P356" s="8"/>
      <c r="Q356" s="8"/>
      <c r="R356" s="8"/>
      <c r="S356" s="8"/>
      <c r="T356" s="8"/>
      <c r="U356" s="8"/>
      <c r="V356" s="8"/>
    </row>
    <row r="357">
      <c r="A357" s="5" t="s">
        <v>684</v>
      </c>
      <c r="B357" s="6" t="s">
        <v>363</v>
      </c>
      <c r="C357" s="8"/>
      <c r="D357" s="5" t="s">
        <v>207</v>
      </c>
      <c r="E357" s="5" t="s">
        <v>207</v>
      </c>
      <c r="F357" s="5" t="s">
        <v>671</v>
      </c>
      <c r="G357" s="7" t="s">
        <v>363</v>
      </c>
      <c r="H357" s="8"/>
      <c r="I357" s="8"/>
      <c r="J357" s="8"/>
      <c r="K357" s="8"/>
      <c r="L357" s="8"/>
      <c r="M357" s="8"/>
      <c r="N357" s="8"/>
      <c r="O357" s="8"/>
      <c r="P357" s="8"/>
      <c r="Q357" s="8"/>
      <c r="R357" s="8"/>
      <c r="S357" s="8"/>
      <c r="T357" s="8"/>
      <c r="U357" s="8"/>
      <c r="V357" s="8"/>
    </row>
    <row r="358">
      <c r="A358" s="5" t="s">
        <v>685</v>
      </c>
      <c r="B358" s="6" t="s">
        <v>363</v>
      </c>
      <c r="C358" s="8"/>
      <c r="D358" s="5" t="s">
        <v>207</v>
      </c>
      <c r="E358" s="5" t="s">
        <v>207</v>
      </c>
      <c r="F358" s="5" t="s">
        <v>671</v>
      </c>
      <c r="G358" s="7" t="s">
        <v>363</v>
      </c>
      <c r="H358" s="8"/>
      <c r="I358" s="8"/>
      <c r="J358" s="8"/>
      <c r="K358" s="8"/>
      <c r="L358" s="8"/>
      <c r="M358" s="8"/>
      <c r="N358" s="8"/>
      <c r="O358" s="8"/>
      <c r="P358" s="8"/>
      <c r="Q358" s="8"/>
      <c r="R358" s="8"/>
      <c r="S358" s="8"/>
      <c r="T358" s="8"/>
      <c r="U358" s="8"/>
      <c r="V358" s="8"/>
    </row>
    <row r="359">
      <c r="A359" s="5" t="s">
        <v>686</v>
      </c>
      <c r="B359" s="6" t="s">
        <v>363</v>
      </c>
      <c r="C359" s="8"/>
      <c r="D359" s="5" t="s">
        <v>207</v>
      </c>
      <c r="E359" s="5" t="s">
        <v>207</v>
      </c>
      <c r="F359" s="5" t="s">
        <v>671</v>
      </c>
      <c r="G359" s="7" t="s">
        <v>363</v>
      </c>
      <c r="H359" s="8"/>
      <c r="I359" s="8"/>
      <c r="J359" s="8"/>
      <c r="K359" s="8"/>
      <c r="L359" s="8"/>
      <c r="M359" s="8"/>
      <c r="N359" s="8"/>
      <c r="O359" s="8"/>
      <c r="P359" s="8"/>
      <c r="Q359" s="8"/>
      <c r="R359" s="8"/>
      <c r="S359" s="8"/>
      <c r="T359" s="8"/>
      <c r="U359" s="8"/>
      <c r="V359" s="8"/>
    </row>
    <row r="360">
      <c r="A360" s="5" t="s">
        <v>687</v>
      </c>
      <c r="B360" s="6" t="s">
        <v>363</v>
      </c>
      <c r="C360" s="8"/>
      <c r="D360" s="5" t="s">
        <v>207</v>
      </c>
      <c r="E360" s="5" t="s">
        <v>207</v>
      </c>
      <c r="F360" s="5" t="s">
        <v>671</v>
      </c>
      <c r="G360" s="7" t="s">
        <v>363</v>
      </c>
      <c r="H360" s="8"/>
      <c r="I360" s="8"/>
      <c r="J360" s="8"/>
      <c r="K360" s="8"/>
      <c r="L360" s="8"/>
      <c r="M360" s="8"/>
      <c r="N360" s="8"/>
      <c r="O360" s="8"/>
      <c r="P360" s="8"/>
      <c r="Q360" s="8"/>
      <c r="R360" s="8"/>
      <c r="S360" s="8"/>
      <c r="T360" s="8"/>
      <c r="U360" s="8"/>
      <c r="V360" s="8"/>
    </row>
    <row r="361">
      <c r="A361" s="5" t="s">
        <v>688</v>
      </c>
      <c r="B361" s="6" t="s">
        <v>363</v>
      </c>
      <c r="C361" s="8"/>
      <c r="D361" s="5" t="s">
        <v>207</v>
      </c>
      <c r="E361" s="5" t="s">
        <v>207</v>
      </c>
      <c r="F361" s="5" t="s">
        <v>671</v>
      </c>
      <c r="G361" s="7" t="s">
        <v>363</v>
      </c>
      <c r="H361" s="8"/>
      <c r="I361" s="8"/>
      <c r="J361" s="8"/>
      <c r="K361" s="8"/>
      <c r="L361" s="8"/>
      <c r="M361" s="8"/>
      <c r="N361" s="8"/>
      <c r="O361" s="8"/>
      <c r="P361" s="8"/>
      <c r="Q361" s="8"/>
      <c r="R361" s="8"/>
      <c r="S361" s="8"/>
      <c r="T361" s="8"/>
      <c r="U361" s="8"/>
      <c r="V361" s="8"/>
    </row>
    <row r="362">
      <c r="A362" s="5" t="s">
        <v>689</v>
      </c>
      <c r="B362" s="6" t="s">
        <v>363</v>
      </c>
      <c r="C362" s="8"/>
      <c r="D362" s="5" t="s">
        <v>207</v>
      </c>
      <c r="E362" s="5" t="s">
        <v>207</v>
      </c>
      <c r="F362" s="5" t="s">
        <v>671</v>
      </c>
      <c r="G362" s="7" t="s">
        <v>363</v>
      </c>
      <c r="H362" s="8"/>
      <c r="I362" s="8"/>
      <c r="J362" s="8"/>
      <c r="K362" s="8"/>
      <c r="L362" s="8"/>
      <c r="M362" s="8"/>
      <c r="N362" s="8"/>
      <c r="O362" s="8"/>
      <c r="P362" s="8"/>
      <c r="Q362" s="8"/>
      <c r="R362" s="8"/>
      <c r="S362" s="8"/>
      <c r="T362" s="8"/>
      <c r="U362" s="8"/>
      <c r="V362" s="8"/>
    </row>
    <row r="363">
      <c r="A363" s="5" t="s">
        <v>690</v>
      </c>
      <c r="B363" s="6" t="s">
        <v>363</v>
      </c>
      <c r="C363" s="8"/>
      <c r="D363" s="5" t="s">
        <v>207</v>
      </c>
      <c r="E363" s="5" t="s">
        <v>207</v>
      </c>
      <c r="F363" s="5" t="s">
        <v>671</v>
      </c>
      <c r="G363" s="7" t="s">
        <v>363</v>
      </c>
      <c r="H363" s="8"/>
      <c r="I363" s="8"/>
      <c r="J363" s="8"/>
      <c r="K363" s="8"/>
      <c r="L363" s="8"/>
      <c r="M363" s="8"/>
      <c r="N363" s="8"/>
      <c r="O363" s="8"/>
      <c r="P363" s="8"/>
      <c r="Q363" s="8"/>
      <c r="R363" s="8"/>
      <c r="S363" s="8"/>
      <c r="T363" s="8"/>
      <c r="U363" s="8"/>
      <c r="V363" s="8"/>
    </row>
    <row r="364">
      <c r="A364" s="5" t="s">
        <v>691</v>
      </c>
      <c r="B364" s="6" t="s">
        <v>363</v>
      </c>
      <c r="C364" s="8"/>
      <c r="D364" s="5" t="s">
        <v>207</v>
      </c>
      <c r="E364" s="5" t="s">
        <v>207</v>
      </c>
      <c r="F364" s="5" t="s">
        <v>671</v>
      </c>
      <c r="G364" s="7" t="s">
        <v>363</v>
      </c>
      <c r="H364" s="8"/>
      <c r="I364" s="8"/>
      <c r="J364" s="8"/>
      <c r="K364" s="8"/>
      <c r="L364" s="8"/>
      <c r="M364" s="8"/>
      <c r="N364" s="8"/>
      <c r="O364" s="8"/>
      <c r="P364" s="8"/>
      <c r="Q364" s="8"/>
      <c r="R364" s="8"/>
      <c r="S364" s="8"/>
      <c r="T364" s="8"/>
      <c r="U364" s="8"/>
      <c r="V364" s="8"/>
    </row>
    <row r="365">
      <c r="A365" s="8"/>
      <c r="B365" s="6" t="s">
        <v>363</v>
      </c>
      <c r="C365" s="8"/>
      <c r="D365" s="5" t="s">
        <v>207</v>
      </c>
      <c r="E365" s="5" t="s">
        <v>207</v>
      </c>
      <c r="F365" s="5" t="s">
        <v>671</v>
      </c>
      <c r="G365" s="10"/>
      <c r="H365" s="8"/>
      <c r="I365" s="8"/>
      <c r="J365" s="8"/>
      <c r="K365" s="8"/>
      <c r="L365" s="8"/>
      <c r="M365" s="8"/>
      <c r="N365" s="8"/>
      <c r="O365" s="8"/>
      <c r="P365" s="8"/>
      <c r="Q365" s="8"/>
      <c r="R365" s="8"/>
      <c r="S365" s="8"/>
      <c r="T365" s="8"/>
      <c r="U365" s="8"/>
      <c r="V365" s="8"/>
    </row>
    <row r="366">
      <c r="A366" s="8"/>
      <c r="B366" s="11"/>
      <c r="C366" s="8"/>
      <c r="D366" s="8"/>
      <c r="E366" s="8"/>
      <c r="F366" s="8"/>
      <c r="G366" s="10"/>
      <c r="H366" s="8"/>
      <c r="I366" s="8"/>
      <c r="J366" s="8"/>
      <c r="K366" s="8"/>
      <c r="L366" s="8"/>
      <c r="M366" s="8"/>
      <c r="N366" s="8"/>
      <c r="O366" s="8"/>
      <c r="P366" s="8"/>
      <c r="Q366" s="8"/>
      <c r="R366" s="8"/>
      <c r="S366" s="8"/>
      <c r="T366" s="8"/>
      <c r="U366" s="8"/>
      <c r="V366" s="8"/>
    </row>
    <row r="367">
      <c r="A367" s="8"/>
      <c r="B367" s="11"/>
      <c r="C367" s="8"/>
      <c r="D367" s="8"/>
      <c r="E367" s="8"/>
      <c r="F367" s="8"/>
      <c r="G367" s="10"/>
      <c r="H367" s="8"/>
      <c r="I367" s="8"/>
      <c r="J367" s="8"/>
      <c r="K367" s="8"/>
      <c r="L367" s="8"/>
      <c r="M367" s="8"/>
      <c r="N367" s="8"/>
      <c r="O367" s="8"/>
      <c r="P367" s="8"/>
      <c r="Q367" s="8"/>
      <c r="R367" s="8"/>
      <c r="S367" s="8"/>
      <c r="T367" s="8"/>
      <c r="U367" s="8"/>
      <c r="V367" s="8"/>
    </row>
    <row r="368">
      <c r="A368" s="8"/>
      <c r="B368" s="11"/>
      <c r="C368" s="8"/>
      <c r="D368" s="8"/>
      <c r="E368" s="8"/>
      <c r="F368" s="8"/>
      <c r="G368" s="10"/>
      <c r="H368" s="8"/>
      <c r="I368" s="8"/>
      <c r="J368" s="8"/>
      <c r="K368" s="8"/>
      <c r="L368" s="8"/>
      <c r="M368" s="8"/>
      <c r="N368" s="8"/>
      <c r="O368" s="8"/>
      <c r="P368" s="8"/>
      <c r="Q368" s="8"/>
      <c r="R368" s="8"/>
      <c r="S368" s="8"/>
      <c r="T368" s="8"/>
      <c r="U368" s="8"/>
      <c r="V368" s="8"/>
    </row>
    <row r="369">
      <c r="A369" s="5" t="s">
        <v>692</v>
      </c>
      <c r="B369" s="6" t="s">
        <v>363</v>
      </c>
      <c r="C369" s="8"/>
      <c r="D369" s="5" t="s">
        <v>207</v>
      </c>
      <c r="E369" s="5" t="s">
        <v>207</v>
      </c>
      <c r="F369" s="5" t="s">
        <v>693</v>
      </c>
      <c r="G369" s="10"/>
      <c r="H369" s="8"/>
      <c r="I369" s="8"/>
      <c r="J369" s="8"/>
      <c r="K369" s="8"/>
      <c r="L369" s="8"/>
      <c r="M369" s="8"/>
      <c r="N369" s="8"/>
      <c r="O369" s="8"/>
      <c r="P369" s="8"/>
      <c r="Q369" s="8"/>
      <c r="R369" s="8"/>
      <c r="S369" s="8"/>
      <c r="T369" s="8"/>
      <c r="U369" s="8"/>
      <c r="V369" s="8"/>
    </row>
    <row r="370">
      <c r="A370" s="5" t="s">
        <v>694</v>
      </c>
      <c r="B370" s="6" t="s">
        <v>363</v>
      </c>
      <c r="C370" s="8"/>
      <c r="D370" s="5" t="s">
        <v>207</v>
      </c>
      <c r="E370" s="5" t="s">
        <v>207</v>
      </c>
      <c r="F370" s="5" t="s">
        <v>693</v>
      </c>
      <c r="G370" s="10"/>
      <c r="H370" s="8"/>
      <c r="I370" s="8"/>
      <c r="J370" s="8"/>
      <c r="K370" s="8"/>
      <c r="L370" s="8"/>
      <c r="M370" s="8"/>
      <c r="N370" s="8"/>
      <c r="O370" s="8"/>
      <c r="P370" s="8"/>
      <c r="Q370" s="8"/>
      <c r="R370" s="8"/>
      <c r="S370" s="8"/>
      <c r="T370" s="8"/>
      <c r="U370" s="8"/>
      <c r="V370" s="8"/>
    </row>
    <row r="371">
      <c r="A371" s="5" t="s">
        <v>695</v>
      </c>
      <c r="B371" s="6" t="s">
        <v>363</v>
      </c>
      <c r="C371" s="8"/>
      <c r="D371" s="5" t="s">
        <v>696</v>
      </c>
      <c r="E371" s="5" t="s">
        <v>207</v>
      </c>
      <c r="F371" s="5" t="s">
        <v>693</v>
      </c>
      <c r="G371" s="10"/>
      <c r="H371" s="8"/>
      <c r="I371" s="8"/>
      <c r="J371" s="8"/>
      <c r="K371" s="8"/>
      <c r="L371" s="8"/>
      <c r="M371" s="8"/>
      <c r="N371" s="8"/>
      <c r="O371" s="8"/>
      <c r="P371" s="8"/>
      <c r="Q371" s="8"/>
      <c r="R371" s="8"/>
      <c r="S371" s="8"/>
      <c r="T371" s="8"/>
      <c r="U371" s="8"/>
      <c r="V371" s="8"/>
    </row>
    <row r="372">
      <c r="A372" s="5" t="s">
        <v>697</v>
      </c>
      <c r="B372" s="6" t="s">
        <v>363</v>
      </c>
      <c r="C372" s="8"/>
      <c r="D372" s="5" t="s">
        <v>632</v>
      </c>
      <c r="E372" s="5" t="s">
        <v>207</v>
      </c>
      <c r="F372" s="5" t="s">
        <v>693</v>
      </c>
      <c r="G372" s="10"/>
      <c r="H372" s="8"/>
      <c r="I372" s="8"/>
      <c r="J372" s="8"/>
      <c r="K372" s="8"/>
      <c r="L372" s="8"/>
      <c r="M372" s="8"/>
      <c r="N372" s="8"/>
      <c r="O372" s="8"/>
      <c r="P372" s="8"/>
      <c r="Q372" s="8"/>
      <c r="R372" s="8"/>
      <c r="S372" s="8"/>
      <c r="T372" s="8"/>
      <c r="U372" s="8"/>
      <c r="V372" s="8"/>
    </row>
    <row r="373">
      <c r="A373" s="5" t="s">
        <v>698</v>
      </c>
      <c r="B373" s="6" t="s">
        <v>363</v>
      </c>
      <c r="C373" s="8"/>
      <c r="D373" s="5" t="s">
        <v>207</v>
      </c>
      <c r="E373" s="5" t="s">
        <v>207</v>
      </c>
      <c r="F373" s="5" t="s">
        <v>699</v>
      </c>
      <c r="G373" s="10"/>
      <c r="H373" s="8"/>
      <c r="I373" s="8"/>
      <c r="J373" s="8"/>
      <c r="K373" s="8"/>
      <c r="L373" s="8"/>
      <c r="M373" s="8"/>
      <c r="N373" s="8"/>
      <c r="O373" s="8"/>
      <c r="P373" s="8"/>
      <c r="Q373" s="8"/>
      <c r="R373" s="8"/>
      <c r="S373" s="8"/>
      <c r="T373" s="8"/>
      <c r="U373" s="8"/>
      <c r="V373" s="8"/>
    </row>
    <row r="374">
      <c r="A374" s="5" t="s">
        <v>700</v>
      </c>
      <c r="B374" s="6" t="s">
        <v>363</v>
      </c>
      <c r="C374" s="8"/>
      <c r="D374" s="5" t="s">
        <v>307</v>
      </c>
      <c r="E374" s="5" t="s">
        <v>308</v>
      </c>
      <c r="F374" s="5" t="s">
        <v>693</v>
      </c>
      <c r="G374" s="10"/>
      <c r="H374" s="8"/>
      <c r="I374" s="8"/>
      <c r="J374" s="8"/>
      <c r="K374" s="8"/>
      <c r="L374" s="8"/>
      <c r="M374" s="8"/>
      <c r="N374" s="8"/>
      <c r="O374" s="8"/>
      <c r="P374" s="8"/>
      <c r="Q374" s="8"/>
      <c r="R374" s="8"/>
      <c r="S374" s="8"/>
      <c r="T374" s="8"/>
      <c r="U374" s="8"/>
      <c r="V374" s="8"/>
    </row>
    <row r="375">
      <c r="A375" s="5" t="s">
        <v>701</v>
      </c>
      <c r="B375" s="6" t="s">
        <v>363</v>
      </c>
      <c r="C375" s="8"/>
      <c r="D375" s="5" t="s">
        <v>702</v>
      </c>
      <c r="E375" s="5" t="s">
        <v>703</v>
      </c>
      <c r="F375" s="5" t="s">
        <v>693</v>
      </c>
      <c r="G375" s="10"/>
      <c r="H375" s="8"/>
      <c r="I375" s="8"/>
      <c r="J375" s="8"/>
      <c r="K375" s="8"/>
      <c r="L375" s="8"/>
      <c r="M375" s="8"/>
      <c r="N375" s="8"/>
      <c r="O375" s="8"/>
      <c r="P375" s="8"/>
      <c r="Q375" s="8"/>
      <c r="R375" s="8"/>
      <c r="S375" s="8"/>
      <c r="T375" s="8"/>
      <c r="U375" s="8"/>
      <c r="V375" s="8"/>
    </row>
    <row r="376">
      <c r="A376" s="5" t="s">
        <v>704</v>
      </c>
      <c r="B376" s="6" t="s">
        <v>363</v>
      </c>
      <c r="C376" s="8"/>
      <c r="D376" s="5"/>
      <c r="E376" s="5"/>
      <c r="F376" s="5"/>
      <c r="G376" s="10"/>
      <c r="H376" s="8"/>
      <c r="I376" s="8"/>
      <c r="J376" s="8"/>
      <c r="K376" s="8"/>
      <c r="L376" s="8"/>
      <c r="M376" s="8"/>
      <c r="N376" s="8"/>
      <c r="O376" s="8"/>
      <c r="P376" s="8"/>
      <c r="Q376" s="8"/>
      <c r="R376" s="8"/>
      <c r="S376" s="8"/>
      <c r="T376" s="8"/>
      <c r="U376" s="8"/>
      <c r="V376" s="8"/>
    </row>
    <row r="377">
      <c r="A377" s="5"/>
      <c r="B377" s="6"/>
      <c r="C377" s="8"/>
      <c r="D377" s="5"/>
      <c r="E377" s="5"/>
      <c r="F377" s="5"/>
      <c r="G377" s="10"/>
      <c r="H377" s="8"/>
      <c r="I377" s="8"/>
      <c r="J377" s="8"/>
      <c r="K377" s="8"/>
      <c r="L377" s="8"/>
      <c r="M377" s="8"/>
      <c r="N377" s="8"/>
      <c r="O377" s="8"/>
      <c r="P377" s="8"/>
      <c r="Q377" s="8"/>
      <c r="R377" s="8"/>
      <c r="S377" s="8"/>
      <c r="T377" s="8"/>
      <c r="U377" s="8"/>
      <c r="V377" s="8"/>
    </row>
    <row r="378">
      <c r="A378" s="5"/>
      <c r="B378" s="6"/>
      <c r="C378" s="8"/>
      <c r="D378" s="5"/>
      <c r="E378" s="5"/>
      <c r="F378" s="5"/>
      <c r="G378" s="10"/>
      <c r="H378" s="8"/>
      <c r="I378" s="8"/>
      <c r="J378" s="8"/>
      <c r="K378" s="8"/>
      <c r="L378" s="8"/>
      <c r="M378" s="8"/>
      <c r="N378" s="8"/>
      <c r="O378" s="8"/>
      <c r="P378" s="8"/>
      <c r="Q378" s="8"/>
      <c r="R378" s="8"/>
      <c r="S378" s="8"/>
      <c r="T378" s="8"/>
      <c r="U378" s="8"/>
      <c r="V378" s="8"/>
    </row>
    <row r="379">
      <c r="A379" s="5"/>
      <c r="B379" s="6"/>
      <c r="C379" s="8"/>
      <c r="D379" s="5"/>
      <c r="E379" s="5"/>
      <c r="F379" s="5"/>
      <c r="G379" s="10"/>
      <c r="H379" s="8"/>
      <c r="I379" s="8"/>
      <c r="J379" s="8"/>
      <c r="K379" s="8"/>
      <c r="L379" s="8"/>
      <c r="M379" s="8"/>
      <c r="N379" s="8"/>
      <c r="O379" s="8"/>
      <c r="P379" s="8"/>
      <c r="Q379" s="8"/>
      <c r="R379" s="8"/>
      <c r="S379" s="8"/>
      <c r="T379" s="8"/>
      <c r="U379" s="8"/>
      <c r="V379" s="8"/>
    </row>
    <row r="380">
      <c r="A380" s="5" t="s">
        <v>705</v>
      </c>
      <c r="B380" s="6" t="s">
        <v>363</v>
      </c>
      <c r="C380" s="8"/>
      <c r="D380" s="5" t="s">
        <v>207</v>
      </c>
      <c r="E380" s="5" t="s">
        <v>207</v>
      </c>
      <c r="F380" s="5" t="s">
        <v>693</v>
      </c>
      <c r="G380" s="10"/>
      <c r="H380" s="8"/>
      <c r="I380" s="8"/>
      <c r="J380" s="8"/>
      <c r="K380" s="8"/>
      <c r="L380" s="8"/>
      <c r="M380" s="8"/>
      <c r="N380" s="8"/>
      <c r="O380" s="8"/>
      <c r="P380" s="8"/>
      <c r="Q380" s="8"/>
      <c r="R380" s="8"/>
      <c r="S380" s="8"/>
      <c r="T380" s="8"/>
      <c r="U380" s="8"/>
      <c r="V380" s="8"/>
    </row>
    <row r="381">
      <c r="A381" s="5" t="s">
        <v>704</v>
      </c>
      <c r="B381" s="6" t="s">
        <v>363</v>
      </c>
      <c r="C381" s="8"/>
      <c r="D381" s="5" t="s">
        <v>207</v>
      </c>
      <c r="E381" s="5" t="s">
        <v>207</v>
      </c>
      <c r="F381" s="5" t="s">
        <v>693</v>
      </c>
      <c r="G381" s="10"/>
      <c r="H381" s="8"/>
      <c r="I381" s="8"/>
      <c r="J381" s="8"/>
      <c r="K381" s="8"/>
      <c r="L381" s="8"/>
      <c r="M381" s="8"/>
      <c r="N381" s="8"/>
      <c r="O381" s="8"/>
      <c r="P381" s="8"/>
      <c r="Q381" s="8"/>
      <c r="R381" s="8"/>
      <c r="S381" s="8"/>
      <c r="T381" s="8"/>
      <c r="U381" s="8"/>
      <c r="V381" s="8"/>
    </row>
    <row r="382">
      <c r="A382" s="5" t="s">
        <v>706</v>
      </c>
      <c r="B382" s="6" t="s">
        <v>363</v>
      </c>
      <c r="C382" s="8"/>
      <c r="D382" s="5" t="s">
        <v>207</v>
      </c>
      <c r="E382" s="5" t="s">
        <v>207</v>
      </c>
      <c r="F382" s="5" t="s">
        <v>707</v>
      </c>
      <c r="G382" s="10"/>
      <c r="H382" s="8"/>
      <c r="I382" s="8"/>
      <c r="J382" s="8"/>
      <c r="K382" s="8"/>
      <c r="L382" s="8"/>
      <c r="M382" s="8"/>
      <c r="N382" s="8"/>
      <c r="O382" s="8"/>
      <c r="P382" s="8"/>
      <c r="Q382" s="8"/>
      <c r="R382" s="8"/>
      <c r="S382" s="8"/>
      <c r="T382" s="8"/>
      <c r="U382" s="8"/>
      <c r="V382" s="8"/>
    </row>
    <row r="383">
      <c r="A383" s="5" t="s">
        <v>708</v>
      </c>
      <c r="B383" s="6" t="s">
        <v>363</v>
      </c>
      <c r="C383" s="8"/>
      <c r="D383" s="5" t="s">
        <v>560</v>
      </c>
      <c r="E383" s="5" t="s">
        <v>308</v>
      </c>
      <c r="F383" s="5" t="s">
        <v>693</v>
      </c>
      <c r="G383" s="10"/>
      <c r="H383" s="8"/>
      <c r="I383" s="8"/>
      <c r="J383" s="8"/>
      <c r="K383" s="8"/>
      <c r="L383" s="8"/>
      <c r="M383" s="8"/>
      <c r="N383" s="8"/>
      <c r="O383" s="8"/>
      <c r="P383" s="8"/>
      <c r="Q383" s="8"/>
      <c r="R383" s="8"/>
      <c r="S383" s="8"/>
      <c r="T383" s="8"/>
      <c r="U383" s="8"/>
      <c r="V383" s="8"/>
    </row>
    <row r="384">
      <c r="A384" s="5" t="s">
        <v>709</v>
      </c>
      <c r="B384" s="6" t="s">
        <v>363</v>
      </c>
      <c r="C384" s="8"/>
      <c r="D384" s="5" t="s">
        <v>207</v>
      </c>
      <c r="E384" s="5" t="s">
        <v>9</v>
      </c>
      <c r="F384" s="5" t="s">
        <v>710</v>
      </c>
      <c r="G384" s="7" t="s">
        <v>711</v>
      </c>
      <c r="H384" s="8"/>
      <c r="I384" s="8"/>
      <c r="J384" s="8"/>
      <c r="K384" s="8"/>
      <c r="L384" s="8"/>
      <c r="M384" s="8"/>
      <c r="N384" s="8"/>
      <c r="O384" s="8"/>
      <c r="P384" s="8"/>
      <c r="Q384" s="8"/>
      <c r="R384" s="8"/>
      <c r="S384" s="8"/>
      <c r="T384" s="8"/>
      <c r="U384" s="8"/>
      <c r="V384" s="8"/>
    </row>
    <row r="385">
      <c r="A385" s="8"/>
      <c r="B385" s="11"/>
      <c r="C385" s="8"/>
      <c r="D385" s="8"/>
      <c r="E385" s="8"/>
      <c r="F385" s="8"/>
      <c r="G385" s="10"/>
      <c r="H385" s="8"/>
      <c r="I385" s="8"/>
      <c r="J385" s="8"/>
      <c r="K385" s="8"/>
      <c r="L385" s="8"/>
      <c r="M385" s="8"/>
      <c r="N385" s="8"/>
      <c r="O385" s="8"/>
      <c r="P385" s="8"/>
      <c r="Q385" s="8"/>
      <c r="R385" s="8"/>
      <c r="S385" s="8"/>
      <c r="T385" s="8"/>
      <c r="U385" s="8"/>
      <c r="V385" s="8"/>
    </row>
    <row r="386">
      <c r="A386" s="8"/>
      <c r="B386" s="11"/>
      <c r="C386" s="8"/>
      <c r="D386" s="8"/>
      <c r="E386" s="8"/>
      <c r="F386" s="8"/>
      <c r="G386" s="10"/>
      <c r="H386" s="8"/>
      <c r="I386" s="8"/>
      <c r="J386" s="8"/>
      <c r="K386" s="8"/>
      <c r="L386" s="8"/>
      <c r="M386" s="8"/>
      <c r="N386" s="8"/>
      <c r="O386" s="8"/>
      <c r="P386" s="8"/>
      <c r="Q386" s="8"/>
      <c r="R386" s="8"/>
      <c r="S386" s="8"/>
      <c r="T386" s="8"/>
      <c r="U386" s="8"/>
      <c r="V386" s="8"/>
    </row>
    <row r="387">
      <c r="A387" s="8"/>
      <c r="B387" s="11"/>
      <c r="C387" s="8"/>
      <c r="D387" s="8"/>
      <c r="E387" s="8"/>
      <c r="F387" s="8"/>
      <c r="G387" s="10"/>
      <c r="H387" s="8"/>
      <c r="I387" s="8"/>
      <c r="J387" s="8"/>
      <c r="K387" s="8"/>
      <c r="L387" s="8"/>
      <c r="M387" s="8"/>
      <c r="N387" s="8"/>
      <c r="O387" s="8"/>
      <c r="P387" s="8"/>
      <c r="Q387" s="8"/>
      <c r="R387" s="8"/>
      <c r="S387" s="8"/>
      <c r="T387" s="8"/>
      <c r="U387" s="8"/>
      <c r="V387" s="8"/>
    </row>
    <row r="388">
      <c r="A388" s="21" t="s">
        <v>712</v>
      </c>
      <c r="B388" s="11"/>
      <c r="C388" s="8"/>
      <c r="D388" s="21" t="s">
        <v>404</v>
      </c>
      <c r="E388" s="20" t="s">
        <v>713</v>
      </c>
      <c r="F388" s="12" t="s">
        <v>714</v>
      </c>
      <c r="G388" s="10"/>
      <c r="H388" s="8"/>
      <c r="I388" s="8"/>
      <c r="J388" s="8"/>
      <c r="K388" s="8"/>
      <c r="L388" s="8"/>
      <c r="M388" s="8"/>
      <c r="N388" s="8"/>
      <c r="O388" s="8"/>
      <c r="P388" s="8"/>
      <c r="Q388" s="8"/>
      <c r="R388" s="8"/>
      <c r="S388" s="8"/>
      <c r="T388" s="8"/>
      <c r="U388" s="8"/>
      <c r="V388" s="8"/>
    </row>
    <row r="389">
      <c r="A389" s="23" t="s">
        <v>715</v>
      </c>
      <c r="B389" s="11"/>
      <c r="C389" s="8"/>
      <c r="D389" s="23" t="s">
        <v>404</v>
      </c>
      <c r="E389" s="20" t="s">
        <v>713</v>
      </c>
      <c r="F389" s="12" t="s">
        <v>714</v>
      </c>
      <c r="G389" s="10"/>
      <c r="H389" s="8"/>
      <c r="I389" s="8"/>
      <c r="J389" s="8"/>
      <c r="K389" s="8"/>
      <c r="L389" s="8"/>
      <c r="M389" s="8"/>
      <c r="N389" s="8"/>
      <c r="O389" s="8"/>
      <c r="P389" s="8"/>
      <c r="Q389" s="8"/>
      <c r="R389" s="8"/>
      <c r="S389" s="8"/>
      <c r="T389" s="8"/>
      <c r="U389" s="8"/>
      <c r="V389" s="8"/>
    </row>
    <row r="390">
      <c r="A390" s="23" t="s">
        <v>716</v>
      </c>
      <c r="B390" s="11"/>
      <c r="C390" s="8"/>
      <c r="D390" s="23" t="s">
        <v>404</v>
      </c>
      <c r="E390" s="20" t="s">
        <v>713</v>
      </c>
      <c r="F390" s="5" t="s">
        <v>714</v>
      </c>
      <c r="G390" s="10"/>
      <c r="H390" s="8"/>
      <c r="I390" s="8"/>
      <c r="J390" s="8"/>
      <c r="K390" s="8"/>
      <c r="L390" s="8"/>
      <c r="M390" s="8"/>
      <c r="N390" s="8"/>
      <c r="O390" s="8"/>
      <c r="P390" s="8"/>
      <c r="Q390" s="8"/>
      <c r="R390" s="8"/>
      <c r="S390" s="8"/>
      <c r="T390" s="8"/>
      <c r="U390" s="8"/>
      <c r="V390" s="8"/>
    </row>
    <row r="391">
      <c r="A391" s="23" t="s">
        <v>717</v>
      </c>
      <c r="B391" s="11"/>
      <c r="C391" s="8"/>
      <c r="D391" s="23" t="s">
        <v>404</v>
      </c>
      <c r="E391" s="20" t="s">
        <v>713</v>
      </c>
      <c r="F391" s="12" t="s">
        <v>714</v>
      </c>
      <c r="G391" s="10"/>
      <c r="H391" s="8"/>
      <c r="I391" s="8"/>
      <c r="J391" s="8"/>
      <c r="K391" s="8"/>
      <c r="L391" s="8"/>
      <c r="M391" s="8"/>
      <c r="N391" s="8"/>
      <c r="O391" s="8"/>
      <c r="P391" s="8"/>
      <c r="Q391" s="8"/>
      <c r="R391" s="8"/>
      <c r="S391" s="8"/>
      <c r="T391" s="8"/>
      <c r="U391" s="8"/>
      <c r="V391" s="8"/>
    </row>
    <row r="392">
      <c r="A392" s="23" t="s">
        <v>718</v>
      </c>
      <c r="B392" s="11"/>
      <c r="C392" s="8"/>
      <c r="D392" s="23" t="s">
        <v>404</v>
      </c>
      <c r="E392" s="20" t="s">
        <v>713</v>
      </c>
      <c r="F392" s="12" t="s">
        <v>714</v>
      </c>
      <c r="G392" s="10"/>
      <c r="H392" s="8"/>
      <c r="I392" s="8"/>
      <c r="J392" s="8"/>
      <c r="K392" s="8"/>
      <c r="L392" s="8"/>
      <c r="M392" s="8"/>
      <c r="N392" s="8"/>
      <c r="O392" s="8"/>
      <c r="P392" s="8"/>
      <c r="Q392" s="8"/>
      <c r="R392" s="8"/>
      <c r="S392" s="8"/>
      <c r="T392" s="8"/>
      <c r="U392" s="8"/>
      <c r="V392" s="8"/>
    </row>
    <row r="393">
      <c r="A393" s="23" t="s">
        <v>719</v>
      </c>
      <c r="B393" s="11"/>
      <c r="C393" s="8"/>
      <c r="D393" s="23" t="s">
        <v>404</v>
      </c>
      <c r="E393" s="22" t="s">
        <v>713</v>
      </c>
      <c r="F393" s="12" t="s">
        <v>714</v>
      </c>
      <c r="G393" s="10"/>
      <c r="H393" s="8"/>
      <c r="I393" s="8"/>
      <c r="J393" s="8"/>
      <c r="K393" s="8"/>
      <c r="L393" s="8"/>
      <c r="M393" s="8"/>
      <c r="N393" s="8"/>
      <c r="O393" s="8"/>
      <c r="P393" s="8"/>
      <c r="Q393" s="8"/>
      <c r="R393" s="8"/>
      <c r="S393" s="8"/>
      <c r="T393" s="8"/>
      <c r="U393" s="8"/>
      <c r="V393" s="8"/>
    </row>
    <row r="394">
      <c r="A394" s="23" t="s">
        <v>720</v>
      </c>
      <c r="B394" s="11"/>
      <c r="C394" s="8"/>
      <c r="D394" s="23" t="s">
        <v>404</v>
      </c>
      <c r="E394" s="22" t="s">
        <v>713</v>
      </c>
      <c r="F394" s="5" t="s">
        <v>721</v>
      </c>
      <c r="G394" s="10"/>
      <c r="H394" s="8"/>
      <c r="I394" s="8"/>
      <c r="J394" s="8"/>
      <c r="K394" s="8"/>
      <c r="L394" s="8"/>
      <c r="M394" s="8"/>
      <c r="N394" s="8"/>
      <c r="O394" s="8"/>
      <c r="P394" s="8"/>
      <c r="Q394" s="8"/>
      <c r="R394" s="8"/>
      <c r="S394" s="8"/>
      <c r="T394" s="8"/>
      <c r="U394" s="8"/>
      <c r="V394" s="8"/>
    </row>
    <row r="395">
      <c r="A395" s="23" t="s">
        <v>722</v>
      </c>
      <c r="B395" s="11"/>
      <c r="C395" s="8"/>
      <c r="D395" s="23" t="s">
        <v>404</v>
      </c>
      <c r="E395" s="25"/>
      <c r="F395" s="8"/>
      <c r="G395" s="10"/>
      <c r="H395" s="8"/>
      <c r="I395" s="8"/>
      <c r="J395" s="8"/>
      <c r="K395" s="8"/>
      <c r="L395" s="8"/>
      <c r="M395" s="8"/>
      <c r="N395" s="8"/>
      <c r="O395" s="8"/>
      <c r="P395" s="8"/>
      <c r="Q395" s="8"/>
      <c r="R395" s="8"/>
      <c r="S395" s="8"/>
      <c r="T395" s="8"/>
      <c r="U395" s="8"/>
      <c r="V395" s="8"/>
    </row>
    <row r="396">
      <c r="A396" s="23" t="s">
        <v>723</v>
      </c>
      <c r="B396" s="11"/>
      <c r="C396" s="8"/>
      <c r="D396" s="23" t="s">
        <v>404</v>
      </c>
      <c r="E396" s="20" t="s">
        <v>713</v>
      </c>
      <c r="F396" s="8"/>
      <c r="G396" s="10"/>
      <c r="H396" s="8"/>
      <c r="I396" s="8"/>
      <c r="J396" s="8"/>
      <c r="K396" s="8"/>
      <c r="L396" s="8"/>
      <c r="M396" s="8"/>
      <c r="N396" s="8"/>
      <c r="O396" s="8"/>
      <c r="P396" s="8"/>
      <c r="Q396" s="8"/>
      <c r="R396" s="8"/>
      <c r="S396" s="8"/>
      <c r="T396" s="8"/>
      <c r="U396" s="8"/>
      <c r="V396" s="8"/>
    </row>
    <row r="397">
      <c r="A397" s="23" t="s">
        <v>724</v>
      </c>
      <c r="B397" s="11"/>
      <c r="C397" s="8"/>
      <c r="D397" s="23" t="s">
        <v>404</v>
      </c>
      <c r="E397" s="20" t="s">
        <v>713</v>
      </c>
      <c r="F397" s="5" t="s">
        <v>721</v>
      </c>
      <c r="G397" s="10"/>
      <c r="H397" s="8"/>
      <c r="I397" s="8"/>
      <c r="J397" s="8"/>
      <c r="K397" s="8"/>
      <c r="L397" s="8"/>
      <c r="M397" s="8"/>
      <c r="N397" s="8"/>
      <c r="O397" s="8"/>
      <c r="P397" s="8"/>
      <c r="Q397" s="8"/>
      <c r="R397" s="8"/>
      <c r="S397" s="8"/>
      <c r="T397" s="8"/>
      <c r="U397" s="8"/>
      <c r="V397" s="8"/>
    </row>
    <row r="398">
      <c r="A398" s="23" t="s">
        <v>725</v>
      </c>
      <c r="B398" s="11"/>
      <c r="C398" s="8"/>
      <c r="D398" s="23" t="s">
        <v>404</v>
      </c>
      <c r="E398" s="25"/>
      <c r="F398" s="8"/>
      <c r="G398" s="10"/>
      <c r="H398" s="8"/>
      <c r="I398" s="8"/>
      <c r="J398" s="8"/>
      <c r="K398" s="8"/>
      <c r="L398" s="8"/>
      <c r="M398" s="8"/>
      <c r="N398" s="8"/>
      <c r="O398" s="8"/>
      <c r="P398" s="8"/>
      <c r="Q398" s="8"/>
      <c r="R398" s="8"/>
      <c r="S398" s="8"/>
      <c r="T398" s="8"/>
      <c r="U398" s="8"/>
      <c r="V398" s="8"/>
    </row>
    <row r="399">
      <c r="A399" s="23" t="s">
        <v>726</v>
      </c>
      <c r="B399" s="11"/>
      <c r="C399" s="8"/>
      <c r="D399" s="25" t="s">
        <v>558</v>
      </c>
      <c r="E399" s="25"/>
      <c r="F399" s="8"/>
      <c r="G399" s="10"/>
      <c r="H399" s="8"/>
      <c r="I399" s="8"/>
      <c r="J399" s="8"/>
      <c r="K399" s="8"/>
      <c r="L399" s="8"/>
      <c r="M399" s="8"/>
      <c r="N399" s="8"/>
      <c r="O399" s="8"/>
      <c r="P399" s="8"/>
      <c r="Q399" s="8"/>
      <c r="R399" s="8"/>
      <c r="S399" s="8"/>
      <c r="T399" s="8"/>
      <c r="U399" s="8"/>
      <c r="V399" s="8"/>
    </row>
    <row r="400">
      <c r="A400" s="23" t="s">
        <v>727</v>
      </c>
      <c r="B400" s="11"/>
      <c r="C400" s="8"/>
      <c r="D400" s="23" t="s">
        <v>404</v>
      </c>
      <c r="E400" s="25"/>
      <c r="F400" s="8"/>
      <c r="G400" s="10"/>
      <c r="H400" s="8"/>
      <c r="I400" s="8"/>
      <c r="J400" s="8"/>
      <c r="K400" s="8"/>
      <c r="L400" s="8"/>
      <c r="M400" s="8"/>
      <c r="N400" s="8"/>
      <c r="O400" s="8"/>
      <c r="P400" s="8"/>
      <c r="Q400" s="8"/>
      <c r="R400" s="8"/>
      <c r="S400" s="8"/>
      <c r="T400" s="8"/>
      <c r="U400" s="8"/>
      <c r="V400" s="8"/>
    </row>
    <row r="401">
      <c r="A401" s="23" t="s">
        <v>728</v>
      </c>
      <c r="B401" s="11"/>
      <c r="C401" s="8"/>
      <c r="D401" s="23" t="s">
        <v>404</v>
      </c>
      <c r="E401" s="25"/>
      <c r="F401" s="8"/>
      <c r="G401" s="10"/>
      <c r="H401" s="8"/>
      <c r="I401" s="8"/>
      <c r="J401" s="8"/>
      <c r="K401" s="8"/>
      <c r="L401" s="8"/>
      <c r="M401" s="8"/>
      <c r="N401" s="8"/>
      <c r="O401" s="8"/>
      <c r="P401" s="8"/>
      <c r="Q401" s="8"/>
      <c r="R401" s="8"/>
      <c r="S401" s="8"/>
      <c r="T401" s="8"/>
      <c r="U401" s="8"/>
      <c r="V401" s="8"/>
    </row>
    <row r="402">
      <c r="A402" s="23" t="s">
        <v>729</v>
      </c>
      <c r="B402" s="11"/>
      <c r="C402" s="8"/>
      <c r="D402" s="23" t="s">
        <v>404</v>
      </c>
      <c r="E402" s="25"/>
      <c r="F402" s="8"/>
      <c r="G402" s="10"/>
      <c r="H402" s="8"/>
      <c r="I402" s="8"/>
      <c r="J402" s="8"/>
      <c r="K402" s="8"/>
      <c r="L402" s="8"/>
      <c r="M402" s="8"/>
      <c r="N402" s="8"/>
      <c r="O402" s="8"/>
      <c r="P402" s="8"/>
      <c r="Q402" s="8"/>
      <c r="R402" s="8"/>
      <c r="S402" s="8"/>
      <c r="T402" s="8"/>
      <c r="U402" s="8"/>
      <c r="V402" s="8"/>
    </row>
    <row r="403">
      <c r="A403" s="23" t="s">
        <v>730</v>
      </c>
      <c r="B403" s="6" t="s">
        <v>731</v>
      </c>
      <c r="C403" s="8"/>
      <c r="D403" s="25" t="s">
        <v>637</v>
      </c>
      <c r="E403" s="25" t="s">
        <v>637</v>
      </c>
      <c r="F403" s="8"/>
      <c r="G403" s="7" t="s">
        <v>732</v>
      </c>
      <c r="H403" s="8"/>
      <c r="I403" s="8"/>
      <c r="J403" s="8"/>
      <c r="K403" s="8"/>
      <c r="L403" s="8"/>
      <c r="M403" s="8"/>
      <c r="N403" s="8"/>
      <c r="O403" s="8"/>
      <c r="P403" s="8"/>
      <c r="Q403" s="8"/>
      <c r="R403" s="8"/>
      <c r="S403" s="8"/>
      <c r="T403" s="8"/>
      <c r="U403" s="8"/>
      <c r="V403" s="8"/>
    </row>
    <row r="404">
      <c r="A404" s="23" t="s">
        <v>733</v>
      </c>
      <c r="B404" s="11"/>
      <c r="C404" s="8"/>
      <c r="D404" s="23" t="s">
        <v>404</v>
      </c>
      <c r="E404" s="25"/>
      <c r="F404" s="8"/>
      <c r="G404" s="10"/>
      <c r="H404" s="8"/>
      <c r="I404" s="8"/>
      <c r="J404" s="8"/>
      <c r="K404" s="8"/>
      <c r="L404" s="8"/>
      <c r="M404" s="8"/>
      <c r="N404" s="8"/>
      <c r="O404" s="8"/>
      <c r="P404" s="8"/>
      <c r="Q404" s="8"/>
      <c r="R404" s="8"/>
      <c r="S404" s="8"/>
      <c r="T404" s="8"/>
      <c r="U404" s="8"/>
      <c r="V404" s="8"/>
    </row>
    <row r="405">
      <c r="A405" s="23" t="s">
        <v>734</v>
      </c>
      <c r="B405" s="11"/>
      <c r="C405" s="8"/>
      <c r="D405" s="23" t="s">
        <v>404</v>
      </c>
      <c r="E405" s="20" t="s">
        <v>713</v>
      </c>
      <c r="F405" s="5" t="s">
        <v>721</v>
      </c>
      <c r="G405" s="10"/>
      <c r="H405" s="8"/>
      <c r="I405" s="8"/>
      <c r="J405" s="8"/>
      <c r="K405" s="8"/>
      <c r="L405" s="8"/>
      <c r="M405" s="8"/>
      <c r="N405" s="8"/>
      <c r="O405" s="8"/>
      <c r="P405" s="8"/>
      <c r="Q405" s="8"/>
      <c r="R405" s="8"/>
      <c r="S405" s="8"/>
      <c r="T405" s="8"/>
      <c r="U405" s="8"/>
      <c r="V405" s="8"/>
    </row>
    <row r="406">
      <c r="A406" s="23" t="s">
        <v>735</v>
      </c>
      <c r="B406" s="11"/>
      <c r="C406" s="8"/>
      <c r="D406" s="23" t="s">
        <v>404</v>
      </c>
      <c r="E406" s="22" t="s">
        <v>713</v>
      </c>
      <c r="F406" s="5" t="s">
        <v>736</v>
      </c>
      <c r="G406" s="10"/>
      <c r="H406" s="8"/>
      <c r="I406" s="8"/>
      <c r="J406" s="8"/>
      <c r="K406" s="8"/>
      <c r="L406" s="8"/>
      <c r="M406" s="8"/>
      <c r="N406" s="8"/>
      <c r="O406" s="8"/>
      <c r="P406" s="8"/>
      <c r="Q406" s="8"/>
      <c r="R406" s="8"/>
      <c r="S406" s="8"/>
      <c r="T406" s="8"/>
      <c r="U406" s="8"/>
      <c r="V406" s="8"/>
    </row>
    <row r="407">
      <c r="A407" s="23" t="s">
        <v>737</v>
      </c>
      <c r="B407" s="11"/>
      <c r="C407" s="8"/>
      <c r="D407" s="23" t="s">
        <v>404</v>
      </c>
      <c r="E407" s="25"/>
      <c r="F407" s="8"/>
      <c r="G407" s="10"/>
      <c r="H407" s="8"/>
      <c r="I407" s="8"/>
      <c r="J407" s="8"/>
      <c r="K407" s="8"/>
      <c r="L407" s="8"/>
      <c r="M407" s="8"/>
      <c r="N407" s="8"/>
      <c r="O407" s="8"/>
      <c r="P407" s="8"/>
      <c r="Q407" s="8"/>
      <c r="R407" s="8"/>
      <c r="S407" s="8"/>
      <c r="T407" s="8"/>
      <c r="U407" s="8"/>
      <c r="V407" s="8"/>
    </row>
    <row r="408">
      <c r="A408" s="23" t="s">
        <v>738</v>
      </c>
      <c r="B408" s="11"/>
      <c r="C408" s="8"/>
      <c r="D408" s="23" t="s">
        <v>404</v>
      </c>
      <c r="E408" s="25" t="s">
        <v>713</v>
      </c>
      <c r="F408" s="8"/>
      <c r="G408" s="10"/>
      <c r="H408" s="8"/>
      <c r="I408" s="5" t="s">
        <v>40</v>
      </c>
      <c r="J408" s="8"/>
      <c r="K408" s="8"/>
      <c r="L408" s="8"/>
      <c r="M408" s="8"/>
      <c r="N408" s="8"/>
      <c r="O408" s="8"/>
      <c r="P408" s="8"/>
      <c r="Q408" s="8"/>
      <c r="R408" s="8"/>
      <c r="S408" s="8"/>
      <c r="T408" s="8"/>
      <c r="U408" s="8"/>
      <c r="V408" s="8"/>
    </row>
    <row r="409">
      <c r="A409" s="23" t="s">
        <v>739</v>
      </c>
      <c r="B409" s="11"/>
      <c r="C409" s="8"/>
      <c r="D409" s="23" t="s">
        <v>404</v>
      </c>
      <c r="E409" s="25" t="s">
        <v>713</v>
      </c>
      <c r="F409" s="5" t="s">
        <v>740</v>
      </c>
      <c r="G409" s="7" t="s">
        <v>741</v>
      </c>
      <c r="H409" s="8"/>
      <c r="I409" s="5" t="s">
        <v>40</v>
      </c>
      <c r="J409" s="8"/>
      <c r="K409" s="8"/>
      <c r="L409" s="8"/>
      <c r="M409" s="8"/>
      <c r="N409" s="8"/>
      <c r="O409" s="8"/>
      <c r="P409" s="8"/>
      <c r="Q409" s="8"/>
      <c r="R409" s="8"/>
      <c r="S409" s="8"/>
      <c r="T409" s="8"/>
      <c r="U409" s="8"/>
      <c r="V409" s="8"/>
    </row>
    <row r="410">
      <c r="A410" s="23" t="s">
        <v>742</v>
      </c>
      <c r="B410" s="11"/>
      <c r="C410" s="8"/>
      <c r="D410" s="23" t="s">
        <v>404</v>
      </c>
      <c r="E410" s="25" t="s">
        <v>713</v>
      </c>
      <c r="F410" s="5" t="s">
        <v>740</v>
      </c>
      <c r="G410" s="7" t="s">
        <v>743</v>
      </c>
      <c r="H410" s="8"/>
      <c r="I410" s="5" t="s">
        <v>40</v>
      </c>
      <c r="J410" s="8"/>
      <c r="K410" s="8"/>
      <c r="L410" s="8"/>
      <c r="M410" s="8"/>
      <c r="N410" s="8"/>
      <c r="O410" s="8"/>
      <c r="P410" s="8"/>
      <c r="Q410" s="8"/>
      <c r="R410" s="8"/>
      <c r="S410" s="8"/>
      <c r="T410" s="8"/>
      <c r="U410" s="8"/>
      <c r="V410" s="8"/>
    </row>
    <row r="411">
      <c r="A411" s="23" t="s">
        <v>744</v>
      </c>
      <c r="B411" s="11"/>
      <c r="C411" s="8"/>
      <c r="D411" s="23" t="s">
        <v>404</v>
      </c>
      <c r="E411" s="25" t="s">
        <v>713</v>
      </c>
      <c r="F411" s="5" t="s">
        <v>740</v>
      </c>
      <c r="G411" s="7" t="s">
        <v>745</v>
      </c>
      <c r="H411" s="8"/>
      <c r="I411" s="5" t="s">
        <v>40</v>
      </c>
      <c r="J411" s="8"/>
      <c r="K411" s="8"/>
      <c r="L411" s="8"/>
      <c r="M411" s="8"/>
      <c r="N411" s="8"/>
      <c r="O411" s="8"/>
      <c r="P411" s="8"/>
      <c r="Q411" s="8"/>
      <c r="R411" s="8"/>
      <c r="S411" s="8"/>
      <c r="T411" s="8"/>
      <c r="U411" s="8"/>
      <c r="V411" s="8"/>
    </row>
    <row r="412">
      <c r="A412" s="23" t="s">
        <v>746</v>
      </c>
      <c r="B412" s="11"/>
      <c r="C412" s="8"/>
      <c r="D412" s="23" t="s">
        <v>404</v>
      </c>
      <c r="E412" s="25" t="s">
        <v>713</v>
      </c>
      <c r="F412" s="5" t="s">
        <v>740</v>
      </c>
      <c r="G412" s="7" t="s">
        <v>747</v>
      </c>
      <c r="H412" s="8"/>
      <c r="I412" s="5" t="s">
        <v>40</v>
      </c>
      <c r="J412" s="8"/>
      <c r="K412" s="8"/>
      <c r="L412" s="8"/>
      <c r="M412" s="8"/>
      <c r="N412" s="8"/>
      <c r="O412" s="8"/>
      <c r="P412" s="8"/>
      <c r="Q412" s="8"/>
      <c r="R412" s="8"/>
      <c r="S412" s="8"/>
      <c r="T412" s="8"/>
      <c r="U412" s="8"/>
      <c r="V412" s="8"/>
    </row>
    <row r="413">
      <c r="A413" s="8"/>
      <c r="B413" s="11"/>
      <c r="C413" s="8"/>
      <c r="D413" s="8"/>
      <c r="E413" s="8"/>
      <c r="F413" s="8"/>
      <c r="G413" s="10"/>
      <c r="H413" s="8"/>
      <c r="I413" s="8"/>
      <c r="J413" s="8"/>
      <c r="K413" s="8"/>
      <c r="L413" s="8"/>
      <c r="M413" s="8"/>
      <c r="N413" s="8"/>
      <c r="O413" s="8"/>
      <c r="P413" s="8"/>
      <c r="Q413" s="8"/>
      <c r="R413" s="8"/>
      <c r="S413" s="8"/>
      <c r="T413" s="8"/>
      <c r="U413" s="8"/>
      <c r="V413" s="8"/>
    </row>
    <row r="414">
      <c r="A414" s="8"/>
      <c r="B414" s="11"/>
      <c r="C414" s="8"/>
      <c r="D414" s="8"/>
      <c r="E414" s="8"/>
      <c r="F414" s="8"/>
      <c r="G414" s="10"/>
      <c r="H414" s="8"/>
      <c r="I414" s="8"/>
      <c r="J414" s="8"/>
      <c r="K414" s="8"/>
      <c r="L414" s="8"/>
      <c r="M414" s="8"/>
      <c r="N414" s="8"/>
      <c r="O414" s="8"/>
      <c r="P414" s="8"/>
      <c r="Q414" s="8"/>
      <c r="R414" s="8"/>
      <c r="S414" s="8"/>
      <c r="T414" s="8"/>
      <c r="U414" s="8"/>
      <c r="V414" s="8"/>
    </row>
    <row r="415">
      <c r="A415" s="8"/>
      <c r="B415" s="11"/>
      <c r="C415" s="8"/>
      <c r="D415" s="8"/>
      <c r="E415" s="8"/>
      <c r="F415" s="8"/>
      <c r="G415" s="10"/>
      <c r="H415" s="8"/>
      <c r="I415" s="8"/>
      <c r="J415" s="8"/>
      <c r="K415" s="8"/>
      <c r="L415" s="8"/>
      <c r="M415" s="8"/>
      <c r="N415" s="8"/>
      <c r="O415" s="8"/>
      <c r="P415" s="8"/>
      <c r="Q415" s="8"/>
      <c r="R415" s="8"/>
      <c r="S415" s="8"/>
      <c r="T415" s="8"/>
      <c r="U415" s="8"/>
      <c r="V415" s="8"/>
    </row>
    <row r="416">
      <c r="A416" s="8"/>
      <c r="B416" s="11"/>
      <c r="C416" s="8"/>
      <c r="D416" s="8"/>
      <c r="E416" s="8"/>
      <c r="F416" s="8"/>
      <c r="G416" s="10"/>
      <c r="H416" s="8"/>
      <c r="I416" s="8"/>
      <c r="J416" s="8"/>
      <c r="K416" s="8"/>
      <c r="L416" s="8"/>
      <c r="M416" s="8"/>
      <c r="N416" s="8"/>
      <c r="O416" s="8"/>
      <c r="P416" s="8"/>
      <c r="Q416" s="8"/>
      <c r="R416" s="8"/>
      <c r="S416" s="8"/>
      <c r="T416" s="8"/>
      <c r="U416" s="8"/>
      <c r="V416" s="8"/>
    </row>
    <row r="417">
      <c r="A417" s="8"/>
      <c r="B417" s="11"/>
      <c r="C417" s="8"/>
      <c r="D417" s="8"/>
      <c r="E417" s="8"/>
      <c r="F417" s="8"/>
      <c r="G417" s="10"/>
      <c r="H417" s="8"/>
      <c r="I417" s="8"/>
      <c r="J417" s="8"/>
      <c r="K417" s="8"/>
      <c r="L417" s="8"/>
      <c r="M417" s="8"/>
      <c r="N417" s="8"/>
      <c r="O417" s="8"/>
      <c r="P417" s="8"/>
      <c r="Q417" s="8"/>
      <c r="R417" s="8"/>
      <c r="S417" s="8"/>
      <c r="T417" s="8"/>
      <c r="U417" s="8"/>
      <c r="V417" s="8"/>
    </row>
    <row r="418">
      <c r="A418" s="8"/>
      <c r="B418" s="11"/>
      <c r="C418" s="8"/>
      <c r="D418" s="8"/>
      <c r="E418" s="8"/>
      <c r="F418" s="8"/>
      <c r="G418" s="10"/>
      <c r="H418" s="8"/>
      <c r="I418" s="8"/>
      <c r="J418" s="8"/>
      <c r="K418" s="8"/>
      <c r="L418" s="8"/>
      <c r="M418" s="8"/>
      <c r="N418" s="8"/>
      <c r="O418" s="8"/>
      <c r="P418" s="8"/>
      <c r="Q418" s="8"/>
      <c r="R418" s="8"/>
      <c r="S418" s="8"/>
      <c r="T418" s="8"/>
      <c r="U418" s="8"/>
      <c r="V418" s="8"/>
    </row>
    <row r="419">
      <c r="A419" s="8"/>
      <c r="B419" s="11"/>
      <c r="C419" s="8"/>
      <c r="D419" s="8"/>
      <c r="E419" s="8"/>
      <c r="F419" s="8"/>
      <c r="G419" s="10"/>
      <c r="H419" s="8"/>
      <c r="I419" s="8"/>
      <c r="J419" s="8"/>
      <c r="K419" s="8"/>
      <c r="L419" s="8"/>
      <c r="M419" s="8"/>
      <c r="N419" s="8"/>
      <c r="O419" s="8"/>
      <c r="P419" s="8"/>
      <c r="Q419" s="8"/>
      <c r="R419" s="8"/>
      <c r="S419" s="8"/>
      <c r="T419" s="8"/>
      <c r="U419" s="8"/>
      <c r="V419" s="8"/>
    </row>
    <row r="420">
      <c r="A420" s="8"/>
      <c r="B420" s="11"/>
      <c r="C420" s="8"/>
      <c r="D420" s="8"/>
      <c r="E420" s="8"/>
      <c r="F420" s="8"/>
      <c r="G420" s="10"/>
      <c r="H420" s="8"/>
      <c r="I420" s="8"/>
      <c r="J420" s="8"/>
      <c r="K420" s="8"/>
      <c r="L420" s="8"/>
      <c r="M420" s="8"/>
      <c r="N420" s="8"/>
      <c r="O420" s="8"/>
      <c r="P420" s="8"/>
      <c r="Q420" s="8"/>
      <c r="R420" s="8"/>
      <c r="S420" s="8"/>
      <c r="T420" s="8"/>
      <c r="U420" s="8"/>
      <c r="V420" s="8"/>
    </row>
    <row r="421">
      <c r="A421" s="5" t="s">
        <v>748</v>
      </c>
      <c r="B421" s="6" t="s">
        <v>9</v>
      </c>
      <c r="C421" s="5" t="s">
        <v>9</v>
      </c>
      <c r="D421" s="5" t="s">
        <v>404</v>
      </c>
      <c r="E421" s="5" t="s">
        <v>207</v>
      </c>
      <c r="F421" s="5" t="s">
        <v>749</v>
      </c>
      <c r="G421" s="7" t="s">
        <v>404</v>
      </c>
      <c r="H421" s="8"/>
      <c r="I421" s="5" t="s">
        <v>40</v>
      </c>
      <c r="J421" s="8"/>
      <c r="K421" s="8"/>
      <c r="L421" s="8"/>
      <c r="M421" s="8"/>
      <c r="N421" s="8"/>
      <c r="O421" s="8"/>
      <c r="P421" s="8"/>
      <c r="Q421" s="8"/>
      <c r="R421" s="8"/>
      <c r="S421" s="8"/>
      <c r="T421" s="8"/>
      <c r="U421" s="8"/>
      <c r="V421" s="8"/>
    </row>
    <row r="422">
      <c r="A422" s="8"/>
      <c r="B422" s="11"/>
      <c r="C422" s="8"/>
      <c r="D422" s="8"/>
      <c r="E422" s="8"/>
      <c r="F422" s="8"/>
      <c r="G422" s="10"/>
      <c r="H422" s="8"/>
      <c r="I422" s="8"/>
      <c r="J422" s="8"/>
      <c r="K422" s="8"/>
      <c r="L422" s="8"/>
      <c r="M422" s="8"/>
      <c r="N422" s="8"/>
      <c r="O422" s="8"/>
      <c r="P422" s="8"/>
      <c r="Q422" s="8"/>
      <c r="R422" s="8"/>
      <c r="S422" s="8"/>
      <c r="T422" s="8"/>
      <c r="U422" s="8"/>
      <c r="V422" s="8"/>
    </row>
    <row r="423">
      <c r="A423" s="8"/>
      <c r="B423" s="11"/>
      <c r="C423" s="8"/>
      <c r="D423" s="8"/>
      <c r="E423" s="8"/>
      <c r="F423" s="8"/>
      <c r="G423" s="10"/>
      <c r="H423" s="8"/>
      <c r="I423" s="8"/>
      <c r="J423" s="8"/>
      <c r="K423" s="8"/>
      <c r="L423" s="8"/>
      <c r="M423" s="8"/>
      <c r="N423" s="8"/>
      <c r="O423" s="8"/>
      <c r="P423" s="8"/>
      <c r="Q423" s="8"/>
      <c r="R423" s="8"/>
      <c r="S423" s="8"/>
      <c r="T423" s="8"/>
      <c r="U423" s="8"/>
      <c r="V423" s="8"/>
    </row>
    <row r="424">
      <c r="A424" s="5" t="s">
        <v>750</v>
      </c>
      <c r="B424" s="6" t="s">
        <v>751</v>
      </c>
      <c r="C424" s="5" t="s">
        <v>9</v>
      </c>
      <c r="D424" s="5" t="s">
        <v>404</v>
      </c>
      <c r="E424" s="5" t="s">
        <v>207</v>
      </c>
      <c r="F424" s="5" t="s">
        <v>752</v>
      </c>
      <c r="G424" s="10"/>
      <c r="H424" s="8"/>
      <c r="I424" s="8"/>
      <c r="J424" s="8"/>
      <c r="K424" s="8"/>
      <c r="L424" s="8"/>
      <c r="M424" s="8"/>
      <c r="N424" s="8"/>
      <c r="O424" s="8"/>
      <c r="P424" s="8"/>
      <c r="Q424" s="8"/>
      <c r="R424" s="8"/>
      <c r="S424" s="8"/>
      <c r="T424" s="8"/>
      <c r="U424" s="8"/>
      <c r="V424" s="8"/>
    </row>
    <row r="425">
      <c r="A425" s="5" t="s">
        <v>753</v>
      </c>
      <c r="B425" s="6" t="s">
        <v>754</v>
      </c>
      <c r="C425" s="5" t="s">
        <v>9</v>
      </c>
      <c r="D425" s="5" t="s">
        <v>404</v>
      </c>
      <c r="E425" s="5" t="s">
        <v>207</v>
      </c>
      <c r="F425" s="5" t="s">
        <v>752</v>
      </c>
      <c r="G425" s="10"/>
      <c r="H425" s="8"/>
      <c r="I425" s="8"/>
      <c r="J425" s="8"/>
      <c r="K425" s="8"/>
      <c r="L425" s="8"/>
      <c r="M425" s="8"/>
      <c r="N425" s="8"/>
      <c r="O425" s="8"/>
      <c r="P425" s="8"/>
      <c r="Q425" s="8"/>
      <c r="R425" s="8"/>
      <c r="S425" s="8"/>
      <c r="T425" s="8"/>
      <c r="U425" s="8"/>
      <c r="V425" s="8"/>
    </row>
    <row r="426">
      <c r="A426" s="5" t="s">
        <v>755</v>
      </c>
      <c r="B426" s="6" t="s">
        <v>756</v>
      </c>
      <c r="C426" s="5" t="s">
        <v>9</v>
      </c>
      <c r="D426" s="5" t="s">
        <v>404</v>
      </c>
      <c r="E426" s="5" t="s">
        <v>207</v>
      </c>
      <c r="F426" s="5" t="s">
        <v>752</v>
      </c>
      <c r="G426" s="10"/>
      <c r="H426" s="8"/>
      <c r="I426" s="8"/>
      <c r="J426" s="8"/>
      <c r="K426" s="8"/>
      <c r="L426" s="8"/>
      <c r="M426" s="8"/>
      <c r="N426" s="8"/>
      <c r="O426" s="8"/>
      <c r="P426" s="8"/>
      <c r="Q426" s="8"/>
      <c r="R426" s="8"/>
      <c r="S426" s="8"/>
      <c r="T426" s="8"/>
      <c r="U426" s="8"/>
      <c r="V426" s="8"/>
    </row>
    <row r="427">
      <c r="A427" s="5" t="s">
        <v>757</v>
      </c>
      <c r="B427" s="6" t="s">
        <v>758</v>
      </c>
      <c r="C427" s="5" t="s">
        <v>9</v>
      </c>
      <c r="D427" s="5" t="s">
        <v>404</v>
      </c>
      <c r="E427" s="5" t="s">
        <v>207</v>
      </c>
      <c r="F427" s="5" t="s">
        <v>752</v>
      </c>
      <c r="G427" s="10"/>
      <c r="H427" s="8"/>
      <c r="I427" s="8"/>
      <c r="J427" s="8"/>
      <c r="K427" s="8"/>
      <c r="L427" s="8"/>
      <c r="M427" s="8"/>
      <c r="N427" s="8"/>
      <c r="O427" s="8"/>
      <c r="P427" s="8"/>
      <c r="Q427" s="8"/>
      <c r="R427" s="8"/>
      <c r="S427" s="8"/>
      <c r="T427" s="8"/>
      <c r="U427" s="8"/>
      <c r="V427" s="8"/>
    </row>
    <row r="428">
      <c r="A428" s="5" t="s">
        <v>759</v>
      </c>
      <c r="B428" s="6" t="s">
        <v>760</v>
      </c>
      <c r="C428" s="5" t="s">
        <v>9</v>
      </c>
      <c r="D428" s="5" t="s">
        <v>404</v>
      </c>
      <c r="E428" s="5" t="s">
        <v>207</v>
      </c>
      <c r="F428" s="5" t="s">
        <v>752</v>
      </c>
      <c r="G428" s="10"/>
      <c r="H428" s="8"/>
      <c r="I428" s="8"/>
      <c r="J428" s="8"/>
      <c r="K428" s="8"/>
      <c r="L428" s="8"/>
      <c r="M428" s="8"/>
      <c r="N428" s="8"/>
      <c r="O428" s="8"/>
      <c r="P428" s="8"/>
      <c r="Q428" s="8"/>
      <c r="R428" s="8"/>
      <c r="S428" s="8"/>
      <c r="T428" s="8"/>
      <c r="U428" s="8"/>
      <c r="V428" s="8"/>
    </row>
    <row r="429">
      <c r="A429" s="5" t="s">
        <v>761</v>
      </c>
      <c r="B429" s="6" t="s">
        <v>762</v>
      </c>
      <c r="C429" s="5" t="s">
        <v>9</v>
      </c>
      <c r="D429" s="5" t="s">
        <v>404</v>
      </c>
      <c r="E429" s="5" t="s">
        <v>207</v>
      </c>
      <c r="F429" s="5" t="s">
        <v>752</v>
      </c>
      <c r="G429" s="10"/>
      <c r="H429" s="8"/>
      <c r="I429" s="8"/>
      <c r="J429" s="8"/>
      <c r="K429" s="8"/>
      <c r="L429" s="8"/>
      <c r="M429" s="8"/>
      <c r="N429" s="8"/>
      <c r="O429" s="8"/>
      <c r="P429" s="8"/>
      <c r="Q429" s="8"/>
      <c r="R429" s="8"/>
      <c r="S429" s="8"/>
      <c r="T429" s="8"/>
      <c r="U429" s="8"/>
      <c r="V429" s="8"/>
    </row>
    <row r="430">
      <c r="A430" s="5" t="s">
        <v>763</v>
      </c>
      <c r="B430" s="6" t="s">
        <v>764</v>
      </c>
      <c r="C430" s="5" t="s">
        <v>9</v>
      </c>
      <c r="D430" s="5" t="s">
        <v>404</v>
      </c>
      <c r="E430" s="5" t="s">
        <v>207</v>
      </c>
      <c r="F430" s="5" t="s">
        <v>752</v>
      </c>
      <c r="G430" s="10"/>
      <c r="H430" s="8"/>
      <c r="I430" s="8"/>
      <c r="J430" s="8"/>
      <c r="K430" s="8"/>
      <c r="L430" s="8"/>
      <c r="M430" s="8"/>
      <c r="N430" s="8"/>
      <c r="O430" s="8"/>
      <c r="P430" s="8"/>
      <c r="Q430" s="8"/>
      <c r="R430" s="8"/>
      <c r="S430" s="8"/>
      <c r="T430" s="8"/>
      <c r="U430" s="8"/>
      <c r="V430" s="8"/>
    </row>
    <row r="431">
      <c r="A431" s="5" t="s">
        <v>765</v>
      </c>
      <c r="B431" s="6" t="s">
        <v>766</v>
      </c>
      <c r="C431" s="5" t="s">
        <v>9</v>
      </c>
      <c r="D431" s="5" t="s">
        <v>404</v>
      </c>
      <c r="E431" s="5" t="s">
        <v>207</v>
      </c>
      <c r="F431" s="5" t="s">
        <v>752</v>
      </c>
      <c r="G431" s="10"/>
      <c r="H431" s="8"/>
      <c r="I431" s="8"/>
      <c r="J431" s="8"/>
      <c r="K431" s="8"/>
      <c r="L431" s="8"/>
      <c r="M431" s="8"/>
      <c r="N431" s="8"/>
      <c r="O431" s="8"/>
      <c r="P431" s="8"/>
      <c r="Q431" s="8"/>
      <c r="R431" s="8"/>
      <c r="S431" s="8"/>
      <c r="T431" s="8"/>
      <c r="U431" s="8"/>
      <c r="V431" s="8"/>
    </row>
    <row r="432">
      <c r="A432" s="5" t="s">
        <v>767</v>
      </c>
      <c r="B432" s="6" t="s">
        <v>768</v>
      </c>
      <c r="C432" s="5" t="s">
        <v>9</v>
      </c>
      <c r="D432" s="5" t="s">
        <v>404</v>
      </c>
      <c r="E432" s="5" t="s">
        <v>207</v>
      </c>
      <c r="F432" s="5" t="s">
        <v>752</v>
      </c>
      <c r="G432" s="10"/>
      <c r="H432" s="8"/>
      <c r="I432" s="8"/>
      <c r="J432" s="8"/>
      <c r="K432" s="8"/>
      <c r="L432" s="8"/>
      <c r="M432" s="8"/>
      <c r="N432" s="8"/>
      <c r="O432" s="8"/>
      <c r="P432" s="8"/>
      <c r="Q432" s="8"/>
      <c r="R432" s="8"/>
      <c r="S432" s="8"/>
      <c r="T432" s="8"/>
      <c r="U432" s="8"/>
      <c r="V432" s="8"/>
    </row>
    <row r="433">
      <c r="A433" s="5" t="s">
        <v>769</v>
      </c>
      <c r="B433" s="6" t="s">
        <v>770</v>
      </c>
      <c r="C433" s="5" t="s">
        <v>9</v>
      </c>
      <c r="D433" s="5" t="s">
        <v>404</v>
      </c>
      <c r="E433" s="5" t="s">
        <v>207</v>
      </c>
      <c r="F433" s="5" t="s">
        <v>752</v>
      </c>
      <c r="G433" s="10"/>
      <c r="H433" s="8"/>
      <c r="I433" s="8"/>
      <c r="J433" s="8"/>
      <c r="K433" s="8"/>
      <c r="L433" s="8"/>
      <c r="M433" s="8"/>
      <c r="N433" s="8"/>
      <c r="O433" s="8"/>
      <c r="P433" s="8"/>
      <c r="Q433" s="8"/>
      <c r="R433" s="8"/>
      <c r="S433" s="8"/>
      <c r="T433" s="8"/>
      <c r="U433" s="8"/>
      <c r="V433" s="8"/>
    </row>
    <row r="434">
      <c r="A434" s="5" t="s">
        <v>771</v>
      </c>
      <c r="B434" s="6" t="s">
        <v>772</v>
      </c>
      <c r="C434" s="5" t="s">
        <v>9</v>
      </c>
      <c r="D434" s="5" t="s">
        <v>404</v>
      </c>
      <c r="E434" s="5" t="s">
        <v>207</v>
      </c>
      <c r="F434" s="5" t="s">
        <v>752</v>
      </c>
      <c r="G434" s="10"/>
      <c r="H434" s="8"/>
      <c r="I434" s="8"/>
      <c r="J434" s="8"/>
      <c r="K434" s="8"/>
      <c r="L434" s="8"/>
      <c r="M434" s="8"/>
      <c r="N434" s="8"/>
      <c r="O434" s="8"/>
      <c r="P434" s="8"/>
      <c r="Q434" s="8"/>
      <c r="R434" s="8"/>
      <c r="S434" s="8"/>
      <c r="T434" s="8"/>
      <c r="U434" s="8"/>
      <c r="V434" s="8"/>
    </row>
    <row r="435">
      <c r="A435" s="5" t="s">
        <v>773</v>
      </c>
      <c r="B435" s="6" t="s">
        <v>774</v>
      </c>
      <c r="C435" s="5" t="s">
        <v>9</v>
      </c>
      <c r="D435" s="5" t="s">
        <v>404</v>
      </c>
      <c r="E435" s="5" t="s">
        <v>207</v>
      </c>
      <c r="F435" s="5" t="s">
        <v>752</v>
      </c>
      <c r="G435" s="10"/>
      <c r="H435" s="8"/>
      <c r="I435" s="8"/>
      <c r="J435" s="8"/>
      <c r="K435" s="8"/>
      <c r="L435" s="8"/>
      <c r="M435" s="8"/>
      <c r="N435" s="8"/>
      <c r="O435" s="8"/>
      <c r="P435" s="8"/>
      <c r="Q435" s="8"/>
      <c r="R435" s="8"/>
      <c r="S435" s="8"/>
      <c r="T435" s="8"/>
      <c r="U435" s="8"/>
      <c r="V435" s="8"/>
    </row>
    <row r="436">
      <c r="A436" s="5"/>
      <c r="B436" s="6"/>
      <c r="C436" s="5"/>
      <c r="D436" s="5"/>
      <c r="E436" s="5"/>
      <c r="F436" s="5"/>
      <c r="G436" s="10"/>
      <c r="H436" s="8"/>
      <c r="I436" s="8"/>
      <c r="J436" s="8"/>
      <c r="K436" s="8"/>
      <c r="L436" s="8"/>
      <c r="M436" s="8"/>
      <c r="N436" s="8"/>
      <c r="O436" s="8"/>
      <c r="P436" s="8"/>
      <c r="Q436" s="8"/>
      <c r="R436" s="8"/>
      <c r="S436" s="8"/>
      <c r="T436" s="8"/>
      <c r="U436" s="8"/>
      <c r="V436" s="8"/>
    </row>
    <row r="437">
      <c r="A437" s="5" t="s">
        <v>775</v>
      </c>
      <c r="B437" s="6" t="s">
        <v>776</v>
      </c>
      <c r="C437" s="5" t="s">
        <v>9</v>
      </c>
      <c r="D437" s="5" t="s">
        <v>404</v>
      </c>
      <c r="E437" s="5" t="s">
        <v>207</v>
      </c>
      <c r="F437" s="5" t="s">
        <v>752</v>
      </c>
      <c r="G437" s="10"/>
      <c r="H437" s="8"/>
      <c r="I437" s="8"/>
      <c r="J437" s="8"/>
      <c r="K437" s="8"/>
      <c r="L437" s="8"/>
      <c r="M437" s="8"/>
      <c r="N437" s="8"/>
      <c r="O437" s="8"/>
      <c r="P437" s="8"/>
      <c r="Q437" s="8"/>
      <c r="R437" s="8"/>
      <c r="S437" s="8"/>
      <c r="T437" s="8"/>
      <c r="U437" s="8"/>
      <c r="V437" s="8"/>
    </row>
    <row r="438">
      <c r="A438" s="5" t="s">
        <v>777</v>
      </c>
      <c r="B438" s="6" t="s">
        <v>768</v>
      </c>
      <c r="C438" s="5" t="s">
        <v>9</v>
      </c>
      <c r="D438" s="5" t="s">
        <v>404</v>
      </c>
      <c r="E438" s="5" t="s">
        <v>207</v>
      </c>
      <c r="F438" s="5" t="s">
        <v>752</v>
      </c>
      <c r="G438" s="10"/>
      <c r="H438" s="8"/>
      <c r="I438" s="8"/>
      <c r="J438" s="8"/>
      <c r="K438" s="8"/>
      <c r="L438" s="8"/>
      <c r="M438" s="8"/>
      <c r="N438" s="8"/>
      <c r="O438" s="8"/>
      <c r="P438" s="8"/>
      <c r="Q438" s="8"/>
      <c r="R438" s="8"/>
      <c r="S438" s="8"/>
      <c r="T438" s="8"/>
      <c r="U438" s="8"/>
      <c r="V438" s="8"/>
    </row>
    <row r="439">
      <c r="A439" s="5" t="s">
        <v>778</v>
      </c>
      <c r="B439" s="6"/>
      <c r="C439" s="5" t="s">
        <v>9</v>
      </c>
      <c r="D439" s="5" t="s">
        <v>404</v>
      </c>
      <c r="E439" s="5" t="s">
        <v>207</v>
      </c>
      <c r="F439" s="5" t="s">
        <v>752</v>
      </c>
      <c r="G439" s="10"/>
      <c r="H439" s="8"/>
      <c r="I439" s="8"/>
      <c r="J439" s="8"/>
      <c r="K439" s="8"/>
      <c r="L439" s="8"/>
      <c r="M439" s="8"/>
      <c r="N439" s="8"/>
      <c r="O439" s="8"/>
      <c r="P439" s="8"/>
      <c r="Q439" s="8"/>
      <c r="R439" s="8"/>
      <c r="S439" s="8"/>
      <c r="T439" s="8"/>
      <c r="U439" s="8"/>
      <c r="V439" s="8"/>
    </row>
    <row r="440">
      <c r="A440" s="5" t="s">
        <v>779</v>
      </c>
      <c r="B440" s="6" t="s">
        <v>9</v>
      </c>
      <c r="C440" s="5" t="s">
        <v>9</v>
      </c>
      <c r="D440" s="5" t="s">
        <v>404</v>
      </c>
      <c r="E440" s="5" t="s">
        <v>207</v>
      </c>
      <c r="F440" s="5" t="s">
        <v>752</v>
      </c>
      <c r="G440" s="10"/>
      <c r="H440" s="8"/>
      <c r="I440" s="8"/>
      <c r="J440" s="8"/>
      <c r="K440" s="8"/>
      <c r="L440" s="8"/>
      <c r="M440" s="8"/>
      <c r="N440" s="8"/>
      <c r="O440" s="8"/>
      <c r="P440" s="8"/>
      <c r="Q440" s="8"/>
      <c r="R440" s="8"/>
      <c r="S440" s="8"/>
      <c r="T440" s="8"/>
      <c r="U440" s="8"/>
      <c r="V440" s="8"/>
    </row>
    <row r="441">
      <c r="A441" s="5" t="s">
        <v>780</v>
      </c>
      <c r="B441" s="6" t="s">
        <v>9</v>
      </c>
      <c r="C441" s="5" t="s">
        <v>9</v>
      </c>
      <c r="D441" s="5" t="s">
        <v>404</v>
      </c>
      <c r="E441" s="5" t="s">
        <v>207</v>
      </c>
      <c r="F441" s="5" t="s">
        <v>752</v>
      </c>
      <c r="G441" s="10"/>
      <c r="H441" s="8"/>
      <c r="I441" s="8"/>
      <c r="J441" s="8"/>
      <c r="K441" s="8"/>
      <c r="L441" s="8"/>
      <c r="M441" s="8"/>
      <c r="N441" s="8"/>
      <c r="O441" s="8"/>
      <c r="P441" s="8"/>
      <c r="Q441" s="8"/>
      <c r="R441" s="8"/>
      <c r="S441" s="8"/>
      <c r="T441" s="8"/>
      <c r="U441" s="8"/>
      <c r="V441" s="8"/>
    </row>
    <row r="442">
      <c r="A442" s="5" t="s">
        <v>781</v>
      </c>
      <c r="B442" s="6" t="s">
        <v>9</v>
      </c>
      <c r="C442" s="5" t="s">
        <v>9</v>
      </c>
      <c r="D442" s="5" t="s">
        <v>404</v>
      </c>
      <c r="E442" s="5" t="s">
        <v>207</v>
      </c>
      <c r="F442" s="5" t="s">
        <v>752</v>
      </c>
      <c r="G442" s="10"/>
      <c r="H442" s="8"/>
      <c r="I442" s="8"/>
      <c r="J442" s="8"/>
      <c r="K442" s="8"/>
      <c r="L442" s="8"/>
      <c r="M442" s="8"/>
      <c r="N442" s="8"/>
      <c r="O442" s="8"/>
      <c r="P442" s="8"/>
      <c r="Q442" s="8"/>
      <c r="R442" s="8"/>
      <c r="S442" s="8"/>
      <c r="T442" s="8"/>
      <c r="U442" s="8"/>
      <c r="V442" s="8"/>
    </row>
    <row r="443">
      <c r="A443" s="5" t="s">
        <v>782</v>
      </c>
      <c r="B443" s="6" t="s">
        <v>9</v>
      </c>
      <c r="C443" s="5" t="s">
        <v>9</v>
      </c>
      <c r="D443" s="5" t="s">
        <v>404</v>
      </c>
      <c r="E443" s="5" t="s">
        <v>207</v>
      </c>
      <c r="F443" s="5" t="s">
        <v>752</v>
      </c>
      <c r="G443" s="10"/>
      <c r="H443" s="8"/>
      <c r="I443" s="8"/>
      <c r="J443" s="8"/>
      <c r="K443" s="8"/>
      <c r="L443" s="8"/>
      <c r="M443" s="8"/>
      <c r="N443" s="8"/>
      <c r="O443" s="8"/>
      <c r="P443" s="8"/>
      <c r="Q443" s="8"/>
      <c r="R443" s="8"/>
      <c r="S443" s="8"/>
      <c r="T443" s="8"/>
      <c r="U443" s="8"/>
      <c r="V443" s="8"/>
    </row>
    <row r="444">
      <c r="A444" s="5" t="s">
        <v>783</v>
      </c>
      <c r="B444" s="6" t="s">
        <v>9</v>
      </c>
      <c r="C444" s="5" t="s">
        <v>9</v>
      </c>
      <c r="D444" s="5" t="s">
        <v>404</v>
      </c>
      <c r="E444" s="5" t="s">
        <v>207</v>
      </c>
      <c r="F444" s="5" t="s">
        <v>752</v>
      </c>
      <c r="G444" s="10"/>
      <c r="H444" s="8"/>
      <c r="I444" s="8"/>
      <c r="J444" s="8"/>
      <c r="K444" s="8"/>
      <c r="L444" s="8"/>
      <c r="M444" s="8"/>
      <c r="N444" s="8"/>
      <c r="O444" s="8"/>
      <c r="P444" s="8"/>
      <c r="Q444" s="8"/>
      <c r="R444" s="8"/>
      <c r="S444" s="8"/>
      <c r="T444" s="8"/>
      <c r="U444" s="8"/>
      <c r="V444" s="8"/>
    </row>
    <row r="445">
      <c r="A445" s="5" t="s">
        <v>784</v>
      </c>
      <c r="B445" s="6" t="s">
        <v>785</v>
      </c>
      <c r="C445" s="5" t="s">
        <v>9</v>
      </c>
      <c r="D445" s="5" t="s">
        <v>404</v>
      </c>
      <c r="E445" s="5" t="s">
        <v>207</v>
      </c>
      <c r="F445" s="5" t="s">
        <v>752</v>
      </c>
      <c r="G445" s="10"/>
      <c r="H445" s="8"/>
      <c r="I445" s="8"/>
      <c r="J445" s="8"/>
      <c r="K445" s="8"/>
      <c r="L445" s="8"/>
      <c r="M445" s="8"/>
      <c r="N445" s="8"/>
      <c r="O445" s="8"/>
      <c r="P445" s="8"/>
      <c r="Q445" s="8"/>
      <c r="R445" s="8"/>
      <c r="S445" s="8"/>
      <c r="T445" s="8"/>
      <c r="U445" s="8"/>
      <c r="V445" s="8"/>
    </row>
    <row r="446">
      <c r="A446" s="5" t="s">
        <v>786</v>
      </c>
      <c r="B446" s="6" t="s">
        <v>9</v>
      </c>
      <c r="C446" s="5" t="s">
        <v>9</v>
      </c>
      <c r="D446" s="5" t="s">
        <v>404</v>
      </c>
      <c r="E446" s="5" t="s">
        <v>207</v>
      </c>
      <c r="F446" s="5" t="s">
        <v>752</v>
      </c>
      <c r="G446" s="10"/>
      <c r="H446" s="8"/>
      <c r="I446" s="8"/>
      <c r="J446" s="8"/>
      <c r="K446" s="8"/>
      <c r="L446" s="8"/>
      <c r="M446" s="8"/>
      <c r="N446" s="8"/>
      <c r="O446" s="8"/>
      <c r="P446" s="8"/>
      <c r="Q446" s="8"/>
      <c r="R446" s="8"/>
      <c r="S446" s="8"/>
      <c r="T446" s="8"/>
      <c r="U446" s="8"/>
      <c r="V446" s="8"/>
    </row>
    <row r="447">
      <c r="A447" s="5" t="s">
        <v>787</v>
      </c>
      <c r="B447" s="6" t="s">
        <v>9</v>
      </c>
      <c r="C447" s="5" t="s">
        <v>9</v>
      </c>
      <c r="D447" s="5" t="s">
        <v>404</v>
      </c>
      <c r="E447" s="5" t="s">
        <v>207</v>
      </c>
      <c r="F447" s="5" t="s">
        <v>752</v>
      </c>
      <c r="G447" s="10"/>
      <c r="H447" s="8"/>
      <c r="I447" s="8"/>
      <c r="J447" s="8"/>
      <c r="K447" s="8"/>
      <c r="L447" s="8"/>
      <c r="M447" s="8"/>
      <c r="N447" s="8"/>
      <c r="O447" s="8"/>
      <c r="P447" s="8"/>
      <c r="Q447" s="8"/>
      <c r="R447" s="8"/>
      <c r="S447" s="8"/>
      <c r="T447" s="8"/>
      <c r="U447" s="8"/>
      <c r="V447" s="8"/>
    </row>
    <row r="448">
      <c r="A448" s="5" t="s">
        <v>788</v>
      </c>
      <c r="B448" s="6" t="s">
        <v>789</v>
      </c>
      <c r="C448" s="5" t="s">
        <v>9</v>
      </c>
      <c r="D448" s="5" t="s">
        <v>404</v>
      </c>
      <c r="E448" s="5" t="s">
        <v>207</v>
      </c>
      <c r="F448" s="5" t="s">
        <v>752</v>
      </c>
      <c r="G448" s="10"/>
      <c r="H448" s="8"/>
      <c r="I448" s="8"/>
      <c r="J448" s="8"/>
      <c r="K448" s="8"/>
      <c r="L448" s="8"/>
      <c r="M448" s="8"/>
      <c r="N448" s="8"/>
      <c r="O448" s="8"/>
      <c r="P448" s="8"/>
      <c r="Q448" s="8"/>
      <c r="R448" s="8"/>
      <c r="S448" s="8"/>
      <c r="T448" s="8"/>
      <c r="U448" s="8"/>
      <c r="V448" s="8"/>
    </row>
    <row r="449">
      <c r="A449" s="5" t="s">
        <v>790</v>
      </c>
      <c r="B449" s="6" t="s">
        <v>9</v>
      </c>
      <c r="C449" s="5" t="s">
        <v>9</v>
      </c>
      <c r="D449" s="5" t="s">
        <v>404</v>
      </c>
      <c r="E449" s="5" t="s">
        <v>207</v>
      </c>
      <c r="F449" s="5" t="s">
        <v>752</v>
      </c>
      <c r="G449" s="10"/>
      <c r="H449" s="8"/>
      <c r="I449" s="8"/>
      <c r="J449" s="8"/>
      <c r="K449" s="8"/>
      <c r="L449" s="8"/>
      <c r="M449" s="8"/>
      <c r="N449" s="8"/>
      <c r="O449" s="8"/>
      <c r="P449" s="8"/>
      <c r="Q449" s="8"/>
      <c r="R449" s="8"/>
      <c r="S449" s="8"/>
      <c r="T449" s="8"/>
      <c r="U449" s="8"/>
      <c r="V449" s="8"/>
    </row>
    <row r="450">
      <c r="A450" s="5" t="s">
        <v>791</v>
      </c>
      <c r="B450" s="6" t="s">
        <v>9</v>
      </c>
      <c r="C450" s="5" t="s">
        <v>9</v>
      </c>
      <c r="D450" s="5" t="s">
        <v>404</v>
      </c>
      <c r="E450" s="5" t="s">
        <v>207</v>
      </c>
      <c r="F450" s="5" t="s">
        <v>752</v>
      </c>
      <c r="G450" s="10"/>
      <c r="H450" s="8"/>
      <c r="I450" s="8"/>
      <c r="J450" s="8"/>
      <c r="K450" s="8"/>
      <c r="L450" s="8"/>
      <c r="M450" s="8"/>
      <c r="N450" s="8"/>
      <c r="O450" s="8"/>
      <c r="P450" s="8"/>
      <c r="Q450" s="8"/>
      <c r="R450" s="8"/>
      <c r="S450" s="8"/>
      <c r="T450" s="8"/>
      <c r="U450" s="8"/>
      <c r="V450" s="8"/>
    </row>
    <row r="451">
      <c r="A451" s="5" t="s">
        <v>792</v>
      </c>
      <c r="B451" s="6" t="s">
        <v>9</v>
      </c>
      <c r="C451" s="5" t="s">
        <v>9</v>
      </c>
      <c r="D451" s="5" t="s">
        <v>404</v>
      </c>
      <c r="E451" s="5" t="s">
        <v>207</v>
      </c>
      <c r="F451" s="5" t="s">
        <v>752</v>
      </c>
      <c r="G451" s="10"/>
      <c r="H451" s="8"/>
      <c r="I451" s="8"/>
      <c r="J451" s="8"/>
      <c r="K451" s="8"/>
      <c r="L451" s="8"/>
      <c r="M451" s="8"/>
      <c r="N451" s="8"/>
      <c r="O451" s="8"/>
      <c r="P451" s="8"/>
      <c r="Q451" s="8"/>
      <c r="R451" s="8"/>
      <c r="S451" s="8"/>
      <c r="T451" s="8"/>
      <c r="U451" s="8"/>
      <c r="V451" s="8"/>
    </row>
    <row r="452">
      <c r="A452" s="8"/>
      <c r="B452" s="11"/>
      <c r="C452" s="8"/>
      <c r="D452" s="8"/>
      <c r="E452" s="8"/>
      <c r="F452" s="8"/>
      <c r="G452" s="10"/>
      <c r="H452" s="8"/>
      <c r="I452" s="8"/>
      <c r="J452" s="8"/>
      <c r="K452" s="8"/>
      <c r="L452" s="8"/>
      <c r="M452" s="8"/>
      <c r="N452" s="8"/>
      <c r="O452" s="8"/>
      <c r="P452" s="8"/>
      <c r="Q452" s="8"/>
      <c r="R452" s="8"/>
      <c r="S452" s="8"/>
      <c r="T452" s="8"/>
      <c r="U452" s="8"/>
      <c r="V452" s="8"/>
    </row>
    <row r="453">
      <c r="A453" s="8"/>
      <c r="B453" s="11"/>
      <c r="C453" s="8"/>
      <c r="D453" s="8"/>
      <c r="E453" s="8"/>
      <c r="F453" s="8"/>
      <c r="G453" s="10"/>
      <c r="H453" s="8"/>
      <c r="I453" s="8"/>
      <c r="J453" s="8"/>
      <c r="K453" s="8"/>
      <c r="L453" s="8"/>
      <c r="M453" s="8"/>
      <c r="N453" s="8"/>
      <c r="O453" s="8"/>
      <c r="P453" s="8"/>
      <c r="Q453" s="8"/>
      <c r="R453" s="8"/>
      <c r="S453" s="8"/>
      <c r="T453" s="8"/>
      <c r="U453" s="8"/>
      <c r="V453" s="8"/>
    </row>
    <row r="454">
      <c r="A454" s="8"/>
      <c r="B454" s="11"/>
      <c r="C454" s="8"/>
      <c r="D454" s="8"/>
      <c r="E454" s="8"/>
      <c r="F454" s="8"/>
      <c r="G454" s="10"/>
      <c r="H454" s="8"/>
      <c r="I454" s="8"/>
      <c r="J454" s="8"/>
      <c r="K454" s="8"/>
      <c r="L454" s="8"/>
      <c r="M454" s="8"/>
      <c r="N454" s="8"/>
      <c r="O454" s="8"/>
      <c r="P454" s="8"/>
      <c r="Q454" s="8"/>
      <c r="R454" s="8"/>
      <c r="S454" s="8"/>
      <c r="T454" s="8"/>
      <c r="U454" s="8"/>
      <c r="V454" s="8"/>
    </row>
    <row r="455">
      <c r="A455" s="8"/>
      <c r="B455" s="11"/>
      <c r="C455" s="8"/>
      <c r="D455" s="8"/>
      <c r="E455" s="8"/>
      <c r="F455" s="8"/>
      <c r="G455" s="10"/>
      <c r="H455" s="8"/>
      <c r="I455" s="8"/>
      <c r="J455" s="8"/>
      <c r="K455" s="8"/>
      <c r="L455" s="8"/>
      <c r="M455" s="8"/>
      <c r="N455" s="8"/>
      <c r="O455" s="8"/>
      <c r="P455" s="8"/>
      <c r="Q455" s="8"/>
      <c r="R455" s="8"/>
      <c r="S455" s="8"/>
      <c r="T455" s="8"/>
      <c r="U455" s="8"/>
      <c r="V455" s="8"/>
    </row>
    <row r="456">
      <c r="A456" s="8"/>
      <c r="B456" s="11"/>
      <c r="C456" s="8"/>
      <c r="D456" s="8"/>
      <c r="E456" s="8"/>
      <c r="F456" s="8"/>
      <c r="G456" s="10"/>
      <c r="H456" s="8"/>
      <c r="I456" s="8"/>
      <c r="J456" s="8"/>
      <c r="K456" s="8"/>
      <c r="L456" s="8"/>
      <c r="M456" s="8"/>
      <c r="N456" s="8"/>
      <c r="O456" s="8"/>
      <c r="P456" s="8"/>
      <c r="Q456" s="8"/>
      <c r="R456" s="8"/>
      <c r="S456" s="8"/>
      <c r="T456" s="8"/>
      <c r="U456" s="8"/>
      <c r="V456" s="8"/>
    </row>
    <row r="457">
      <c r="A457" s="8"/>
      <c r="B457" s="11"/>
      <c r="C457" s="8"/>
      <c r="D457" s="8"/>
      <c r="E457" s="8"/>
      <c r="F457" s="8"/>
      <c r="G457" s="10"/>
      <c r="H457" s="8"/>
      <c r="I457" s="8"/>
      <c r="J457" s="8"/>
      <c r="K457" s="8"/>
      <c r="L457" s="8"/>
      <c r="M457" s="8"/>
      <c r="N457" s="8"/>
      <c r="O457" s="8"/>
      <c r="P457" s="8"/>
      <c r="Q457" s="8"/>
      <c r="R457" s="8"/>
      <c r="S457" s="8"/>
      <c r="T457" s="8"/>
      <c r="U457" s="8"/>
      <c r="V457" s="8"/>
    </row>
    <row r="458">
      <c r="A458" s="5" t="s">
        <v>793</v>
      </c>
      <c r="B458" s="6" t="s">
        <v>342</v>
      </c>
      <c r="C458" s="5" t="s">
        <v>9</v>
      </c>
      <c r="D458" s="5" t="s">
        <v>343</v>
      </c>
      <c r="E458" s="5" t="s">
        <v>207</v>
      </c>
      <c r="F458" s="5" t="s">
        <v>794</v>
      </c>
      <c r="G458" s="10"/>
      <c r="H458" s="8"/>
      <c r="I458" s="8"/>
      <c r="J458" s="8"/>
      <c r="K458" s="8"/>
      <c r="L458" s="8"/>
      <c r="M458" s="8"/>
      <c r="N458" s="8"/>
      <c r="O458" s="8"/>
      <c r="P458" s="8"/>
      <c r="Q458" s="8"/>
      <c r="R458" s="8"/>
      <c r="S458" s="8"/>
      <c r="T458" s="8"/>
      <c r="U458" s="8"/>
      <c r="V458" s="8"/>
    </row>
    <row r="459">
      <c r="A459" s="8"/>
      <c r="B459" s="11"/>
      <c r="C459" s="8"/>
      <c r="D459" s="8"/>
      <c r="E459" s="8"/>
      <c r="F459" s="8"/>
      <c r="G459" s="10"/>
      <c r="H459" s="8"/>
      <c r="I459" s="8"/>
      <c r="J459" s="8"/>
      <c r="K459" s="8"/>
      <c r="L459" s="8"/>
      <c r="M459" s="8"/>
      <c r="N459" s="8"/>
      <c r="O459" s="8"/>
      <c r="P459" s="8"/>
      <c r="Q459" s="8"/>
      <c r="R459" s="8"/>
      <c r="S459" s="8"/>
      <c r="T459" s="8"/>
      <c r="U459" s="8"/>
      <c r="V459" s="8"/>
    </row>
    <row r="460">
      <c r="A460" s="8"/>
      <c r="B460" s="11"/>
      <c r="C460" s="8"/>
      <c r="D460" s="8"/>
      <c r="E460" s="8"/>
      <c r="F460" s="8"/>
      <c r="G460" s="10"/>
      <c r="H460" s="8"/>
      <c r="I460" s="8"/>
      <c r="J460" s="8"/>
      <c r="K460" s="8"/>
      <c r="L460" s="8"/>
      <c r="M460" s="8"/>
      <c r="N460" s="8"/>
      <c r="O460" s="8"/>
      <c r="P460" s="8"/>
      <c r="Q460" s="8"/>
      <c r="R460" s="8"/>
      <c r="S460" s="8"/>
      <c r="T460" s="8"/>
      <c r="U460" s="8"/>
      <c r="V460" s="8"/>
    </row>
    <row r="461">
      <c r="A461" s="5" t="s">
        <v>795</v>
      </c>
      <c r="B461" s="6" t="s">
        <v>9</v>
      </c>
      <c r="C461" s="5" t="s">
        <v>9</v>
      </c>
      <c r="D461" s="8"/>
      <c r="E461" s="5" t="s">
        <v>207</v>
      </c>
      <c r="F461" s="5" t="s">
        <v>796</v>
      </c>
      <c r="G461" s="10"/>
      <c r="H461" s="8"/>
      <c r="I461" s="8"/>
      <c r="J461" s="8"/>
      <c r="K461" s="8"/>
      <c r="L461" s="8"/>
      <c r="M461" s="8"/>
      <c r="N461" s="8"/>
      <c r="O461" s="8"/>
      <c r="P461" s="8"/>
      <c r="Q461" s="8"/>
      <c r="R461" s="8"/>
      <c r="S461" s="8"/>
      <c r="T461" s="8"/>
      <c r="U461" s="8"/>
      <c r="V461" s="8"/>
    </row>
    <row r="462">
      <c r="A462" s="5" t="s">
        <v>797</v>
      </c>
      <c r="B462" s="5" t="s">
        <v>798</v>
      </c>
      <c r="C462" s="5" t="s">
        <v>9</v>
      </c>
      <c r="D462" s="8"/>
      <c r="E462" s="5" t="s">
        <v>207</v>
      </c>
      <c r="F462" s="5" t="s">
        <v>799</v>
      </c>
      <c r="G462" s="7" t="s">
        <v>800</v>
      </c>
      <c r="H462" s="8"/>
      <c r="I462" s="8"/>
      <c r="J462" s="8"/>
      <c r="K462" s="8"/>
      <c r="L462" s="8"/>
      <c r="M462" s="8"/>
      <c r="N462" s="8"/>
      <c r="O462" s="8"/>
      <c r="P462" s="8"/>
      <c r="Q462" s="8"/>
      <c r="R462" s="8"/>
      <c r="S462" s="8"/>
      <c r="T462" s="8"/>
      <c r="U462" s="8"/>
      <c r="V462" s="8"/>
    </row>
    <row r="463">
      <c r="A463" s="8"/>
      <c r="B463" s="6"/>
      <c r="C463" s="8"/>
      <c r="D463" s="8"/>
      <c r="E463" s="8"/>
      <c r="F463" s="8"/>
      <c r="G463" s="10"/>
      <c r="H463" s="8"/>
      <c r="I463" s="8"/>
      <c r="J463" s="8"/>
      <c r="K463" s="8"/>
      <c r="L463" s="8"/>
      <c r="M463" s="8"/>
      <c r="N463" s="8"/>
      <c r="O463" s="8"/>
      <c r="P463" s="8"/>
      <c r="Q463" s="8"/>
      <c r="R463" s="8"/>
      <c r="S463" s="8"/>
      <c r="T463" s="8"/>
      <c r="U463" s="8"/>
      <c r="V463" s="8"/>
    </row>
    <row r="464">
      <c r="A464" s="8"/>
      <c r="B464" s="11"/>
      <c r="C464" s="8"/>
      <c r="D464" s="8"/>
      <c r="E464" s="8"/>
      <c r="F464" s="8"/>
      <c r="G464" s="10"/>
      <c r="H464" s="8"/>
      <c r="I464" s="8"/>
      <c r="J464" s="8"/>
      <c r="K464" s="8"/>
      <c r="L464" s="8"/>
      <c r="M464" s="8"/>
      <c r="N464" s="8"/>
      <c r="O464" s="8"/>
      <c r="P464" s="8"/>
      <c r="Q464" s="8"/>
      <c r="R464" s="8"/>
      <c r="S464" s="8"/>
      <c r="T464" s="8"/>
      <c r="U464" s="8"/>
      <c r="V464" s="8"/>
    </row>
    <row r="465">
      <c r="A465" s="8"/>
      <c r="B465" s="11"/>
      <c r="C465" s="8"/>
      <c r="D465" s="8"/>
      <c r="E465" s="8"/>
      <c r="F465" s="8"/>
      <c r="G465" s="10"/>
      <c r="H465" s="8"/>
      <c r="I465" s="8"/>
      <c r="J465" s="8"/>
      <c r="K465" s="8"/>
      <c r="L465" s="8"/>
      <c r="M465" s="8"/>
      <c r="N465" s="8"/>
      <c r="O465" s="8"/>
      <c r="P465" s="8"/>
      <c r="Q465" s="8"/>
      <c r="R465" s="8"/>
      <c r="S465" s="8"/>
      <c r="T465" s="8"/>
      <c r="U465" s="8"/>
      <c r="V465" s="8"/>
    </row>
    <row r="466">
      <c r="A466" s="8"/>
      <c r="B466" s="11"/>
      <c r="C466" s="8"/>
      <c r="D466" s="8"/>
      <c r="E466" s="8"/>
      <c r="F466" s="8"/>
      <c r="G466" s="10"/>
      <c r="H466" s="8"/>
      <c r="I466" s="8"/>
      <c r="J466" s="8"/>
      <c r="K466" s="8"/>
      <c r="L466" s="8"/>
      <c r="M466" s="8"/>
      <c r="N466" s="8"/>
      <c r="O466" s="8"/>
      <c r="P466" s="8"/>
      <c r="Q466" s="8"/>
      <c r="R466" s="8"/>
      <c r="S466" s="8"/>
      <c r="T466" s="8"/>
      <c r="U466" s="8"/>
      <c r="V466" s="8"/>
    </row>
    <row r="467">
      <c r="A467" s="5" t="s">
        <v>801</v>
      </c>
      <c r="B467" s="6" t="s">
        <v>9</v>
      </c>
      <c r="C467" s="5" t="s">
        <v>9</v>
      </c>
      <c r="D467" s="8"/>
      <c r="E467" s="5" t="s">
        <v>207</v>
      </c>
      <c r="F467" s="5" t="s">
        <v>802</v>
      </c>
      <c r="G467" s="10"/>
      <c r="H467" s="8"/>
      <c r="I467" s="8"/>
      <c r="J467" s="8"/>
      <c r="K467" s="8"/>
      <c r="L467" s="8"/>
      <c r="M467" s="8"/>
      <c r="N467" s="8"/>
      <c r="O467" s="8"/>
      <c r="P467" s="8"/>
      <c r="Q467" s="8"/>
      <c r="R467" s="8"/>
      <c r="S467" s="8"/>
      <c r="T467" s="8"/>
      <c r="U467" s="8"/>
      <c r="V467" s="8"/>
    </row>
    <row r="468">
      <c r="A468" s="5" t="s">
        <v>803</v>
      </c>
      <c r="B468" s="6" t="s">
        <v>9</v>
      </c>
      <c r="C468" s="5" t="s">
        <v>9</v>
      </c>
      <c r="D468" s="8"/>
      <c r="E468" s="5" t="s">
        <v>207</v>
      </c>
      <c r="F468" s="5" t="s">
        <v>804</v>
      </c>
      <c r="G468" s="10"/>
      <c r="H468" s="8"/>
      <c r="I468" s="8"/>
      <c r="J468" s="8"/>
      <c r="K468" s="8"/>
      <c r="L468" s="8"/>
      <c r="M468" s="8"/>
      <c r="N468" s="8"/>
      <c r="O468" s="8"/>
      <c r="P468" s="8"/>
      <c r="Q468" s="8"/>
      <c r="R468" s="8"/>
      <c r="S468" s="8"/>
      <c r="T468" s="8"/>
      <c r="U468" s="8"/>
      <c r="V468" s="8"/>
    </row>
    <row r="469">
      <c r="A469" s="5" t="s">
        <v>805</v>
      </c>
      <c r="B469" s="6" t="s">
        <v>9</v>
      </c>
      <c r="C469" s="5" t="s">
        <v>9</v>
      </c>
      <c r="D469" s="8"/>
      <c r="E469" s="5" t="s">
        <v>207</v>
      </c>
      <c r="F469" s="5" t="s">
        <v>806</v>
      </c>
      <c r="G469" s="10"/>
      <c r="H469" s="8"/>
      <c r="I469" s="8"/>
      <c r="J469" s="8"/>
      <c r="K469" s="8"/>
      <c r="L469" s="8"/>
      <c r="M469" s="8"/>
      <c r="N469" s="8"/>
      <c r="O469" s="8"/>
      <c r="P469" s="8"/>
      <c r="Q469" s="8"/>
      <c r="R469" s="8"/>
      <c r="S469" s="8"/>
      <c r="T469" s="8"/>
      <c r="U469" s="8"/>
      <c r="V469" s="8"/>
    </row>
    <row r="470">
      <c r="A470" s="5" t="s">
        <v>807</v>
      </c>
      <c r="B470" s="6" t="s">
        <v>808</v>
      </c>
      <c r="C470" s="5" t="s">
        <v>9</v>
      </c>
      <c r="D470" s="5" t="s">
        <v>343</v>
      </c>
      <c r="E470" s="5" t="s">
        <v>207</v>
      </c>
      <c r="F470" s="5" t="s">
        <v>809</v>
      </c>
      <c r="G470" s="10"/>
      <c r="H470" s="8"/>
      <c r="I470" s="8"/>
      <c r="J470" s="8"/>
      <c r="K470" s="8"/>
      <c r="L470" s="8"/>
      <c r="M470" s="8"/>
      <c r="N470" s="8"/>
      <c r="O470" s="8"/>
      <c r="P470" s="8"/>
      <c r="Q470" s="8"/>
      <c r="R470" s="8"/>
      <c r="S470" s="8"/>
      <c r="T470" s="8"/>
      <c r="U470" s="8"/>
      <c r="V470" s="8"/>
    </row>
    <row r="471">
      <c r="A471" s="5" t="s">
        <v>810</v>
      </c>
      <c r="B471" s="6" t="s">
        <v>811</v>
      </c>
      <c r="C471" s="5" t="s">
        <v>9</v>
      </c>
      <c r="D471" s="5" t="s">
        <v>343</v>
      </c>
      <c r="E471" s="5" t="s">
        <v>308</v>
      </c>
      <c r="F471" s="8"/>
      <c r="G471" s="10"/>
      <c r="H471" s="8"/>
      <c r="I471" s="8"/>
      <c r="J471" s="8"/>
      <c r="K471" s="8"/>
      <c r="L471" s="8"/>
      <c r="M471" s="8"/>
      <c r="N471" s="8"/>
      <c r="O471" s="8"/>
      <c r="P471" s="8"/>
      <c r="Q471" s="8"/>
      <c r="R471" s="8"/>
      <c r="S471" s="8"/>
      <c r="T471" s="8"/>
      <c r="U471" s="8"/>
      <c r="V471" s="8"/>
    </row>
    <row r="472">
      <c r="A472" s="5" t="s">
        <v>812</v>
      </c>
      <c r="B472" s="6" t="s">
        <v>9</v>
      </c>
      <c r="C472" s="8"/>
      <c r="D472" s="8"/>
      <c r="E472" s="5" t="s">
        <v>207</v>
      </c>
      <c r="F472" s="5" t="s">
        <v>813</v>
      </c>
      <c r="G472" s="10"/>
      <c r="H472" s="8"/>
      <c r="I472" s="8"/>
      <c r="J472" s="8"/>
      <c r="K472" s="8"/>
      <c r="L472" s="8"/>
      <c r="M472" s="8"/>
      <c r="N472" s="8"/>
      <c r="O472" s="8"/>
      <c r="P472" s="8"/>
      <c r="Q472" s="8"/>
      <c r="R472" s="8"/>
      <c r="S472" s="8"/>
      <c r="T472" s="8"/>
      <c r="U472" s="8"/>
      <c r="V472" s="8"/>
    </row>
    <row r="473">
      <c r="A473" s="5" t="s">
        <v>814</v>
      </c>
      <c r="B473" s="6" t="s">
        <v>9</v>
      </c>
      <c r="C473" s="8"/>
      <c r="D473" s="8"/>
      <c r="E473" s="5" t="s">
        <v>207</v>
      </c>
      <c r="F473" s="5" t="s">
        <v>815</v>
      </c>
      <c r="G473" s="10"/>
      <c r="H473" s="8"/>
      <c r="I473" s="8"/>
      <c r="J473" s="8"/>
      <c r="K473" s="8"/>
      <c r="L473" s="8"/>
      <c r="M473" s="8"/>
      <c r="N473" s="8"/>
      <c r="O473" s="8"/>
      <c r="P473" s="8"/>
      <c r="Q473" s="8"/>
      <c r="R473" s="8"/>
      <c r="S473" s="8"/>
      <c r="T473" s="8"/>
      <c r="U473" s="8"/>
      <c r="V473" s="8"/>
    </row>
    <row r="474">
      <c r="A474" s="8"/>
      <c r="B474" s="11"/>
      <c r="C474" s="8"/>
      <c r="D474" s="8"/>
      <c r="E474" s="8"/>
      <c r="F474" s="8"/>
      <c r="G474" s="10"/>
      <c r="H474" s="8"/>
      <c r="I474" s="8"/>
      <c r="J474" s="8"/>
      <c r="K474" s="8"/>
      <c r="L474" s="8"/>
      <c r="M474" s="8"/>
      <c r="N474" s="8"/>
      <c r="O474" s="8"/>
      <c r="P474" s="8"/>
      <c r="Q474" s="8"/>
      <c r="R474" s="8"/>
      <c r="S474" s="8"/>
      <c r="T474" s="8"/>
      <c r="U474" s="8"/>
      <c r="V474" s="8"/>
    </row>
    <row r="475">
      <c r="A475" s="8"/>
      <c r="B475" s="11"/>
      <c r="C475" s="8"/>
      <c r="D475" s="8"/>
      <c r="E475" s="8"/>
      <c r="F475" s="8"/>
      <c r="G475" s="10"/>
      <c r="H475" s="8"/>
      <c r="I475" s="8"/>
      <c r="J475" s="8"/>
      <c r="K475" s="8"/>
      <c r="L475" s="8"/>
      <c r="M475" s="8"/>
      <c r="N475" s="8"/>
      <c r="O475" s="8"/>
      <c r="P475" s="8"/>
      <c r="Q475" s="8"/>
      <c r="R475" s="8"/>
      <c r="S475" s="8"/>
      <c r="T475" s="8"/>
      <c r="U475" s="8"/>
      <c r="V475" s="8"/>
    </row>
    <row r="476">
      <c r="A476" s="8"/>
      <c r="B476" s="11"/>
      <c r="C476" s="8"/>
      <c r="D476" s="8"/>
      <c r="E476" s="8"/>
      <c r="F476" s="8"/>
      <c r="G476" s="10"/>
      <c r="H476" s="8"/>
      <c r="I476" s="8"/>
      <c r="J476" s="8"/>
      <c r="K476" s="8"/>
      <c r="L476" s="8"/>
      <c r="M476" s="8"/>
      <c r="N476" s="8"/>
      <c r="O476" s="8"/>
      <c r="P476" s="8"/>
      <c r="Q476" s="8"/>
      <c r="R476" s="8"/>
      <c r="S476" s="8"/>
      <c r="T476" s="8"/>
      <c r="U476" s="8"/>
      <c r="V476" s="8"/>
    </row>
    <row r="477">
      <c r="A477" s="8"/>
      <c r="B477" s="11"/>
      <c r="C477" s="8"/>
      <c r="D477" s="8"/>
      <c r="E477" s="8"/>
      <c r="F477" s="8"/>
      <c r="G477" s="10"/>
      <c r="H477" s="8"/>
      <c r="I477" s="8"/>
      <c r="J477" s="8"/>
      <c r="K477" s="8"/>
      <c r="L477" s="8"/>
      <c r="M477" s="8"/>
      <c r="N477" s="8"/>
      <c r="O477" s="8"/>
      <c r="P477" s="8"/>
      <c r="Q477" s="8"/>
      <c r="R477" s="8"/>
      <c r="S477" s="8"/>
      <c r="T477" s="8"/>
      <c r="U477" s="8"/>
      <c r="V477" s="8"/>
    </row>
    <row r="478">
      <c r="A478" s="8"/>
      <c r="B478" s="11"/>
      <c r="C478" s="8"/>
      <c r="D478" s="8"/>
      <c r="E478" s="8"/>
      <c r="F478" s="8"/>
      <c r="G478" s="10"/>
      <c r="H478" s="8"/>
      <c r="I478" s="8"/>
      <c r="J478" s="8"/>
      <c r="K478" s="8"/>
      <c r="L478" s="8"/>
      <c r="M478" s="8"/>
      <c r="N478" s="8"/>
      <c r="O478" s="8"/>
      <c r="P478" s="8"/>
      <c r="Q478" s="8"/>
      <c r="R478" s="8"/>
      <c r="S478" s="8"/>
      <c r="T478" s="8"/>
      <c r="U478" s="8"/>
      <c r="V478" s="8"/>
    </row>
    <row r="479">
      <c r="A479" s="8"/>
      <c r="B479" s="11"/>
      <c r="C479" s="8"/>
      <c r="D479" s="8"/>
      <c r="E479" s="8"/>
      <c r="F479" s="8"/>
      <c r="G479" s="10"/>
      <c r="H479" s="8"/>
      <c r="I479" s="8"/>
      <c r="J479" s="8"/>
      <c r="K479" s="8"/>
      <c r="L479" s="8"/>
      <c r="M479" s="8"/>
      <c r="N479" s="8"/>
      <c r="O479" s="8"/>
      <c r="P479" s="8"/>
      <c r="Q479" s="8"/>
      <c r="R479" s="8"/>
      <c r="S479" s="8"/>
      <c r="T479" s="8"/>
      <c r="U479" s="8"/>
      <c r="V479" s="8"/>
    </row>
    <row r="480">
      <c r="A480" s="8"/>
      <c r="B480" s="11"/>
      <c r="C480" s="8"/>
      <c r="D480" s="8"/>
      <c r="E480" s="8"/>
      <c r="F480" s="8"/>
      <c r="G480" s="10"/>
      <c r="H480" s="8"/>
      <c r="I480" s="8"/>
      <c r="J480" s="8"/>
      <c r="K480" s="8"/>
      <c r="L480" s="8"/>
      <c r="M480" s="8"/>
      <c r="N480" s="8"/>
      <c r="O480" s="8"/>
      <c r="P480" s="8"/>
      <c r="Q480" s="8"/>
      <c r="R480" s="8"/>
      <c r="S480" s="8"/>
      <c r="T480" s="8"/>
      <c r="U480" s="8"/>
      <c r="V480" s="8"/>
    </row>
    <row r="481">
      <c r="A481" s="8"/>
      <c r="B481" s="11"/>
      <c r="C481" s="8"/>
      <c r="D481" s="8"/>
      <c r="E481" s="8"/>
      <c r="F481" s="8"/>
      <c r="G481" s="10"/>
      <c r="H481" s="8"/>
      <c r="I481" s="8"/>
      <c r="J481" s="8"/>
      <c r="K481" s="8"/>
      <c r="L481" s="8"/>
      <c r="M481" s="8"/>
      <c r="N481" s="8"/>
      <c r="O481" s="8"/>
      <c r="P481" s="8"/>
      <c r="Q481" s="8"/>
      <c r="R481" s="8"/>
      <c r="S481" s="8"/>
      <c r="T481" s="8"/>
      <c r="U481" s="8"/>
      <c r="V481" s="8"/>
    </row>
    <row r="482">
      <c r="A482" s="5" t="s">
        <v>816</v>
      </c>
      <c r="B482" s="11"/>
      <c r="C482" s="8"/>
      <c r="D482" s="8"/>
      <c r="E482" s="5" t="s">
        <v>817</v>
      </c>
      <c r="F482" s="5" t="s">
        <v>818</v>
      </c>
      <c r="G482" s="10"/>
      <c r="H482" s="8"/>
      <c r="I482" s="8"/>
      <c r="J482" s="8"/>
      <c r="K482" s="8"/>
      <c r="L482" s="8"/>
      <c r="M482" s="8"/>
      <c r="N482" s="8"/>
      <c r="O482" s="8"/>
      <c r="P482" s="8"/>
      <c r="Q482" s="8"/>
      <c r="R482" s="8"/>
      <c r="S482" s="8"/>
      <c r="T482" s="8"/>
      <c r="U482" s="8"/>
      <c r="V482" s="8"/>
    </row>
    <row r="483">
      <c r="A483" s="5" t="s">
        <v>819</v>
      </c>
      <c r="B483" s="11"/>
      <c r="C483" s="8"/>
      <c r="D483" s="8"/>
      <c r="E483" s="8"/>
      <c r="F483" s="8"/>
      <c r="G483" s="10"/>
      <c r="H483" s="8"/>
      <c r="I483" s="8"/>
      <c r="J483" s="8"/>
      <c r="K483" s="8"/>
      <c r="L483" s="8"/>
      <c r="M483" s="8"/>
      <c r="N483" s="8"/>
      <c r="O483" s="8"/>
      <c r="P483" s="8"/>
      <c r="Q483" s="8"/>
      <c r="R483" s="8"/>
      <c r="S483" s="8"/>
      <c r="T483" s="8"/>
      <c r="U483" s="8"/>
      <c r="V483" s="8"/>
    </row>
    <row r="484">
      <c r="A484" s="8"/>
      <c r="B484" s="11"/>
      <c r="C484" s="8"/>
      <c r="D484" s="8"/>
      <c r="E484" s="8"/>
      <c r="F484" s="8"/>
      <c r="G484" s="10"/>
      <c r="H484" s="8"/>
      <c r="I484" s="8"/>
      <c r="J484" s="8"/>
      <c r="K484" s="8"/>
      <c r="L484" s="8"/>
      <c r="M484" s="8"/>
      <c r="N484" s="8"/>
      <c r="O484" s="8"/>
      <c r="P484" s="8"/>
      <c r="Q484" s="8"/>
      <c r="R484" s="8"/>
      <c r="S484" s="8"/>
      <c r="T484" s="8"/>
      <c r="U484" s="8"/>
      <c r="V484" s="8"/>
    </row>
    <row r="485">
      <c r="A485" s="8"/>
      <c r="B485" s="11"/>
      <c r="C485" s="8"/>
      <c r="D485" s="8"/>
      <c r="E485" s="8"/>
      <c r="F485" s="8"/>
      <c r="G485" s="10"/>
      <c r="H485" s="8"/>
      <c r="I485" s="8"/>
      <c r="J485" s="8"/>
      <c r="K485" s="8"/>
      <c r="L485" s="8"/>
      <c r="M485" s="8"/>
      <c r="N485" s="8"/>
      <c r="O485" s="8"/>
      <c r="P485" s="8"/>
      <c r="Q485" s="8"/>
      <c r="R485" s="8"/>
      <c r="S485" s="8"/>
      <c r="T485" s="8"/>
      <c r="U485" s="8"/>
      <c r="V485" s="8"/>
    </row>
    <row r="486">
      <c r="A486" s="8"/>
      <c r="B486" s="11"/>
      <c r="C486" s="8"/>
      <c r="D486" s="8"/>
      <c r="E486" s="8"/>
      <c r="F486" s="8"/>
      <c r="G486" s="10"/>
      <c r="H486" s="8"/>
      <c r="I486" s="8"/>
      <c r="J486" s="8"/>
      <c r="K486" s="8"/>
      <c r="L486" s="8"/>
      <c r="M486" s="8"/>
      <c r="N486" s="8"/>
      <c r="O486" s="8"/>
      <c r="P486" s="8"/>
      <c r="Q486" s="8"/>
      <c r="R486" s="8"/>
      <c r="S486" s="8"/>
      <c r="T486" s="8"/>
      <c r="U486" s="8"/>
      <c r="V486" s="8"/>
    </row>
    <row r="487">
      <c r="A487" s="8"/>
      <c r="B487" s="11"/>
      <c r="C487" s="8"/>
      <c r="D487" s="8"/>
      <c r="E487" s="8"/>
      <c r="F487" s="8"/>
      <c r="G487" s="10"/>
      <c r="H487" s="8"/>
      <c r="I487" s="8"/>
      <c r="J487" s="8"/>
      <c r="K487" s="8"/>
      <c r="L487" s="8"/>
      <c r="M487" s="8"/>
      <c r="N487" s="8"/>
      <c r="O487" s="8"/>
      <c r="P487" s="8"/>
      <c r="Q487" s="8"/>
      <c r="R487" s="8"/>
      <c r="S487" s="8"/>
      <c r="T487" s="8"/>
      <c r="U487" s="8"/>
      <c r="V487" s="8"/>
    </row>
    <row r="488">
      <c r="A488" s="8"/>
      <c r="B488" s="11"/>
      <c r="C488" s="8"/>
      <c r="D488" s="8"/>
      <c r="E488" s="8"/>
      <c r="F488" s="8"/>
      <c r="G488" s="10"/>
      <c r="H488" s="8"/>
      <c r="I488" s="8"/>
      <c r="J488" s="8"/>
      <c r="K488" s="8"/>
      <c r="L488" s="8"/>
      <c r="M488" s="8"/>
      <c r="N488" s="8"/>
      <c r="O488" s="8"/>
      <c r="P488" s="8"/>
      <c r="Q488" s="8"/>
      <c r="R488" s="8"/>
      <c r="S488" s="8"/>
      <c r="T488" s="8"/>
      <c r="U488" s="8"/>
      <c r="V488" s="8"/>
    </row>
    <row r="489">
      <c r="A489" s="8"/>
      <c r="B489" s="11"/>
      <c r="C489" s="8"/>
      <c r="D489" s="8"/>
      <c r="E489" s="8"/>
      <c r="F489" s="8"/>
      <c r="G489" s="10"/>
      <c r="H489" s="8"/>
      <c r="I489" s="8"/>
      <c r="J489" s="8"/>
      <c r="K489" s="8"/>
      <c r="L489" s="8"/>
      <c r="M489" s="8"/>
      <c r="N489" s="8"/>
      <c r="O489" s="8"/>
      <c r="P489" s="8"/>
      <c r="Q489" s="8"/>
      <c r="R489" s="8"/>
      <c r="S489" s="8"/>
      <c r="T489" s="8"/>
      <c r="U489" s="8"/>
      <c r="V489" s="8"/>
    </row>
    <row r="490">
      <c r="A490" s="8"/>
      <c r="B490" s="11"/>
      <c r="C490" s="8"/>
      <c r="D490" s="8"/>
      <c r="E490" s="8"/>
      <c r="F490" s="8"/>
      <c r="G490" s="10"/>
      <c r="H490" s="8"/>
      <c r="I490" s="8"/>
      <c r="J490" s="8"/>
      <c r="K490" s="8"/>
      <c r="L490" s="8"/>
      <c r="M490" s="8"/>
      <c r="N490" s="8"/>
      <c r="O490" s="8"/>
      <c r="P490" s="8"/>
      <c r="Q490" s="8"/>
      <c r="R490" s="8"/>
      <c r="S490" s="8"/>
      <c r="T490" s="8"/>
      <c r="U490" s="8"/>
      <c r="V490" s="8"/>
    </row>
    <row r="491">
      <c r="A491" s="8"/>
      <c r="B491" s="11"/>
      <c r="C491" s="8"/>
      <c r="D491" s="8"/>
      <c r="E491" s="8"/>
      <c r="F491" s="8"/>
      <c r="G491" s="10"/>
      <c r="H491" s="8"/>
      <c r="I491" s="8"/>
      <c r="J491" s="8"/>
      <c r="K491" s="8"/>
      <c r="L491" s="8"/>
      <c r="M491" s="8"/>
      <c r="N491" s="8"/>
      <c r="O491" s="8"/>
      <c r="P491" s="8"/>
      <c r="Q491" s="8"/>
      <c r="R491" s="8"/>
      <c r="S491" s="8"/>
      <c r="T491" s="8"/>
      <c r="U491" s="8"/>
      <c r="V491" s="8"/>
    </row>
    <row r="492">
      <c r="A492" s="8"/>
      <c r="B492" s="11"/>
      <c r="C492" s="8"/>
      <c r="D492" s="8"/>
      <c r="E492" s="8"/>
      <c r="F492" s="8"/>
      <c r="G492" s="10"/>
      <c r="H492" s="8"/>
      <c r="I492" s="8"/>
      <c r="J492" s="8"/>
      <c r="K492" s="8"/>
      <c r="L492" s="8"/>
      <c r="M492" s="8"/>
      <c r="N492" s="8"/>
      <c r="O492" s="8"/>
      <c r="P492" s="8"/>
      <c r="Q492" s="8"/>
      <c r="R492" s="8"/>
      <c r="S492" s="8"/>
      <c r="T492" s="8"/>
      <c r="U492" s="8"/>
      <c r="V492" s="8"/>
    </row>
    <row r="493">
      <c r="A493" s="8"/>
      <c r="B493" s="11"/>
      <c r="C493" s="8"/>
      <c r="D493" s="8"/>
      <c r="E493" s="8"/>
      <c r="F493" s="8"/>
      <c r="G493" s="10"/>
      <c r="H493" s="8"/>
      <c r="I493" s="8"/>
      <c r="J493" s="8"/>
      <c r="K493" s="8"/>
      <c r="L493" s="8"/>
      <c r="M493" s="8"/>
      <c r="N493" s="8"/>
      <c r="O493" s="8"/>
      <c r="P493" s="8"/>
      <c r="Q493" s="8"/>
      <c r="R493" s="8"/>
      <c r="S493" s="8"/>
      <c r="T493" s="8"/>
      <c r="U493" s="8"/>
      <c r="V493" s="8"/>
    </row>
    <row r="494">
      <c r="A494" s="8"/>
      <c r="B494" s="11"/>
      <c r="C494" s="8"/>
      <c r="D494" s="8"/>
      <c r="E494" s="8"/>
      <c r="F494" s="8"/>
      <c r="G494" s="10"/>
      <c r="H494" s="8"/>
      <c r="I494" s="8"/>
      <c r="J494" s="8"/>
      <c r="K494" s="8"/>
      <c r="L494" s="8"/>
      <c r="M494" s="8"/>
      <c r="N494" s="8"/>
      <c r="O494" s="8"/>
      <c r="P494" s="8"/>
      <c r="Q494" s="8"/>
      <c r="R494" s="8"/>
      <c r="S494" s="8"/>
      <c r="T494" s="8"/>
      <c r="U494" s="8"/>
      <c r="V494" s="8"/>
    </row>
    <row r="495">
      <c r="A495" s="8"/>
      <c r="B495" s="11"/>
      <c r="C495" s="8"/>
      <c r="D495" s="8"/>
      <c r="E495" s="8"/>
      <c r="F495" s="8"/>
      <c r="G495" s="10"/>
      <c r="H495" s="8"/>
      <c r="I495" s="8"/>
      <c r="J495" s="8"/>
      <c r="K495" s="8"/>
      <c r="L495" s="8"/>
      <c r="M495" s="8"/>
      <c r="N495" s="8"/>
      <c r="O495" s="8"/>
      <c r="P495" s="8"/>
      <c r="Q495" s="8"/>
      <c r="R495" s="8"/>
      <c r="S495" s="8"/>
      <c r="T495" s="8"/>
      <c r="U495" s="8"/>
      <c r="V495" s="8"/>
    </row>
    <row r="496">
      <c r="A496" s="8"/>
      <c r="B496" s="11"/>
      <c r="C496" s="8"/>
      <c r="D496" s="8"/>
      <c r="E496" s="8"/>
      <c r="F496" s="8"/>
      <c r="G496" s="10"/>
      <c r="H496" s="8"/>
      <c r="I496" s="8"/>
      <c r="J496" s="8"/>
      <c r="K496" s="8"/>
      <c r="L496" s="8"/>
      <c r="M496" s="8"/>
      <c r="N496" s="8"/>
      <c r="O496" s="8"/>
      <c r="P496" s="8"/>
      <c r="Q496" s="8"/>
      <c r="R496" s="8"/>
      <c r="S496" s="8"/>
      <c r="T496" s="8"/>
      <c r="U496" s="8"/>
      <c r="V496" s="8"/>
    </row>
    <row r="497">
      <c r="A497" s="8"/>
      <c r="B497" s="11"/>
      <c r="C497" s="8"/>
      <c r="D497" s="8"/>
      <c r="E497" s="8"/>
      <c r="F497" s="8"/>
      <c r="G497" s="10"/>
      <c r="H497" s="8"/>
      <c r="I497" s="8"/>
      <c r="J497" s="8"/>
      <c r="K497" s="8"/>
      <c r="L497" s="8"/>
      <c r="M497" s="8"/>
      <c r="N497" s="8"/>
      <c r="O497" s="8"/>
      <c r="P497" s="8"/>
      <c r="Q497" s="8"/>
      <c r="R497" s="8"/>
      <c r="S497" s="8"/>
      <c r="T497" s="8"/>
      <c r="U497" s="8"/>
      <c r="V497" s="8"/>
    </row>
    <row r="498">
      <c r="A498" s="8"/>
      <c r="B498" s="11"/>
      <c r="C498" s="8"/>
      <c r="D498" s="8"/>
      <c r="E498" s="8"/>
      <c r="F498" s="8"/>
      <c r="G498" s="10"/>
      <c r="H498" s="8"/>
      <c r="I498" s="8"/>
      <c r="J498" s="8"/>
      <c r="K498" s="8"/>
      <c r="L498" s="8"/>
      <c r="M498" s="8"/>
      <c r="N498" s="8"/>
      <c r="O498" s="8"/>
      <c r="P498" s="8"/>
      <c r="Q498" s="8"/>
      <c r="R498" s="8"/>
      <c r="S498" s="8"/>
      <c r="T498" s="8"/>
      <c r="U498" s="8"/>
      <c r="V498" s="8"/>
    </row>
    <row r="499">
      <c r="A499" s="8"/>
      <c r="B499" s="11"/>
      <c r="C499" s="8"/>
      <c r="D499" s="8"/>
      <c r="E499" s="8"/>
      <c r="F499" s="8"/>
      <c r="G499" s="10"/>
      <c r="H499" s="8"/>
      <c r="I499" s="8"/>
      <c r="J499" s="8"/>
      <c r="K499" s="8"/>
      <c r="L499" s="8"/>
      <c r="M499" s="8"/>
      <c r="N499" s="8"/>
      <c r="O499" s="8"/>
      <c r="P499" s="8"/>
      <c r="Q499" s="8"/>
      <c r="R499" s="8"/>
      <c r="S499" s="8"/>
      <c r="T499" s="8"/>
      <c r="U499" s="8"/>
      <c r="V499" s="8"/>
    </row>
    <row r="500">
      <c r="A500" s="8"/>
      <c r="B500" s="11"/>
      <c r="C500" s="8"/>
      <c r="D500" s="8"/>
      <c r="E500" s="8"/>
      <c r="F500" s="8"/>
      <c r="G500" s="10"/>
      <c r="H500" s="8"/>
      <c r="I500" s="8"/>
      <c r="J500" s="8"/>
      <c r="K500" s="8"/>
      <c r="L500" s="8"/>
      <c r="M500" s="8"/>
      <c r="N500" s="8"/>
      <c r="O500" s="8"/>
      <c r="P500" s="8"/>
      <c r="Q500" s="8"/>
      <c r="R500" s="8"/>
      <c r="S500" s="8"/>
      <c r="T500" s="8"/>
      <c r="U500" s="8"/>
      <c r="V500" s="8"/>
    </row>
    <row r="501">
      <c r="A501" s="8"/>
      <c r="B501" s="11"/>
      <c r="C501" s="8"/>
      <c r="D501" s="8"/>
      <c r="E501" s="8"/>
      <c r="F501" s="8"/>
      <c r="G501" s="10"/>
      <c r="H501" s="8"/>
      <c r="I501" s="8"/>
      <c r="J501" s="8"/>
      <c r="K501" s="8"/>
      <c r="L501" s="8"/>
      <c r="M501" s="8"/>
      <c r="N501" s="8"/>
      <c r="O501" s="8"/>
      <c r="P501" s="8"/>
      <c r="Q501" s="8"/>
      <c r="R501" s="8"/>
      <c r="S501" s="8"/>
      <c r="T501" s="8"/>
      <c r="U501" s="8"/>
      <c r="V501" s="8"/>
    </row>
    <row r="502">
      <c r="A502" s="8"/>
      <c r="B502" s="11"/>
      <c r="C502" s="8"/>
      <c r="D502" s="8"/>
      <c r="E502" s="8"/>
      <c r="F502" s="8"/>
      <c r="G502" s="10"/>
      <c r="H502" s="8"/>
      <c r="I502" s="8"/>
      <c r="J502" s="8"/>
      <c r="K502" s="8"/>
      <c r="L502" s="8"/>
      <c r="M502" s="8"/>
      <c r="N502" s="8"/>
      <c r="O502" s="8"/>
      <c r="P502" s="8"/>
      <c r="Q502" s="8"/>
      <c r="R502" s="8"/>
      <c r="S502" s="8"/>
      <c r="T502" s="8"/>
      <c r="U502" s="8"/>
      <c r="V502" s="8"/>
    </row>
    <row r="503">
      <c r="A503" s="8"/>
      <c r="B503" s="11"/>
      <c r="C503" s="8"/>
      <c r="D503" s="8"/>
      <c r="E503" s="8"/>
      <c r="F503" s="8"/>
      <c r="G503" s="10"/>
      <c r="H503" s="8"/>
      <c r="I503" s="8"/>
      <c r="J503" s="8"/>
      <c r="K503" s="8"/>
      <c r="L503" s="8"/>
      <c r="M503" s="8"/>
      <c r="N503" s="8"/>
      <c r="O503" s="8"/>
      <c r="P503" s="8"/>
      <c r="Q503" s="8"/>
      <c r="R503" s="8"/>
      <c r="S503" s="8"/>
      <c r="T503" s="8"/>
      <c r="U503" s="8"/>
      <c r="V503" s="8"/>
    </row>
    <row r="504">
      <c r="A504" s="8"/>
      <c r="B504" s="11"/>
      <c r="C504" s="8"/>
      <c r="D504" s="8"/>
      <c r="E504" s="8"/>
      <c r="F504" s="8"/>
      <c r="G504" s="10"/>
      <c r="H504" s="8"/>
      <c r="I504" s="8"/>
      <c r="J504" s="8"/>
      <c r="K504" s="8"/>
      <c r="L504" s="8"/>
      <c r="M504" s="8"/>
      <c r="N504" s="8"/>
      <c r="O504" s="8"/>
      <c r="P504" s="8"/>
      <c r="Q504" s="8"/>
      <c r="R504" s="8"/>
      <c r="S504" s="8"/>
      <c r="T504" s="8"/>
      <c r="U504" s="8"/>
      <c r="V504" s="8"/>
    </row>
    <row r="505">
      <c r="A505" s="8"/>
      <c r="B505" s="11"/>
      <c r="C505" s="8"/>
      <c r="D505" s="8"/>
      <c r="E505" s="8"/>
      <c r="F505" s="8"/>
      <c r="G505" s="10"/>
      <c r="H505" s="8"/>
      <c r="I505" s="8"/>
      <c r="J505" s="8"/>
      <c r="K505" s="8"/>
      <c r="L505" s="8"/>
      <c r="M505" s="8"/>
      <c r="N505" s="8"/>
      <c r="O505" s="8"/>
      <c r="P505" s="8"/>
      <c r="Q505" s="8"/>
      <c r="R505" s="8"/>
      <c r="S505" s="8"/>
      <c r="T505" s="8"/>
      <c r="U505" s="8"/>
      <c r="V505" s="8"/>
    </row>
    <row r="506">
      <c r="A506" s="8"/>
      <c r="B506" s="11"/>
      <c r="C506" s="8"/>
      <c r="D506" s="8"/>
      <c r="E506" s="8"/>
      <c r="F506" s="8"/>
      <c r="G506" s="10"/>
      <c r="H506" s="8"/>
      <c r="I506" s="8"/>
      <c r="J506" s="8"/>
      <c r="K506" s="8"/>
      <c r="L506" s="8"/>
      <c r="M506" s="8"/>
      <c r="N506" s="8"/>
      <c r="O506" s="8"/>
      <c r="P506" s="8"/>
      <c r="Q506" s="8"/>
      <c r="R506" s="8"/>
      <c r="S506" s="8"/>
      <c r="T506" s="8"/>
      <c r="U506" s="8"/>
      <c r="V506" s="8"/>
    </row>
    <row r="507">
      <c r="A507" s="8"/>
      <c r="B507" s="11"/>
      <c r="C507" s="8"/>
      <c r="D507" s="8"/>
      <c r="E507" s="8"/>
      <c r="F507" s="8"/>
      <c r="G507" s="10"/>
      <c r="H507" s="8"/>
      <c r="I507" s="8"/>
      <c r="J507" s="8"/>
      <c r="K507" s="8"/>
      <c r="L507" s="8"/>
      <c r="M507" s="8"/>
      <c r="N507" s="8"/>
      <c r="O507" s="8"/>
      <c r="P507" s="8"/>
      <c r="Q507" s="8"/>
      <c r="R507" s="8"/>
      <c r="S507" s="8"/>
      <c r="T507" s="8"/>
      <c r="U507" s="8"/>
      <c r="V507" s="8"/>
    </row>
    <row r="508">
      <c r="A508" s="8"/>
      <c r="B508" s="11"/>
      <c r="C508" s="8"/>
      <c r="D508" s="8"/>
      <c r="E508" s="8"/>
      <c r="F508" s="8"/>
      <c r="G508" s="10"/>
      <c r="H508" s="8"/>
      <c r="I508" s="8"/>
      <c r="J508" s="8"/>
      <c r="K508" s="8"/>
      <c r="L508" s="8"/>
      <c r="M508" s="8"/>
      <c r="N508" s="8"/>
      <c r="O508" s="8"/>
      <c r="P508" s="8"/>
      <c r="Q508" s="8"/>
      <c r="R508" s="8"/>
      <c r="S508" s="8"/>
      <c r="T508" s="8"/>
      <c r="U508" s="8"/>
      <c r="V508" s="8"/>
    </row>
    <row r="509">
      <c r="A509" s="8"/>
      <c r="B509" s="11"/>
      <c r="C509" s="8"/>
      <c r="D509" s="8"/>
      <c r="E509" s="8"/>
      <c r="F509" s="8"/>
      <c r="G509" s="10"/>
      <c r="H509" s="8"/>
      <c r="I509" s="8"/>
      <c r="J509" s="8"/>
      <c r="K509" s="8"/>
      <c r="L509" s="8"/>
      <c r="M509" s="8"/>
      <c r="N509" s="8"/>
      <c r="O509" s="8"/>
      <c r="P509" s="8"/>
      <c r="Q509" s="8"/>
      <c r="R509" s="8"/>
      <c r="S509" s="8"/>
      <c r="T509" s="8"/>
      <c r="U509" s="8"/>
      <c r="V509" s="8"/>
    </row>
    <row r="510">
      <c r="A510" s="8"/>
      <c r="B510" s="11"/>
      <c r="C510" s="8"/>
      <c r="D510" s="8"/>
      <c r="E510" s="8"/>
      <c r="F510" s="8"/>
      <c r="G510" s="10"/>
      <c r="H510" s="8"/>
      <c r="I510" s="8"/>
      <c r="J510" s="8"/>
      <c r="K510" s="8"/>
      <c r="L510" s="8"/>
      <c r="M510" s="8"/>
      <c r="N510" s="8"/>
      <c r="O510" s="8"/>
      <c r="P510" s="8"/>
      <c r="Q510" s="8"/>
      <c r="R510" s="8"/>
      <c r="S510" s="8"/>
      <c r="T510" s="8"/>
      <c r="U510" s="8"/>
      <c r="V510" s="8"/>
    </row>
    <row r="511">
      <c r="A511" s="8"/>
      <c r="B511" s="11"/>
      <c r="C511" s="8"/>
      <c r="D511" s="8"/>
      <c r="E511" s="8"/>
      <c r="F511" s="8"/>
      <c r="G511" s="10"/>
      <c r="H511" s="8"/>
      <c r="I511" s="8"/>
      <c r="J511" s="8"/>
      <c r="K511" s="8"/>
      <c r="L511" s="8"/>
      <c r="M511" s="8"/>
      <c r="N511" s="8"/>
      <c r="O511" s="8"/>
      <c r="P511" s="8"/>
      <c r="Q511" s="8"/>
      <c r="R511" s="8"/>
      <c r="S511" s="8"/>
      <c r="T511" s="8"/>
      <c r="U511" s="8"/>
      <c r="V511" s="8"/>
    </row>
    <row r="512">
      <c r="A512" s="8"/>
      <c r="B512" s="11"/>
      <c r="C512" s="8"/>
      <c r="D512" s="8"/>
      <c r="E512" s="8"/>
      <c r="F512" s="8"/>
      <c r="G512" s="10"/>
      <c r="H512" s="8"/>
      <c r="I512" s="8"/>
      <c r="J512" s="8"/>
      <c r="K512" s="8"/>
      <c r="L512" s="8"/>
      <c r="M512" s="8"/>
      <c r="N512" s="8"/>
      <c r="O512" s="8"/>
      <c r="P512" s="8"/>
      <c r="Q512" s="8"/>
      <c r="R512" s="8"/>
      <c r="S512" s="8"/>
      <c r="T512" s="8"/>
      <c r="U512" s="8"/>
      <c r="V512" s="8"/>
    </row>
    <row r="513">
      <c r="A513" s="8"/>
      <c r="B513" s="11"/>
      <c r="C513" s="8"/>
      <c r="D513" s="8"/>
      <c r="E513" s="8"/>
      <c r="F513" s="8"/>
      <c r="G513" s="10"/>
      <c r="H513" s="8"/>
      <c r="I513" s="8"/>
      <c r="J513" s="8"/>
      <c r="K513" s="8"/>
      <c r="L513" s="8"/>
      <c r="M513" s="8"/>
      <c r="N513" s="8"/>
      <c r="O513" s="8"/>
      <c r="P513" s="8"/>
      <c r="Q513" s="8"/>
      <c r="R513" s="8"/>
      <c r="S513" s="8"/>
      <c r="T513" s="8"/>
      <c r="U513" s="8"/>
      <c r="V513" s="8"/>
    </row>
    <row r="514">
      <c r="A514" s="8"/>
      <c r="B514" s="11"/>
      <c r="C514" s="8"/>
      <c r="D514" s="8"/>
      <c r="E514" s="8"/>
      <c r="F514" s="8"/>
      <c r="G514" s="10"/>
      <c r="H514" s="8"/>
      <c r="I514" s="8"/>
      <c r="J514" s="8"/>
      <c r="K514" s="8"/>
      <c r="L514" s="8"/>
      <c r="M514" s="8"/>
      <c r="N514" s="8"/>
      <c r="O514" s="8"/>
      <c r="P514" s="8"/>
      <c r="Q514" s="8"/>
      <c r="R514" s="8"/>
      <c r="S514" s="8"/>
      <c r="T514" s="8"/>
      <c r="U514" s="8"/>
      <c r="V514" s="8"/>
    </row>
    <row r="515">
      <c r="A515" s="8"/>
      <c r="B515" s="11"/>
      <c r="C515" s="8"/>
      <c r="D515" s="8"/>
      <c r="E515" s="8"/>
      <c r="F515" s="8"/>
      <c r="G515" s="10"/>
      <c r="H515" s="8"/>
      <c r="I515" s="8"/>
      <c r="J515" s="8"/>
      <c r="K515" s="8"/>
      <c r="L515" s="8"/>
      <c r="M515" s="8"/>
      <c r="N515" s="8"/>
      <c r="O515" s="8"/>
      <c r="P515" s="8"/>
      <c r="Q515" s="8"/>
      <c r="R515" s="8"/>
      <c r="S515" s="8"/>
      <c r="T515" s="8"/>
      <c r="U515" s="8"/>
      <c r="V515" s="8"/>
    </row>
    <row r="516">
      <c r="A516" s="8"/>
      <c r="B516" s="11"/>
      <c r="C516" s="8"/>
      <c r="D516" s="8"/>
      <c r="E516" s="8"/>
      <c r="F516" s="8"/>
      <c r="G516" s="10"/>
      <c r="H516" s="8"/>
      <c r="I516" s="8"/>
      <c r="J516" s="8"/>
      <c r="K516" s="8"/>
      <c r="L516" s="8"/>
      <c r="M516" s="8"/>
      <c r="N516" s="8"/>
      <c r="O516" s="8"/>
      <c r="P516" s="8"/>
      <c r="Q516" s="8"/>
      <c r="R516" s="8"/>
      <c r="S516" s="8"/>
      <c r="T516" s="8"/>
      <c r="U516" s="8"/>
      <c r="V516" s="8"/>
    </row>
    <row r="517">
      <c r="A517" s="8"/>
      <c r="B517" s="11"/>
      <c r="C517" s="8"/>
      <c r="D517" s="8"/>
      <c r="E517" s="8"/>
      <c r="F517" s="8"/>
      <c r="G517" s="10"/>
      <c r="H517" s="8"/>
      <c r="I517" s="8"/>
      <c r="J517" s="8"/>
      <c r="K517" s="8"/>
      <c r="L517" s="8"/>
      <c r="M517" s="8"/>
      <c r="N517" s="8"/>
      <c r="O517" s="8"/>
      <c r="P517" s="8"/>
      <c r="Q517" s="8"/>
      <c r="R517" s="8"/>
      <c r="S517" s="8"/>
      <c r="T517" s="8"/>
      <c r="U517" s="8"/>
      <c r="V517" s="8"/>
    </row>
    <row r="518">
      <c r="A518" s="8"/>
      <c r="B518" s="11"/>
      <c r="C518" s="8"/>
      <c r="D518" s="8"/>
      <c r="E518" s="8"/>
      <c r="F518" s="8"/>
      <c r="G518" s="10"/>
      <c r="H518" s="8"/>
      <c r="I518" s="8"/>
      <c r="J518" s="8"/>
      <c r="K518" s="8"/>
      <c r="L518" s="8"/>
      <c r="M518" s="8"/>
      <c r="N518" s="8"/>
      <c r="O518" s="8"/>
      <c r="P518" s="8"/>
      <c r="Q518" s="8"/>
      <c r="R518" s="8"/>
      <c r="S518" s="8"/>
      <c r="T518" s="8"/>
      <c r="U518" s="8"/>
      <c r="V518" s="8"/>
    </row>
    <row r="519">
      <c r="A519" s="8"/>
      <c r="B519" s="11"/>
      <c r="C519" s="8"/>
      <c r="D519" s="8"/>
      <c r="E519" s="8"/>
      <c r="F519" s="8"/>
      <c r="G519" s="10"/>
      <c r="H519" s="8"/>
      <c r="I519" s="8"/>
      <c r="J519" s="8"/>
      <c r="K519" s="8"/>
      <c r="L519" s="8"/>
      <c r="M519" s="8"/>
      <c r="N519" s="8"/>
      <c r="O519" s="8"/>
      <c r="P519" s="8"/>
      <c r="Q519" s="8"/>
      <c r="R519" s="8"/>
      <c r="S519" s="8"/>
      <c r="T519" s="8"/>
      <c r="U519" s="8"/>
      <c r="V519" s="8"/>
    </row>
    <row r="520">
      <c r="A520" s="8"/>
      <c r="B520" s="11"/>
      <c r="C520" s="8"/>
      <c r="D520" s="8"/>
      <c r="E520" s="8"/>
      <c r="F520" s="8"/>
      <c r="G520" s="10"/>
      <c r="H520" s="8"/>
      <c r="I520" s="8"/>
      <c r="J520" s="8"/>
      <c r="K520" s="8"/>
      <c r="L520" s="8"/>
      <c r="M520" s="8"/>
      <c r="N520" s="8"/>
      <c r="O520" s="8"/>
      <c r="P520" s="8"/>
      <c r="Q520" s="8"/>
      <c r="R520" s="8"/>
      <c r="S520" s="8"/>
      <c r="T520" s="8"/>
      <c r="U520" s="8"/>
      <c r="V520" s="8"/>
    </row>
    <row r="521">
      <c r="A521" s="8"/>
      <c r="B521" s="11"/>
      <c r="C521" s="8"/>
      <c r="D521" s="8"/>
      <c r="E521" s="8"/>
      <c r="F521" s="8"/>
      <c r="G521" s="10"/>
      <c r="H521" s="8"/>
      <c r="I521" s="8"/>
      <c r="J521" s="8"/>
      <c r="K521" s="8"/>
      <c r="L521" s="8"/>
      <c r="M521" s="8"/>
      <c r="N521" s="8"/>
      <c r="O521" s="8"/>
      <c r="P521" s="8"/>
      <c r="Q521" s="8"/>
      <c r="R521" s="8"/>
      <c r="S521" s="8"/>
      <c r="T521" s="8"/>
      <c r="U521" s="8"/>
      <c r="V521" s="8"/>
    </row>
    <row r="522">
      <c r="A522" s="8"/>
      <c r="B522" s="11"/>
      <c r="C522" s="8"/>
      <c r="D522" s="8"/>
      <c r="E522" s="8"/>
      <c r="F522" s="8"/>
      <c r="G522" s="10"/>
      <c r="H522" s="8"/>
      <c r="I522" s="8"/>
      <c r="J522" s="8"/>
      <c r="K522" s="8"/>
      <c r="L522" s="8"/>
      <c r="M522" s="8"/>
      <c r="N522" s="8"/>
      <c r="O522" s="8"/>
      <c r="P522" s="8"/>
      <c r="Q522" s="8"/>
      <c r="R522" s="8"/>
      <c r="S522" s="8"/>
      <c r="T522" s="8"/>
      <c r="U522" s="8"/>
      <c r="V522" s="8"/>
    </row>
    <row r="523">
      <c r="A523" s="8"/>
      <c r="B523" s="11"/>
      <c r="C523" s="8"/>
      <c r="D523" s="8"/>
      <c r="E523" s="8"/>
      <c r="F523" s="8"/>
      <c r="G523" s="10"/>
      <c r="H523" s="8"/>
      <c r="I523" s="8"/>
      <c r="J523" s="8"/>
      <c r="K523" s="8"/>
      <c r="L523" s="8"/>
      <c r="M523" s="8"/>
      <c r="N523" s="8"/>
      <c r="O523" s="8"/>
      <c r="P523" s="8"/>
      <c r="Q523" s="8"/>
      <c r="R523" s="8"/>
      <c r="S523" s="8"/>
      <c r="T523" s="8"/>
      <c r="U523" s="8"/>
      <c r="V523" s="8"/>
    </row>
    <row r="524">
      <c r="A524" s="8"/>
      <c r="B524" s="11"/>
      <c r="C524" s="8"/>
      <c r="D524" s="8"/>
      <c r="E524" s="8"/>
      <c r="F524" s="8"/>
      <c r="G524" s="10"/>
      <c r="H524" s="8"/>
      <c r="I524" s="8"/>
      <c r="J524" s="8"/>
      <c r="K524" s="8"/>
      <c r="L524" s="8"/>
      <c r="M524" s="8"/>
      <c r="N524" s="8"/>
      <c r="O524" s="8"/>
      <c r="P524" s="8"/>
      <c r="Q524" s="8"/>
      <c r="R524" s="8"/>
      <c r="S524" s="8"/>
      <c r="T524" s="8"/>
      <c r="U524" s="8"/>
      <c r="V524" s="8"/>
    </row>
    <row r="525">
      <c r="A525" s="8"/>
      <c r="B525" s="11"/>
      <c r="C525" s="8"/>
      <c r="D525" s="8"/>
      <c r="E525" s="8"/>
      <c r="F525" s="8"/>
      <c r="G525" s="10"/>
      <c r="H525" s="8"/>
      <c r="I525" s="8"/>
      <c r="J525" s="8"/>
      <c r="K525" s="8"/>
      <c r="L525" s="8"/>
      <c r="M525" s="8"/>
      <c r="N525" s="8"/>
      <c r="O525" s="8"/>
      <c r="P525" s="8"/>
      <c r="Q525" s="8"/>
      <c r="R525" s="8"/>
      <c r="S525" s="8"/>
      <c r="T525" s="8"/>
      <c r="U525" s="8"/>
      <c r="V525" s="8"/>
    </row>
    <row r="526">
      <c r="A526" s="8"/>
      <c r="B526" s="11"/>
      <c r="C526" s="8"/>
      <c r="D526" s="8"/>
      <c r="E526" s="8"/>
      <c r="F526" s="8"/>
      <c r="G526" s="10"/>
      <c r="H526" s="8"/>
      <c r="I526" s="8"/>
      <c r="J526" s="8"/>
      <c r="K526" s="8"/>
      <c r="L526" s="8"/>
      <c r="M526" s="8"/>
      <c r="N526" s="8"/>
      <c r="O526" s="8"/>
      <c r="P526" s="8"/>
      <c r="Q526" s="8"/>
      <c r="R526" s="8"/>
      <c r="S526" s="8"/>
      <c r="T526" s="8"/>
      <c r="U526" s="8"/>
      <c r="V526" s="8"/>
    </row>
    <row r="527">
      <c r="A527" s="8"/>
      <c r="B527" s="11"/>
      <c r="C527" s="8"/>
      <c r="D527" s="8"/>
      <c r="E527" s="8"/>
      <c r="F527" s="8"/>
      <c r="G527" s="10"/>
      <c r="H527" s="8"/>
      <c r="I527" s="8"/>
      <c r="J527" s="8"/>
      <c r="K527" s="8"/>
      <c r="L527" s="8"/>
      <c r="M527" s="8"/>
      <c r="N527" s="8"/>
      <c r="O527" s="8"/>
      <c r="P527" s="8"/>
      <c r="Q527" s="8"/>
      <c r="R527" s="8"/>
      <c r="S527" s="8"/>
      <c r="T527" s="8"/>
      <c r="U527" s="8"/>
      <c r="V527" s="8"/>
    </row>
    <row r="528">
      <c r="A528" s="8"/>
      <c r="B528" s="11"/>
      <c r="C528" s="8"/>
      <c r="D528" s="8"/>
      <c r="E528" s="8"/>
      <c r="F528" s="8"/>
      <c r="G528" s="10"/>
      <c r="H528" s="8"/>
      <c r="I528" s="8"/>
      <c r="J528" s="8"/>
      <c r="K528" s="8"/>
      <c r="L528" s="8"/>
      <c r="M528" s="8"/>
      <c r="N528" s="8"/>
      <c r="O528" s="8"/>
      <c r="P528" s="8"/>
      <c r="Q528" s="8"/>
      <c r="R528" s="8"/>
      <c r="S528" s="8"/>
      <c r="T528" s="8"/>
      <c r="U528" s="8"/>
      <c r="V528" s="8"/>
    </row>
    <row r="529">
      <c r="A529" s="8"/>
      <c r="B529" s="11"/>
      <c r="C529" s="8"/>
      <c r="D529" s="8"/>
      <c r="E529" s="8"/>
      <c r="F529" s="8"/>
      <c r="G529" s="10"/>
      <c r="H529" s="8"/>
      <c r="I529" s="8"/>
      <c r="J529" s="8"/>
      <c r="K529" s="8"/>
      <c r="L529" s="8"/>
      <c r="M529" s="8"/>
      <c r="N529" s="8"/>
      <c r="O529" s="8"/>
      <c r="P529" s="8"/>
      <c r="Q529" s="8"/>
      <c r="R529" s="8"/>
      <c r="S529" s="8"/>
      <c r="T529" s="8"/>
      <c r="U529" s="8"/>
      <c r="V529" s="8"/>
    </row>
    <row r="530">
      <c r="A530" s="8"/>
      <c r="B530" s="11"/>
      <c r="C530" s="8"/>
      <c r="D530" s="8"/>
      <c r="E530" s="8"/>
      <c r="F530" s="8"/>
      <c r="G530" s="10"/>
      <c r="H530" s="8"/>
      <c r="I530" s="8"/>
      <c r="J530" s="8"/>
      <c r="K530" s="8"/>
      <c r="L530" s="8"/>
      <c r="M530" s="8"/>
      <c r="N530" s="8"/>
      <c r="O530" s="8"/>
      <c r="P530" s="8"/>
      <c r="Q530" s="8"/>
      <c r="R530" s="8"/>
      <c r="S530" s="8"/>
      <c r="T530" s="8"/>
      <c r="U530" s="8"/>
      <c r="V530" s="8"/>
    </row>
    <row r="531">
      <c r="A531" s="8"/>
      <c r="B531" s="11"/>
      <c r="C531" s="8"/>
      <c r="D531" s="8"/>
      <c r="E531" s="8"/>
      <c r="F531" s="8"/>
      <c r="G531" s="10"/>
      <c r="H531" s="8"/>
      <c r="I531" s="8"/>
      <c r="J531" s="8"/>
      <c r="K531" s="8"/>
      <c r="L531" s="8"/>
      <c r="M531" s="8"/>
      <c r="N531" s="8"/>
      <c r="O531" s="8"/>
      <c r="P531" s="8"/>
      <c r="Q531" s="8"/>
      <c r="R531" s="8"/>
      <c r="S531" s="8"/>
      <c r="T531" s="8"/>
      <c r="U531" s="8"/>
      <c r="V531" s="8"/>
    </row>
    <row r="532">
      <c r="A532" s="8"/>
      <c r="B532" s="11"/>
      <c r="C532" s="8"/>
      <c r="D532" s="8"/>
      <c r="E532" s="8"/>
      <c r="F532" s="8"/>
      <c r="G532" s="10"/>
      <c r="H532" s="8"/>
      <c r="I532" s="8"/>
      <c r="J532" s="8"/>
      <c r="K532" s="8"/>
      <c r="L532" s="8"/>
      <c r="M532" s="8"/>
      <c r="N532" s="8"/>
      <c r="O532" s="8"/>
      <c r="P532" s="8"/>
      <c r="Q532" s="8"/>
      <c r="R532" s="8"/>
      <c r="S532" s="8"/>
      <c r="T532" s="8"/>
      <c r="U532" s="8"/>
      <c r="V532" s="8"/>
    </row>
    <row r="533">
      <c r="A533" s="8"/>
      <c r="B533" s="11"/>
      <c r="C533" s="8"/>
      <c r="D533" s="8"/>
      <c r="E533" s="8"/>
      <c r="F533" s="8"/>
      <c r="G533" s="10"/>
      <c r="H533" s="8"/>
      <c r="I533" s="8"/>
      <c r="J533" s="8"/>
      <c r="K533" s="8"/>
      <c r="L533" s="8"/>
      <c r="M533" s="8"/>
      <c r="N533" s="8"/>
      <c r="O533" s="8"/>
      <c r="P533" s="8"/>
      <c r="Q533" s="8"/>
      <c r="R533" s="8"/>
      <c r="S533" s="8"/>
      <c r="T533" s="8"/>
      <c r="U533" s="8"/>
      <c r="V533" s="8"/>
    </row>
    <row r="534">
      <c r="A534" s="8"/>
      <c r="B534" s="11"/>
      <c r="C534" s="8"/>
      <c r="D534" s="8"/>
      <c r="E534" s="8"/>
      <c r="F534" s="8"/>
      <c r="G534" s="10"/>
      <c r="H534" s="8"/>
      <c r="I534" s="8"/>
      <c r="J534" s="8"/>
      <c r="K534" s="8"/>
      <c r="L534" s="8"/>
      <c r="M534" s="8"/>
      <c r="N534" s="8"/>
      <c r="O534" s="8"/>
      <c r="P534" s="8"/>
      <c r="Q534" s="8"/>
      <c r="R534" s="8"/>
      <c r="S534" s="8"/>
      <c r="T534" s="8"/>
      <c r="U534" s="8"/>
      <c r="V534" s="8"/>
    </row>
    <row r="535">
      <c r="A535" s="8"/>
      <c r="B535" s="11"/>
      <c r="C535" s="8"/>
      <c r="D535" s="8"/>
      <c r="E535" s="8"/>
      <c r="F535" s="8"/>
      <c r="G535" s="10"/>
      <c r="H535" s="8"/>
      <c r="I535" s="8"/>
      <c r="J535" s="8"/>
      <c r="K535" s="8"/>
      <c r="L535" s="8"/>
      <c r="M535" s="8"/>
      <c r="N535" s="8"/>
      <c r="O535" s="8"/>
      <c r="P535" s="8"/>
      <c r="Q535" s="8"/>
      <c r="R535" s="8"/>
      <c r="S535" s="8"/>
      <c r="T535" s="8"/>
      <c r="U535" s="8"/>
      <c r="V535" s="8"/>
    </row>
    <row r="536">
      <c r="A536" s="8"/>
      <c r="B536" s="11"/>
      <c r="C536" s="8"/>
      <c r="D536" s="8"/>
      <c r="E536" s="8"/>
      <c r="F536" s="8"/>
      <c r="G536" s="10"/>
      <c r="H536" s="8"/>
      <c r="I536" s="8"/>
      <c r="J536" s="8"/>
      <c r="K536" s="8"/>
      <c r="L536" s="8"/>
      <c r="M536" s="8"/>
      <c r="N536" s="8"/>
      <c r="O536" s="8"/>
      <c r="P536" s="8"/>
      <c r="Q536" s="8"/>
      <c r="R536" s="8"/>
      <c r="S536" s="8"/>
      <c r="T536" s="8"/>
      <c r="U536" s="8"/>
      <c r="V536" s="8"/>
    </row>
    <row r="537">
      <c r="A537" s="8"/>
      <c r="B537" s="11"/>
      <c r="C537" s="8"/>
      <c r="D537" s="8"/>
      <c r="E537" s="8"/>
      <c r="F537" s="8"/>
      <c r="G537" s="10"/>
      <c r="H537" s="8"/>
      <c r="I537" s="8"/>
      <c r="J537" s="8"/>
      <c r="K537" s="8"/>
      <c r="L537" s="8"/>
      <c r="M537" s="8"/>
      <c r="N537" s="8"/>
      <c r="O537" s="8"/>
      <c r="P537" s="8"/>
      <c r="Q537" s="8"/>
      <c r="R537" s="8"/>
      <c r="S537" s="8"/>
      <c r="T537" s="8"/>
      <c r="U537" s="8"/>
      <c r="V537" s="8"/>
    </row>
    <row r="538">
      <c r="A538" s="8"/>
      <c r="B538" s="11"/>
      <c r="C538" s="8"/>
      <c r="D538" s="8"/>
      <c r="E538" s="8"/>
      <c r="F538" s="8"/>
      <c r="G538" s="10"/>
      <c r="H538" s="8"/>
      <c r="I538" s="8"/>
      <c r="J538" s="8"/>
      <c r="K538" s="8"/>
      <c r="L538" s="8"/>
      <c r="M538" s="8"/>
      <c r="N538" s="8"/>
      <c r="O538" s="8"/>
      <c r="P538" s="8"/>
      <c r="Q538" s="8"/>
      <c r="R538" s="8"/>
      <c r="S538" s="8"/>
      <c r="T538" s="8"/>
      <c r="U538" s="8"/>
      <c r="V538" s="8"/>
    </row>
    <row r="539">
      <c r="A539" s="8"/>
      <c r="B539" s="11"/>
      <c r="C539" s="8"/>
      <c r="D539" s="8"/>
      <c r="E539" s="8"/>
      <c r="F539" s="8"/>
      <c r="G539" s="10"/>
      <c r="H539" s="8"/>
      <c r="I539" s="8"/>
      <c r="J539" s="8"/>
      <c r="K539" s="8"/>
      <c r="L539" s="8"/>
      <c r="M539" s="8"/>
      <c r="N539" s="8"/>
      <c r="O539" s="8"/>
      <c r="P539" s="8"/>
      <c r="Q539" s="8"/>
      <c r="R539" s="8"/>
      <c r="S539" s="8"/>
      <c r="T539" s="8"/>
      <c r="U539" s="8"/>
      <c r="V539" s="8"/>
    </row>
    <row r="540">
      <c r="A540" s="8"/>
      <c r="B540" s="11"/>
      <c r="C540" s="8"/>
      <c r="D540" s="8"/>
      <c r="E540" s="8"/>
      <c r="F540" s="8"/>
      <c r="G540" s="10"/>
      <c r="H540" s="8"/>
      <c r="I540" s="8"/>
      <c r="J540" s="8"/>
      <c r="K540" s="8"/>
      <c r="L540" s="8"/>
      <c r="M540" s="8"/>
      <c r="N540" s="8"/>
      <c r="O540" s="8"/>
      <c r="P540" s="8"/>
      <c r="Q540" s="8"/>
      <c r="R540" s="8"/>
      <c r="S540" s="8"/>
      <c r="T540" s="8"/>
      <c r="U540" s="8"/>
      <c r="V540" s="8"/>
    </row>
    <row r="541">
      <c r="A541" s="8"/>
      <c r="B541" s="11"/>
      <c r="C541" s="8"/>
      <c r="D541" s="8"/>
      <c r="E541" s="8"/>
      <c r="F541" s="8"/>
      <c r="G541" s="10"/>
      <c r="H541" s="8"/>
      <c r="I541" s="8"/>
      <c r="J541" s="8"/>
      <c r="K541" s="8"/>
      <c r="L541" s="8"/>
      <c r="M541" s="8"/>
      <c r="N541" s="8"/>
      <c r="O541" s="8"/>
      <c r="P541" s="8"/>
      <c r="Q541" s="8"/>
      <c r="R541" s="8"/>
      <c r="S541" s="8"/>
      <c r="T541" s="8"/>
      <c r="U541" s="8"/>
      <c r="V541" s="8"/>
    </row>
    <row r="542">
      <c r="A542" s="8"/>
      <c r="B542" s="11"/>
      <c r="C542" s="8"/>
      <c r="D542" s="8"/>
      <c r="E542" s="8"/>
      <c r="F542" s="8"/>
      <c r="G542" s="10"/>
      <c r="H542" s="8"/>
      <c r="I542" s="8"/>
      <c r="J542" s="8"/>
      <c r="K542" s="8"/>
      <c r="L542" s="8"/>
      <c r="M542" s="8"/>
      <c r="N542" s="8"/>
      <c r="O542" s="8"/>
      <c r="P542" s="8"/>
      <c r="Q542" s="8"/>
      <c r="R542" s="8"/>
      <c r="S542" s="8"/>
      <c r="T542" s="8"/>
      <c r="U542" s="8"/>
      <c r="V542" s="8"/>
    </row>
    <row r="543">
      <c r="A543" s="8"/>
      <c r="B543" s="11"/>
      <c r="C543" s="8"/>
      <c r="D543" s="8"/>
      <c r="E543" s="8"/>
      <c r="F543" s="8"/>
      <c r="G543" s="10"/>
      <c r="H543" s="8"/>
      <c r="I543" s="8"/>
      <c r="J543" s="8"/>
      <c r="K543" s="8"/>
      <c r="L543" s="8"/>
      <c r="M543" s="8"/>
      <c r="N543" s="8"/>
      <c r="O543" s="8"/>
      <c r="P543" s="8"/>
      <c r="Q543" s="8"/>
      <c r="R543" s="8"/>
      <c r="S543" s="8"/>
      <c r="T543" s="8"/>
      <c r="U543" s="8"/>
      <c r="V543" s="8"/>
    </row>
    <row r="544">
      <c r="A544" s="8"/>
      <c r="B544" s="11"/>
      <c r="C544" s="8"/>
      <c r="D544" s="8"/>
      <c r="E544" s="8"/>
      <c r="F544" s="8"/>
      <c r="G544" s="10"/>
      <c r="H544" s="8"/>
      <c r="I544" s="8"/>
      <c r="J544" s="8"/>
      <c r="K544" s="8"/>
      <c r="L544" s="8"/>
      <c r="M544" s="8"/>
      <c r="N544" s="8"/>
      <c r="O544" s="8"/>
      <c r="P544" s="8"/>
      <c r="Q544" s="8"/>
      <c r="R544" s="8"/>
      <c r="S544" s="8"/>
      <c r="T544" s="8"/>
      <c r="U544" s="8"/>
      <c r="V544" s="8"/>
    </row>
    <row r="545">
      <c r="A545" s="8"/>
      <c r="B545" s="11"/>
      <c r="C545" s="8"/>
      <c r="D545" s="8"/>
      <c r="E545" s="8"/>
      <c r="F545" s="8"/>
      <c r="G545" s="10"/>
      <c r="H545" s="8"/>
      <c r="I545" s="8"/>
      <c r="J545" s="8"/>
      <c r="K545" s="8"/>
      <c r="L545" s="8"/>
      <c r="M545" s="8"/>
      <c r="N545" s="8"/>
      <c r="O545" s="8"/>
      <c r="P545" s="8"/>
      <c r="Q545" s="8"/>
      <c r="R545" s="8"/>
      <c r="S545" s="8"/>
      <c r="T545" s="8"/>
      <c r="U545" s="8"/>
      <c r="V545" s="8"/>
    </row>
    <row r="546">
      <c r="A546" s="8"/>
      <c r="B546" s="11"/>
      <c r="C546" s="8"/>
      <c r="D546" s="8"/>
      <c r="E546" s="8"/>
      <c r="F546" s="8"/>
      <c r="G546" s="10"/>
      <c r="H546" s="8"/>
      <c r="I546" s="8"/>
      <c r="J546" s="8"/>
      <c r="K546" s="8"/>
      <c r="L546" s="8"/>
      <c r="M546" s="8"/>
      <c r="N546" s="8"/>
      <c r="O546" s="8"/>
      <c r="P546" s="8"/>
      <c r="Q546" s="8"/>
      <c r="R546" s="8"/>
      <c r="S546" s="8"/>
      <c r="T546" s="8"/>
      <c r="U546" s="8"/>
      <c r="V546" s="8"/>
    </row>
    <row r="547">
      <c r="A547" s="8"/>
      <c r="B547" s="11"/>
      <c r="C547" s="8"/>
      <c r="D547" s="8"/>
      <c r="E547" s="8"/>
      <c r="F547" s="8"/>
      <c r="G547" s="10"/>
      <c r="H547" s="8"/>
      <c r="I547" s="8"/>
      <c r="J547" s="8"/>
      <c r="K547" s="8"/>
      <c r="L547" s="8"/>
      <c r="M547" s="8"/>
      <c r="N547" s="8"/>
      <c r="O547" s="8"/>
      <c r="P547" s="8"/>
      <c r="Q547" s="8"/>
      <c r="R547" s="8"/>
      <c r="S547" s="8"/>
      <c r="T547" s="8"/>
      <c r="U547" s="8"/>
      <c r="V547" s="8"/>
    </row>
    <row r="548">
      <c r="A548" s="8"/>
      <c r="B548" s="11"/>
      <c r="C548" s="8"/>
      <c r="D548" s="8"/>
      <c r="E548" s="8"/>
      <c r="F548" s="8"/>
      <c r="G548" s="10"/>
      <c r="H548" s="8"/>
      <c r="I548" s="8"/>
      <c r="J548" s="8"/>
      <c r="K548" s="8"/>
      <c r="L548" s="8"/>
      <c r="M548" s="8"/>
      <c r="N548" s="8"/>
      <c r="O548" s="8"/>
      <c r="P548" s="8"/>
      <c r="Q548" s="8"/>
      <c r="R548" s="8"/>
      <c r="S548" s="8"/>
      <c r="T548" s="8"/>
      <c r="U548" s="8"/>
      <c r="V548" s="8"/>
    </row>
    <row r="549">
      <c r="A549" s="8"/>
      <c r="B549" s="11"/>
      <c r="C549" s="8"/>
      <c r="D549" s="8"/>
      <c r="E549" s="8"/>
      <c r="F549" s="8"/>
      <c r="G549" s="10"/>
      <c r="H549" s="8"/>
      <c r="I549" s="8"/>
      <c r="J549" s="8"/>
      <c r="K549" s="8"/>
      <c r="L549" s="8"/>
      <c r="M549" s="8"/>
      <c r="N549" s="8"/>
      <c r="O549" s="8"/>
      <c r="P549" s="8"/>
      <c r="Q549" s="8"/>
      <c r="R549" s="8"/>
      <c r="S549" s="8"/>
      <c r="T549" s="8"/>
      <c r="U549" s="8"/>
      <c r="V549" s="8"/>
    </row>
    <row r="550">
      <c r="A550" s="8"/>
      <c r="B550" s="11"/>
      <c r="C550" s="8"/>
      <c r="D550" s="8"/>
      <c r="E550" s="8"/>
      <c r="F550" s="8"/>
      <c r="G550" s="10"/>
      <c r="H550" s="8"/>
      <c r="I550" s="8"/>
      <c r="J550" s="8"/>
      <c r="K550" s="8"/>
      <c r="L550" s="8"/>
      <c r="M550" s="8"/>
      <c r="N550" s="8"/>
      <c r="O550" s="8"/>
      <c r="P550" s="8"/>
      <c r="Q550" s="8"/>
      <c r="R550" s="8"/>
      <c r="S550" s="8"/>
      <c r="T550" s="8"/>
      <c r="U550" s="8"/>
      <c r="V550" s="8"/>
    </row>
    <row r="551">
      <c r="A551" s="8"/>
      <c r="B551" s="11"/>
      <c r="C551" s="8"/>
      <c r="D551" s="8"/>
      <c r="E551" s="8"/>
      <c r="F551" s="8"/>
      <c r="G551" s="10"/>
      <c r="H551" s="8"/>
      <c r="I551" s="8"/>
      <c r="J551" s="8"/>
      <c r="K551" s="8"/>
      <c r="L551" s="8"/>
      <c r="M551" s="8"/>
      <c r="N551" s="8"/>
      <c r="O551" s="8"/>
      <c r="P551" s="8"/>
      <c r="Q551" s="8"/>
      <c r="R551" s="8"/>
      <c r="S551" s="8"/>
      <c r="T551" s="8"/>
      <c r="U551" s="8"/>
      <c r="V551" s="8"/>
    </row>
    <row r="552">
      <c r="A552" s="8"/>
      <c r="B552" s="11"/>
      <c r="C552" s="8"/>
      <c r="D552" s="8"/>
      <c r="E552" s="8"/>
      <c r="F552" s="8"/>
      <c r="G552" s="10"/>
      <c r="H552" s="8"/>
      <c r="I552" s="8"/>
      <c r="J552" s="8"/>
      <c r="K552" s="8"/>
      <c r="L552" s="8"/>
      <c r="M552" s="8"/>
      <c r="N552" s="8"/>
      <c r="O552" s="8"/>
      <c r="P552" s="8"/>
      <c r="Q552" s="8"/>
      <c r="R552" s="8"/>
      <c r="S552" s="8"/>
      <c r="T552" s="8"/>
      <c r="U552" s="8"/>
      <c r="V552" s="8"/>
    </row>
    <row r="553">
      <c r="A553" s="8"/>
      <c r="B553" s="11"/>
      <c r="C553" s="8"/>
      <c r="D553" s="8"/>
      <c r="E553" s="8"/>
      <c r="F553" s="8"/>
      <c r="G553" s="10"/>
      <c r="H553" s="8"/>
      <c r="I553" s="8"/>
      <c r="J553" s="8"/>
      <c r="K553" s="8"/>
      <c r="L553" s="8"/>
      <c r="M553" s="8"/>
      <c r="N553" s="8"/>
      <c r="O553" s="8"/>
      <c r="P553" s="8"/>
      <c r="Q553" s="8"/>
      <c r="R553" s="8"/>
      <c r="S553" s="8"/>
      <c r="T553" s="8"/>
      <c r="U553" s="8"/>
      <c r="V553" s="8"/>
    </row>
    <row r="554">
      <c r="A554" s="8"/>
      <c r="B554" s="11"/>
      <c r="C554" s="8"/>
      <c r="D554" s="8"/>
      <c r="E554" s="8"/>
      <c r="F554" s="8"/>
      <c r="G554" s="10"/>
      <c r="H554" s="8"/>
      <c r="I554" s="8"/>
      <c r="J554" s="8"/>
      <c r="K554" s="8"/>
      <c r="L554" s="8"/>
      <c r="M554" s="8"/>
      <c r="N554" s="8"/>
      <c r="O554" s="8"/>
      <c r="P554" s="8"/>
      <c r="Q554" s="8"/>
      <c r="R554" s="8"/>
      <c r="S554" s="8"/>
      <c r="T554" s="8"/>
      <c r="U554" s="8"/>
      <c r="V554" s="8"/>
    </row>
    <row r="555">
      <c r="A555" s="8"/>
      <c r="B555" s="11"/>
      <c r="C555" s="8"/>
      <c r="D555" s="8"/>
      <c r="E555" s="8"/>
      <c r="F555" s="8"/>
      <c r="G555" s="10"/>
      <c r="H555" s="8"/>
      <c r="I555" s="8"/>
      <c r="J555" s="8"/>
      <c r="K555" s="8"/>
      <c r="L555" s="8"/>
      <c r="M555" s="8"/>
      <c r="N555" s="8"/>
      <c r="O555" s="8"/>
      <c r="P555" s="8"/>
      <c r="Q555" s="8"/>
      <c r="R555" s="8"/>
      <c r="S555" s="8"/>
      <c r="T555" s="8"/>
      <c r="U555" s="8"/>
      <c r="V555" s="8"/>
    </row>
    <row r="556">
      <c r="A556" s="8"/>
      <c r="B556" s="11"/>
      <c r="C556" s="8"/>
      <c r="D556" s="8"/>
      <c r="E556" s="8"/>
      <c r="F556" s="8"/>
      <c r="G556" s="10"/>
      <c r="H556" s="8"/>
      <c r="I556" s="8"/>
      <c r="J556" s="8"/>
      <c r="K556" s="8"/>
      <c r="L556" s="8"/>
      <c r="M556" s="8"/>
      <c r="N556" s="8"/>
      <c r="O556" s="8"/>
      <c r="P556" s="8"/>
      <c r="Q556" s="8"/>
      <c r="R556" s="8"/>
      <c r="S556" s="8"/>
      <c r="T556" s="8"/>
      <c r="U556" s="8"/>
      <c r="V556" s="8"/>
    </row>
    <row r="557">
      <c r="A557" s="8"/>
      <c r="B557" s="11"/>
      <c r="C557" s="8"/>
      <c r="D557" s="8"/>
      <c r="E557" s="8"/>
      <c r="F557" s="8"/>
      <c r="G557" s="10"/>
      <c r="H557" s="8"/>
      <c r="I557" s="8"/>
      <c r="J557" s="8"/>
      <c r="K557" s="8"/>
      <c r="L557" s="8"/>
      <c r="M557" s="8"/>
      <c r="N557" s="8"/>
      <c r="O557" s="8"/>
      <c r="P557" s="8"/>
      <c r="Q557" s="8"/>
      <c r="R557" s="8"/>
      <c r="S557" s="8"/>
      <c r="T557" s="8"/>
      <c r="U557" s="8"/>
      <c r="V557" s="8"/>
    </row>
    <row r="558">
      <c r="A558" s="8"/>
      <c r="B558" s="11"/>
      <c r="C558" s="8"/>
      <c r="D558" s="8"/>
      <c r="E558" s="8"/>
      <c r="F558" s="8"/>
      <c r="G558" s="10"/>
      <c r="H558" s="8"/>
      <c r="I558" s="8"/>
      <c r="J558" s="8"/>
      <c r="K558" s="8"/>
      <c r="L558" s="8"/>
      <c r="M558" s="8"/>
      <c r="N558" s="8"/>
      <c r="O558" s="8"/>
      <c r="P558" s="8"/>
      <c r="Q558" s="8"/>
      <c r="R558" s="8"/>
      <c r="S558" s="8"/>
      <c r="T558" s="8"/>
      <c r="U558" s="8"/>
      <c r="V558" s="8"/>
    </row>
    <row r="559">
      <c r="A559" s="8"/>
      <c r="B559" s="11"/>
      <c r="C559" s="8"/>
      <c r="D559" s="8"/>
      <c r="E559" s="8"/>
      <c r="F559" s="8"/>
      <c r="G559" s="10"/>
      <c r="H559" s="8"/>
      <c r="I559" s="8"/>
      <c r="J559" s="8"/>
      <c r="K559" s="8"/>
      <c r="L559" s="8"/>
      <c r="M559" s="8"/>
      <c r="N559" s="8"/>
      <c r="O559" s="8"/>
      <c r="P559" s="8"/>
      <c r="Q559" s="8"/>
      <c r="R559" s="8"/>
      <c r="S559" s="8"/>
      <c r="T559" s="8"/>
      <c r="U559" s="8"/>
      <c r="V559" s="8"/>
    </row>
    <row r="560">
      <c r="A560" s="8"/>
      <c r="B560" s="11"/>
      <c r="C560" s="8"/>
      <c r="D560" s="8"/>
      <c r="E560" s="8"/>
      <c r="F560" s="8"/>
      <c r="G560" s="10"/>
      <c r="H560" s="8"/>
      <c r="I560" s="8"/>
      <c r="J560" s="8"/>
      <c r="K560" s="8"/>
      <c r="L560" s="8"/>
      <c r="M560" s="8"/>
      <c r="N560" s="8"/>
      <c r="O560" s="8"/>
      <c r="P560" s="8"/>
      <c r="Q560" s="8"/>
      <c r="R560" s="8"/>
      <c r="S560" s="8"/>
      <c r="T560" s="8"/>
      <c r="U560" s="8"/>
      <c r="V560" s="8"/>
    </row>
    <row r="561">
      <c r="A561" s="8"/>
      <c r="B561" s="11"/>
      <c r="C561" s="8"/>
      <c r="D561" s="8"/>
      <c r="E561" s="8"/>
      <c r="F561" s="8"/>
      <c r="G561" s="10"/>
      <c r="H561" s="8"/>
      <c r="I561" s="8"/>
      <c r="J561" s="8"/>
      <c r="K561" s="8"/>
      <c r="L561" s="8"/>
      <c r="M561" s="8"/>
      <c r="N561" s="8"/>
      <c r="O561" s="8"/>
      <c r="P561" s="8"/>
      <c r="Q561" s="8"/>
      <c r="R561" s="8"/>
      <c r="S561" s="8"/>
      <c r="T561" s="8"/>
      <c r="U561" s="8"/>
      <c r="V561" s="8"/>
    </row>
    <row r="562">
      <c r="A562" s="8"/>
      <c r="B562" s="11"/>
      <c r="C562" s="8"/>
      <c r="D562" s="8"/>
      <c r="E562" s="8"/>
      <c r="F562" s="8"/>
      <c r="G562" s="10"/>
      <c r="H562" s="8"/>
      <c r="I562" s="8"/>
      <c r="J562" s="8"/>
      <c r="K562" s="8"/>
      <c r="L562" s="8"/>
      <c r="M562" s="8"/>
      <c r="N562" s="8"/>
      <c r="O562" s="8"/>
      <c r="P562" s="8"/>
      <c r="Q562" s="8"/>
      <c r="R562" s="8"/>
      <c r="S562" s="8"/>
      <c r="T562" s="8"/>
      <c r="U562" s="8"/>
      <c r="V562" s="8"/>
    </row>
    <row r="563">
      <c r="A563" s="8"/>
      <c r="B563" s="11"/>
      <c r="C563" s="8"/>
      <c r="D563" s="8"/>
      <c r="E563" s="8"/>
      <c r="F563" s="8"/>
      <c r="G563" s="10"/>
      <c r="H563" s="8"/>
      <c r="I563" s="8"/>
      <c r="J563" s="8"/>
      <c r="K563" s="8"/>
      <c r="L563" s="8"/>
      <c r="M563" s="8"/>
      <c r="N563" s="8"/>
      <c r="O563" s="8"/>
      <c r="P563" s="8"/>
      <c r="Q563" s="8"/>
      <c r="R563" s="8"/>
      <c r="S563" s="8"/>
      <c r="T563" s="8"/>
      <c r="U563" s="8"/>
      <c r="V563" s="8"/>
    </row>
    <row r="564">
      <c r="A564" s="8"/>
      <c r="B564" s="11"/>
      <c r="C564" s="8"/>
      <c r="D564" s="8"/>
      <c r="E564" s="8"/>
      <c r="F564" s="8"/>
      <c r="G564" s="10"/>
      <c r="H564" s="8"/>
      <c r="I564" s="8"/>
      <c r="J564" s="8"/>
      <c r="K564" s="8"/>
      <c r="L564" s="8"/>
      <c r="M564" s="8"/>
      <c r="N564" s="8"/>
      <c r="O564" s="8"/>
      <c r="P564" s="8"/>
      <c r="Q564" s="8"/>
      <c r="R564" s="8"/>
      <c r="S564" s="8"/>
      <c r="T564" s="8"/>
      <c r="U564" s="8"/>
      <c r="V564" s="8"/>
    </row>
    <row r="565">
      <c r="A565" s="8"/>
      <c r="B565" s="11"/>
      <c r="C565" s="8"/>
      <c r="D565" s="8"/>
      <c r="E565" s="8"/>
      <c r="F565" s="8"/>
      <c r="G565" s="10"/>
      <c r="H565" s="8"/>
      <c r="I565" s="8"/>
      <c r="J565" s="8"/>
      <c r="K565" s="8"/>
      <c r="L565" s="8"/>
      <c r="M565" s="8"/>
      <c r="N565" s="8"/>
      <c r="O565" s="8"/>
      <c r="P565" s="8"/>
      <c r="Q565" s="8"/>
      <c r="R565" s="8"/>
      <c r="S565" s="8"/>
      <c r="T565" s="8"/>
      <c r="U565" s="8"/>
      <c r="V565" s="8"/>
    </row>
    <row r="566">
      <c r="A566" s="8"/>
      <c r="B566" s="11"/>
      <c r="C566" s="8"/>
      <c r="D566" s="8"/>
      <c r="E566" s="8"/>
      <c r="F566" s="8"/>
      <c r="G566" s="10"/>
      <c r="H566" s="8"/>
      <c r="I566" s="8"/>
      <c r="J566" s="8"/>
      <c r="K566" s="8"/>
      <c r="L566" s="8"/>
      <c r="M566" s="8"/>
      <c r="N566" s="8"/>
      <c r="O566" s="8"/>
      <c r="P566" s="8"/>
      <c r="Q566" s="8"/>
      <c r="R566" s="8"/>
      <c r="S566" s="8"/>
      <c r="T566" s="8"/>
      <c r="U566" s="8"/>
      <c r="V566" s="8"/>
    </row>
    <row r="567">
      <c r="A567" s="8"/>
      <c r="B567" s="11"/>
      <c r="C567" s="8"/>
      <c r="D567" s="8"/>
      <c r="E567" s="8"/>
      <c r="F567" s="8"/>
      <c r="G567" s="10"/>
      <c r="H567" s="8"/>
      <c r="I567" s="8"/>
      <c r="J567" s="8"/>
      <c r="K567" s="8"/>
      <c r="L567" s="8"/>
      <c r="M567" s="8"/>
      <c r="N567" s="8"/>
      <c r="O567" s="8"/>
      <c r="P567" s="8"/>
      <c r="Q567" s="8"/>
      <c r="R567" s="8"/>
      <c r="S567" s="8"/>
      <c r="T567" s="8"/>
      <c r="U567" s="8"/>
      <c r="V567" s="8"/>
    </row>
    <row r="568">
      <c r="A568" s="8"/>
      <c r="B568" s="11"/>
      <c r="C568" s="8"/>
      <c r="D568" s="8"/>
      <c r="E568" s="8"/>
      <c r="F568" s="8"/>
      <c r="G568" s="10"/>
      <c r="H568" s="8"/>
      <c r="I568" s="8"/>
      <c r="J568" s="8"/>
      <c r="K568" s="8"/>
      <c r="L568" s="8"/>
      <c r="M568" s="8"/>
      <c r="N568" s="8"/>
      <c r="O568" s="8"/>
      <c r="P568" s="8"/>
      <c r="Q568" s="8"/>
      <c r="R568" s="8"/>
      <c r="S568" s="8"/>
      <c r="T568" s="8"/>
      <c r="U568" s="8"/>
      <c r="V568" s="8"/>
    </row>
    <row r="569">
      <c r="A569" s="8"/>
      <c r="B569" s="11"/>
      <c r="C569" s="8"/>
      <c r="D569" s="8"/>
      <c r="E569" s="8"/>
      <c r="F569" s="8"/>
      <c r="G569" s="10"/>
      <c r="H569" s="8"/>
      <c r="I569" s="8"/>
      <c r="J569" s="8"/>
      <c r="K569" s="8"/>
      <c r="L569" s="8"/>
      <c r="M569" s="8"/>
      <c r="N569" s="8"/>
      <c r="O569" s="8"/>
      <c r="P569" s="8"/>
      <c r="Q569" s="8"/>
      <c r="R569" s="8"/>
      <c r="S569" s="8"/>
      <c r="T569" s="8"/>
      <c r="U569" s="8"/>
      <c r="V569" s="8"/>
    </row>
    <row r="570">
      <c r="A570" s="8"/>
      <c r="B570" s="11"/>
      <c r="C570" s="8"/>
      <c r="D570" s="8"/>
      <c r="E570" s="8"/>
      <c r="F570" s="8"/>
      <c r="G570" s="10"/>
      <c r="H570" s="8"/>
      <c r="I570" s="8"/>
      <c r="J570" s="8"/>
      <c r="K570" s="8"/>
      <c r="L570" s="8"/>
      <c r="M570" s="8"/>
      <c r="N570" s="8"/>
      <c r="O570" s="8"/>
      <c r="P570" s="8"/>
      <c r="Q570" s="8"/>
      <c r="R570" s="8"/>
      <c r="S570" s="8"/>
      <c r="T570" s="8"/>
      <c r="U570" s="8"/>
      <c r="V570" s="8"/>
    </row>
    <row r="571">
      <c r="A571" s="8"/>
      <c r="B571" s="11"/>
      <c r="C571" s="8"/>
      <c r="D571" s="8"/>
      <c r="E571" s="8"/>
      <c r="F571" s="8"/>
      <c r="G571" s="10"/>
      <c r="H571" s="8"/>
      <c r="I571" s="8"/>
      <c r="J571" s="8"/>
      <c r="K571" s="8"/>
      <c r="L571" s="8"/>
      <c r="M571" s="8"/>
      <c r="N571" s="8"/>
      <c r="O571" s="8"/>
      <c r="P571" s="8"/>
      <c r="Q571" s="8"/>
      <c r="R571" s="8"/>
      <c r="S571" s="8"/>
      <c r="T571" s="8"/>
      <c r="U571" s="8"/>
      <c r="V571" s="8"/>
    </row>
    <row r="572">
      <c r="A572" s="8"/>
      <c r="B572" s="11"/>
      <c r="C572" s="8"/>
      <c r="D572" s="8"/>
      <c r="E572" s="8"/>
      <c r="F572" s="8"/>
      <c r="G572" s="10"/>
      <c r="H572" s="8"/>
      <c r="I572" s="8"/>
      <c r="J572" s="8"/>
      <c r="K572" s="8"/>
      <c r="L572" s="8"/>
      <c r="M572" s="8"/>
      <c r="N572" s="8"/>
      <c r="O572" s="8"/>
      <c r="P572" s="8"/>
      <c r="Q572" s="8"/>
      <c r="R572" s="8"/>
      <c r="S572" s="8"/>
      <c r="T572" s="8"/>
      <c r="U572" s="8"/>
      <c r="V572" s="8"/>
    </row>
    <row r="573">
      <c r="A573" s="8"/>
      <c r="B573" s="11"/>
      <c r="C573" s="8"/>
      <c r="D573" s="8"/>
      <c r="E573" s="8"/>
      <c r="F573" s="8"/>
      <c r="G573" s="10"/>
      <c r="H573" s="8"/>
      <c r="I573" s="8"/>
      <c r="J573" s="8"/>
      <c r="K573" s="8"/>
      <c r="L573" s="8"/>
      <c r="M573" s="8"/>
      <c r="N573" s="8"/>
      <c r="O573" s="8"/>
      <c r="P573" s="8"/>
      <c r="Q573" s="8"/>
      <c r="R573" s="8"/>
      <c r="S573" s="8"/>
      <c r="T573" s="8"/>
      <c r="U573" s="8"/>
      <c r="V573" s="8"/>
    </row>
    <row r="574">
      <c r="A574" s="8"/>
      <c r="B574" s="11"/>
      <c r="C574" s="8"/>
      <c r="D574" s="8"/>
      <c r="E574" s="8"/>
      <c r="F574" s="8"/>
      <c r="G574" s="10"/>
      <c r="H574" s="8"/>
      <c r="I574" s="8"/>
      <c r="J574" s="8"/>
      <c r="K574" s="8"/>
      <c r="L574" s="8"/>
      <c r="M574" s="8"/>
      <c r="N574" s="8"/>
      <c r="O574" s="8"/>
      <c r="P574" s="8"/>
      <c r="Q574" s="8"/>
      <c r="R574" s="8"/>
      <c r="S574" s="8"/>
      <c r="T574" s="8"/>
      <c r="U574" s="8"/>
      <c r="V574" s="8"/>
    </row>
    <row r="575">
      <c r="A575" s="8"/>
      <c r="B575" s="11"/>
      <c r="C575" s="8"/>
      <c r="D575" s="8"/>
      <c r="E575" s="8"/>
      <c r="F575" s="8"/>
      <c r="G575" s="10"/>
      <c r="H575" s="8"/>
      <c r="I575" s="8"/>
      <c r="J575" s="8"/>
      <c r="K575" s="8"/>
      <c r="L575" s="8"/>
      <c r="M575" s="8"/>
      <c r="N575" s="8"/>
      <c r="O575" s="8"/>
      <c r="P575" s="8"/>
      <c r="Q575" s="8"/>
      <c r="R575" s="8"/>
      <c r="S575" s="8"/>
      <c r="T575" s="8"/>
      <c r="U575" s="8"/>
      <c r="V575" s="8"/>
    </row>
    <row r="576">
      <c r="A576" s="8"/>
      <c r="B576" s="11"/>
      <c r="C576" s="8"/>
      <c r="D576" s="8"/>
      <c r="E576" s="8"/>
      <c r="F576" s="8"/>
      <c r="G576" s="10"/>
      <c r="H576" s="8"/>
      <c r="I576" s="8"/>
      <c r="J576" s="8"/>
      <c r="K576" s="8"/>
      <c r="L576" s="8"/>
      <c r="M576" s="8"/>
      <c r="N576" s="8"/>
      <c r="O576" s="8"/>
      <c r="P576" s="8"/>
      <c r="Q576" s="8"/>
      <c r="R576" s="8"/>
      <c r="S576" s="8"/>
      <c r="T576" s="8"/>
      <c r="U576" s="8"/>
      <c r="V576" s="8"/>
    </row>
    <row r="577">
      <c r="A577" s="8"/>
      <c r="B577" s="11"/>
      <c r="C577" s="8"/>
      <c r="D577" s="8"/>
      <c r="E577" s="8"/>
      <c r="F577" s="8"/>
      <c r="G577" s="10"/>
      <c r="H577" s="8"/>
      <c r="I577" s="8"/>
      <c r="J577" s="8"/>
      <c r="K577" s="8"/>
      <c r="L577" s="8"/>
      <c r="M577" s="8"/>
      <c r="N577" s="8"/>
      <c r="O577" s="8"/>
      <c r="P577" s="8"/>
      <c r="Q577" s="8"/>
      <c r="R577" s="8"/>
      <c r="S577" s="8"/>
      <c r="T577" s="8"/>
      <c r="U577" s="8"/>
      <c r="V577" s="8"/>
    </row>
    <row r="578">
      <c r="A578" s="8"/>
      <c r="B578" s="11"/>
      <c r="C578" s="8"/>
      <c r="D578" s="8"/>
      <c r="E578" s="8"/>
      <c r="F578" s="8"/>
      <c r="G578" s="10"/>
      <c r="H578" s="8"/>
      <c r="I578" s="8"/>
      <c r="J578" s="8"/>
      <c r="K578" s="8"/>
      <c r="L578" s="8"/>
      <c r="M578" s="8"/>
      <c r="N578" s="8"/>
      <c r="O578" s="8"/>
      <c r="P578" s="8"/>
      <c r="Q578" s="8"/>
      <c r="R578" s="8"/>
      <c r="S578" s="8"/>
      <c r="T578" s="8"/>
      <c r="U578" s="8"/>
      <c r="V578" s="8"/>
    </row>
    <row r="579">
      <c r="A579" s="8"/>
      <c r="B579" s="11"/>
      <c r="C579" s="8"/>
      <c r="D579" s="8"/>
      <c r="E579" s="8"/>
      <c r="F579" s="8"/>
      <c r="G579" s="10"/>
      <c r="H579" s="8"/>
      <c r="I579" s="8"/>
      <c r="J579" s="8"/>
      <c r="K579" s="8"/>
      <c r="L579" s="8"/>
      <c r="M579" s="8"/>
      <c r="N579" s="8"/>
      <c r="O579" s="8"/>
      <c r="P579" s="8"/>
      <c r="Q579" s="8"/>
      <c r="R579" s="8"/>
      <c r="S579" s="8"/>
      <c r="T579" s="8"/>
      <c r="U579" s="8"/>
      <c r="V579" s="8"/>
    </row>
    <row r="580">
      <c r="A580" s="8"/>
      <c r="B580" s="11"/>
      <c r="C580" s="8"/>
      <c r="D580" s="8"/>
      <c r="E580" s="8"/>
      <c r="F580" s="8"/>
      <c r="G580" s="10"/>
      <c r="H580" s="8"/>
      <c r="I580" s="8"/>
      <c r="J580" s="8"/>
      <c r="K580" s="8"/>
      <c r="L580" s="8"/>
      <c r="M580" s="8"/>
      <c r="N580" s="8"/>
      <c r="O580" s="8"/>
      <c r="P580" s="8"/>
      <c r="Q580" s="8"/>
      <c r="R580" s="8"/>
      <c r="S580" s="8"/>
      <c r="T580" s="8"/>
      <c r="U580" s="8"/>
      <c r="V580" s="8"/>
    </row>
    <row r="581">
      <c r="A581" s="8"/>
      <c r="B581" s="11"/>
      <c r="C581" s="8"/>
      <c r="D581" s="8"/>
      <c r="E581" s="8"/>
      <c r="F581" s="8"/>
      <c r="G581" s="10"/>
      <c r="H581" s="8"/>
      <c r="I581" s="8"/>
      <c r="J581" s="8"/>
      <c r="K581" s="8"/>
      <c r="L581" s="8"/>
      <c r="M581" s="8"/>
      <c r="N581" s="8"/>
      <c r="O581" s="8"/>
      <c r="P581" s="8"/>
      <c r="Q581" s="8"/>
      <c r="R581" s="8"/>
      <c r="S581" s="8"/>
      <c r="T581" s="8"/>
      <c r="U581" s="8"/>
      <c r="V581" s="8"/>
    </row>
    <row r="582">
      <c r="A582" s="8"/>
      <c r="B582" s="11"/>
      <c r="C582" s="8"/>
      <c r="D582" s="8"/>
      <c r="E582" s="8"/>
      <c r="F582" s="8"/>
      <c r="G582" s="10"/>
      <c r="H582" s="8"/>
      <c r="I582" s="8"/>
      <c r="J582" s="8"/>
      <c r="K582" s="8"/>
      <c r="L582" s="8"/>
      <c r="M582" s="8"/>
      <c r="N582" s="8"/>
      <c r="O582" s="8"/>
      <c r="P582" s="8"/>
      <c r="Q582" s="8"/>
      <c r="R582" s="8"/>
      <c r="S582" s="8"/>
      <c r="T582" s="8"/>
      <c r="U582" s="8"/>
      <c r="V582" s="8"/>
    </row>
    <row r="583">
      <c r="A583" s="8"/>
      <c r="B583" s="11"/>
      <c r="C583" s="8"/>
      <c r="D583" s="8"/>
      <c r="E583" s="8"/>
      <c r="F583" s="8"/>
      <c r="G583" s="10"/>
      <c r="H583" s="8"/>
      <c r="I583" s="8"/>
      <c r="J583" s="8"/>
      <c r="K583" s="8"/>
      <c r="L583" s="8"/>
      <c r="M583" s="8"/>
      <c r="N583" s="8"/>
      <c r="O583" s="8"/>
      <c r="P583" s="8"/>
      <c r="Q583" s="8"/>
      <c r="R583" s="8"/>
      <c r="S583" s="8"/>
      <c r="T583" s="8"/>
      <c r="U583" s="8"/>
      <c r="V583" s="8"/>
    </row>
    <row r="584">
      <c r="A584" s="8"/>
      <c r="B584" s="11"/>
      <c r="C584" s="8"/>
      <c r="D584" s="8"/>
      <c r="E584" s="8"/>
      <c r="F584" s="8"/>
      <c r="G584" s="10"/>
      <c r="H584" s="8"/>
      <c r="I584" s="8"/>
      <c r="J584" s="8"/>
      <c r="K584" s="8"/>
      <c r="L584" s="8"/>
      <c r="M584" s="8"/>
      <c r="N584" s="8"/>
      <c r="O584" s="8"/>
      <c r="P584" s="8"/>
      <c r="Q584" s="8"/>
      <c r="R584" s="8"/>
      <c r="S584" s="8"/>
      <c r="T584" s="8"/>
      <c r="U584" s="8"/>
      <c r="V584" s="8"/>
    </row>
    <row r="585">
      <c r="A585" s="8"/>
      <c r="B585" s="11"/>
      <c r="C585" s="8"/>
      <c r="D585" s="8"/>
      <c r="E585" s="8"/>
      <c r="F585" s="8"/>
      <c r="G585" s="10"/>
      <c r="H585" s="8"/>
      <c r="I585" s="8"/>
      <c r="J585" s="8"/>
      <c r="K585" s="8"/>
      <c r="L585" s="8"/>
      <c r="M585" s="8"/>
      <c r="N585" s="8"/>
      <c r="O585" s="8"/>
      <c r="P585" s="8"/>
      <c r="Q585" s="8"/>
      <c r="R585" s="8"/>
      <c r="S585" s="8"/>
      <c r="T585" s="8"/>
      <c r="U585" s="8"/>
      <c r="V585" s="8"/>
    </row>
    <row r="586">
      <c r="A586" s="8"/>
      <c r="B586" s="11"/>
      <c r="C586" s="8"/>
      <c r="D586" s="8"/>
      <c r="E586" s="8"/>
      <c r="F586" s="8"/>
      <c r="G586" s="10"/>
      <c r="H586" s="8"/>
      <c r="I586" s="8"/>
      <c r="J586" s="8"/>
      <c r="K586" s="8"/>
      <c r="L586" s="8"/>
      <c r="M586" s="8"/>
      <c r="N586" s="8"/>
      <c r="O586" s="8"/>
      <c r="P586" s="8"/>
      <c r="Q586" s="8"/>
      <c r="R586" s="8"/>
      <c r="S586" s="8"/>
      <c r="T586" s="8"/>
      <c r="U586" s="8"/>
      <c r="V586" s="8"/>
    </row>
    <row r="587">
      <c r="A587" s="8"/>
      <c r="B587" s="11"/>
      <c r="C587" s="8"/>
      <c r="D587" s="8"/>
      <c r="E587" s="8"/>
      <c r="F587" s="8"/>
      <c r="G587" s="10"/>
      <c r="H587" s="8"/>
      <c r="I587" s="8"/>
      <c r="J587" s="8"/>
      <c r="K587" s="8"/>
      <c r="L587" s="8"/>
      <c r="M587" s="8"/>
      <c r="N587" s="8"/>
      <c r="O587" s="8"/>
      <c r="P587" s="8"/>
      <c r="Q587" s="8"/>
      <c r="R587" s="8"/>
      <c r="S587" s="8"/>
      <c r="T587" s="8"/>
      <c r="U587" s="8"/>
      <c r="V587" s="8"/>
    </row>
    <row r="588">
      <c r="A588" s="8"/>
      <c r="B588" s="11"/>
      <c r="C588" s="8"/>
      <c r="D588" s="8"/>
      <c r="E588" s="8"/>
      <c r="F588" s="8"/>
      <c r="G588" s="10"/>
      <c r="H588" s="8"/>
      <c r="I588" s="8"/>
      <c r="J588" s="8"/>
      <c r="K588" s="8"/>
      <c r="L588" s="8"/>
      <c r="M588" s="8"/>
      <c r="N588" s="8"/>
      <c r="O588" s="8"/>
      <c r="P588" s="8"/>
      <c r="Q588" s="8"/>
      <c r="R588" s="8"/>
      <c r="S588" s="8"/>
      <c r="T588" s="8"/>
      <c r="U588" s="8"/>
      <c r="V588" s="8"/>
    </row>
    <row r="589">
      <c r="A589" s="8"/>
      <c r="B589" s="11"/>
      <c r="C589" s="8"/>
      <c r="D589" s="8"/>
      <c r="E589" s="8"/>
      <c r="F589" s="8"/>
      <c r="G589" s="10"/>
      <c r="H589" s="8"/>
      <c r="I589" s="8"/>
      <c r="J589" s="8"/>
      <c r="K589" s="8"/>
      <c r="L589" s="8"/>
      <c r="M589" s="8"/>
      <c r="N589" s="8"/>
      <c r="O589" s="8"/>
      <c r="P589" s="8"/>
      <c r="Q589" s="8"/>
      <c r="R589" s="8"/>
      <c r="S589" s="8"/>
      <c r="T589" s="8"/>
      <c r="U589" s="8"/>
      <c r="V589" s="8"/>
    </row>
    <row r="590">
      <c r="A590" s="8"/>
      <c r="B590" s="11"/>
      <c r="C590" s="8"/>
      <c r="D590" s="8"/>
      <c r="E590" s="8"/>
      <c r="F590" s="8"/>
      <c r="G590" s="10"/>
      <c r="H590" s="8"/>
      <c r="I590" s="8"/>
      <c r="J590" s="8"/>
      <c r="K590" s="8"/>
      <c r="L590" s="8"/>
      <c r="M590" s="8"/>
      <c r="N590" s="8"/>
      <c r="O590" s="8"/>
      <c r="P590" s="8"/>
      <c r="Q590" s="8"/>
      <c r="R590" s="8"/>
      <c r="S590" s="8"/>
      <c r="T590" s="8"/>
      <c r="U590" s="8"/>
      <c r="V590" s="8"/>
    </row>
    <row r="591">
      <c r="A591" s="8"/>
      <c r="B591" s="11"/>
      <c r="C591" s="8"/>
      <c r="D591" s="8"/>
      <c r="E591" s="8"/>
      <c r="F591" s="8"/>
      <c r="G591" s="10"/>
      <c r="H591" s="8"/>
      <c r="I591" s="8"/>
      <c r="J591" s="8"/>
      <c r="K591" s="8"/>
      <c r="L591" s="8"/>
      <c r="M591" s="8"/>
      <c r="N591" s="8"/>
      <c r="O591" s="8"/>
      <c r="P591" s="8"/>
      <c r="Q591" s="8"/>
      <c r="R591" s="8"/>
      <c r="S591" s="8"/>
      <c r="T591" s="8"/>
      <c r="U591" s="8"/>
      <c r="V591" s="8"/>
    </row>
    <row r="592">
      <c r="A592" s="8"/>
      <c r="B592" s="11"/>
      <c r="C592" s="8"/>
      <c r="D592" s="8"/>
      <c r="E592" s="8"/>
      <c r="F592" s="8"/>
      <c r="G592" s="10"/>
      <c r="H592" s="8"/>
      <c r="I592" s="8"/>
      <c r="J592" s="8"/>
      <c r="K592" s="8"/>
      <c r="L592" s="8"/>
      <c r="M592" s="8"/>
      <c r="N592" s="8"/>
      <c r="O592" s="8"/>
      <c r="P592" s="8"/>
      <c r="Q592" s="8"/>
      <c r="R592" s="8"/>
      <c r="S592" s="8"/>
      <c r="T592" s="8"/>
      <c r="U592" s="8"/>
      <c r="V592" s="8"/>
    </row>
    <row r="593">
      <c r="A593" s="8"/>
      <c r="B593" s="11"/>
      <c r="C593" s="8"/>
      <c r="D593" s="8"/>
      <c r="E593" s="8"/>
      <c r="F593" s="8"/>
      <c r="G593" s="10"/>
      <c r="H593" s="8"/>
      <c r="I593" s="8"/>
      <c r="J593" s="8"/>
      <c r="K593" s="8"/>
      <c r="L593" s="8"/>
      <c r="M593" s="8"/>
      <c r="N593" s="8"/>
      <c r="O593" s="8"/>
      <c r="P593" s="8"/>
      <c r="Q593" s="8"/>
      <c r="R593" s="8"/>
      <c r="S593" s="8"/>
      <c r="T593" s="8"/>
      <c r="U593" s="8"/>
      <c r="V593" s="8"/>
    </row>
    <row r="594">
      <c r="A594" s="8"/>
      <c r="B594" s="11"/>
      <c r="C594" s="8"/>
      <c r="D594" s="8"/>
      <c r="E594" s="8"/>
      <c r="F594" s="8"/>
      <c r="G594" s="10"/>
      <c r="H594" s="8"/>
      <c r="I594" s="8"/>
      <c r="J594" s="8"/>
      <c r="K594" s="8"/>
      <c r="L594" s="8"/>
      <c r="M594" s="8"/>
      <c r="N594" s="8"/>
      <c r="O594" s="8"/>
      <c r="P594" s="8"/>
      <c r="Q594" s="8"/>
      <c r="R594" s="8"/>
      <c r="S594" s="8"/>
      <c r="T594" s="8"/>
      <c r="U594" s="8"/>
      <c r="V594" s="8"/>
    </row>
    <row r="595">
      <c r="A595" s="8"/>
      <c r="B595" s="11"/>
      <c r="C595" s="8"/>
      <c r="D595" s="8"/>
      <c r="E595" s="8"/>
      <c r="F595" s="8"/>
      <c r="G595" s="10"/>
      <c r="H595" s="8"/>
      <c r="I595" s="8"/>
      <c r="J595" s="8"/>
      <c r="K595" s="8"/>
      <c r="L595" s="8"/>
      <c r="M595" s="8"/>
      <c r="N595" s="8"/>
      <c r="O595" s="8"/>
      <c r="P595" s="8"/>
      <c r="Q595" s="8"/>
      <c r="R595" s="8"/>
      <c r="S595" s="8"/>
      <c r="T595" s="8"/>
      <c r="U595" s="8"/>
      <c r="V595" s="8"/>
    </row>
    <row r="596">
      <c r="A596" s="8"/>
      <c r="B596" s="11"/>
      <c r="C596" s="8"/>
      <c r="D596" s="8"/>
      <c r="E596" s="8"/>
      <c r="F596" s="8"/>
      <c r="G596" s="10"/>
      <c r="H596" s="8"/>
      <c r="I596" s="8"/>
      <c r="J596" s="8"/>
      <c r="K596" s="8"/>
      <c r="L596" s="8"/>
      <c r="M596" s="8"/>
      <c r="N596" s="8"/>
      <c r="O596" s="8"/>
      <c r="P596" s="8"/>
      <c r="Q596" s="8"/>
      <c r="R596" s="8"/>
      <c r="S596" s="8"/>
      <c r="T596" s="8"/>
      <c r="U596" s="8"/>
      <c r="V596" s="8"/>
    </row>
    <row r="597">
      <c r="A597" s="8"/>
      <c r="B597" s="11"/>
      <c r="C597" s="8"/>
      <c r="D597" s="8"/>
      <c r="E597" s="8"/>
      <c r="F597" s="8"/>
      <c r="G597" s="10"/>
      <c r="H597" s="8"/>
      <c r="I597" s="8"/>
      <c r="J597" s="8"/>
      <c r="K597" s="8"/>
      <c r="L597" s="8"/>
      <c r="M597" s="8"/>
      <c r="N597" s="8"/>
      <c r="O597" s="8"/>
      <c r="P597" s="8"/>
      <c r="Q597" s="8"/>
      <c r="R597" s="8"/>
      <c r="S597" s="8"/>
      <c r="T597" s="8"/>
      <c r="U597" s="8"/>
      <c r="V597" s="8"/>
    </row>
    <row r="598">
      <c r="A598" s="8"/>
      <c r="B598" s="11"/>
      <c r="C598" s="8"/>
      <c r="D598" s="8"/>
      <c r="E598" s="8"/>
      <c r="F598" s="8"/>
      <c r="G598" s="10"/>
      <c r="H598" s="8"/>
      <c r="I598" s="8"/>
      <c r="J598" s="8"/>
      <c r="K598" s="8"/>
      <c r="L598" s="8"/>
      <c r="M598" s="8"/>
      <c r="N598" s="8"/>
      <c r="O598" s="8"/>
      <c r="P598" s="8"/>
      <c r="Q598" s="8"/>
      <c r="R598" s="8"/>
      <c r="S598" s="8"/>
      <c r="T598" s="8"/>
      <c r="U598" s="8"/>
      <c r="V598" s="8"/>
    </row>
    <row r="599">
      <c r="A599" s="8"/>
      <c r="B599" s="11"/>
      <c r="C599" s="8"/>
      <c r="D599" s="8"/>
      <c r="E599" s="8"/>
      <c r="F599" s="8"/>
      <c r="G599" s="10"/>
      <c r="H599" s="8"/>
      <c r="I599" s="8"/>
      <c r="J599" s="8"/>
      <c r="K599" s="8"/>
      <c r="L599" s="8"/>
      <c r="M599" s="8"/>
      <c r="N599" s="8"/>
      <c r="O599" s="8"/>
      <c r="P599" s="8"/>
      <c r="Q599" s="8"/>
      <c r="R599" s="8"/>
      <c r="S599" s="8"/>
      <c r="T599" s="8"/>
      <c r="U599" s="8"/>
      <c r="V599" s="8"/>
    </row>
    <row r="600">
      <c r="A600" s="8"/>
      <c r="B600" s="11"/>
      <c r="C600" s="8"/>
      <c r="D600" s="8"/>
      <c r="E600" s="8"/>
      <c r="F600" s="8"/>
      <c r="G600" s="10"/>
      <c r="H600" s="8"/>
      <c r="I600" s="8"/>
      <c r="J600" s="8"/>
      <c r="K600" s="8"/>
      <c r="L600" s="8"/>
      <c r="M600" s="8"/>
      <c r="N600" s="8"/>
      <c r="O600" s="8"/>
      <c r="P600" s="8"/>
      <c r="Q600" s="8"/>
      <c r="R600" s="8"/>
      <c r="S600" s="8"/>
      <c r="T600" s="8"/>
      <c r="U600" s="8"/>
      <c r="V600" s="8"/>
    </row>
    <row r="601">
      <c r="A601" s="8"/>
      <c r="B601" s="11"/>
      <c r="C601" s="8"/>
      <c r="D601" s="8"/>
      <c r="E601" s="8"/>
      <c r="F601" s="8"/>
      <c r="G601" s="10"/>
      <c r="H601" s="8"/>
      <c r="I601" s="8"/>
      <c r="J601" s="8"/>
      <c r="K601" s="8"/>
      <c r="L601" s="8"/>
      <c r="M601" s="8"/>
      <c r="N601" s="8"/>
      <c r="O601" s="8"/>
      <c r="P601" s="8"/>
      <c r="Q601" s="8"/>
      <c r="R601" s="8"/>
      <c r="S601" s="8"/>
      <c r="T601" s="8"/>
      <c r="U601" s="8"/>
      <c r="V601" s="8"/>
    </row>
    <row r="602">
      <c r="A602" s="8"/>
      <c r="B602" s="11"/>
      <c r="C602" s="8"/>
      <c r="D602" s="8"/>
      <c r="E602" s="8"/>
      <c r="F602" s="8"/>
      <c r="G602" s="10"/>
      <c r="H602" s="8"/>
      <c r="I602" s="8"/>
      <c r="J602" s="8"/>
      <c r="K602" s="8"/>
      <c r="L602" s="8"/>
      <c r="M602" s="8"/>
      <c r="N602" s="8"/>
      <c r="O602" s="8"/>
      <c r="P602" s="8"/>
      <c r="Q602" s="8"/>
      <c r="R602" s="8"/>
      <c r="S602" s="8"/>
      <c r="T602" s="8"/>
      <c r="U602" s="8"/>
      <c r="V602" s="8"/>
    </row>
    <row r="603">
      <c r="A603" s="8"/>
      <c r="B603" s="11"/>
      <c r="C603" s="8"/>
      <c r="D603" s="8"/>
      <c r="E603" s="8"/>
      <c r="F603" s="8"/>
      <c r="G603" s="10"/>
      <c r="H603" s="8"/>
      <c r="I603" s="8"/>
      <c r="J603" s="8"/>
      <c r="K603" s="8"/>
      <c r="L603" s="8"/>
      <c r="M603" s="8"/>
      <c r="N603" s="8"/>
      <c r="O603" s="8"/>
      <c r="P603" s="8"/>
      <c r="Q603" s="8"/>
      <c r="R603" s="8"/>
      <c r="S603" s="8"/>
      <c r="T603" s="8"/>
      <c r="U603" s="8"/>
      <c r="V603" s="8"/>
    </row>
    <row r="604">
      <c r="A604" s="8"/>
      <c r="B604" s="11"/>
      <c r="C604" s="8"/>
      <c r="D604" s="8"/>
      <c r="E604" s="8"/>
      <c r="F604" s="8"/>
      <c r="G604" s="10"/>
      <c r="H604" s="8"/>
      <c r="I604" s="8"/>
      <c r="J604" s="8"/>
      <c r="K604" s="8"/>
      <c r="L604" s="8"/>
      <c r="M604" s="8"/>
      <c r="N604" s="8"/>
      <c r="O604" s="8"/>
      <c r="P604" s="8"/>
      <c r="Q604" s="8"/>
      <c r="R604" s="8"/>
      <c r="S604" s="8"/>
      <c r="T604" s="8"/>
      <c r="U604" s="8"/>
      <c r="V604" s="8"/>
    </row>
    <row r="605">
      <c r="A605" s="8"/>
      <c r="B605" s="11"/>
      <c r="C605" s="8"/>
      <c r="D605" s="8"/>
      <c r="E605" s="8"/>
      <c r="F605" s="8"/>
      <c r="G605" s="10"/>
      <c r="H605" s="8"/>
      <c r="I605" s="8"/>
      <c r="J605" s="8"/>
      <c r="K605" s="8"/>
      <c r="L605" s="8"/>
      <c r="M605" s="8"/>
      <c r="N605" s="8"/>
      <c r="O605" s="8"/>
      <c r="P605" s="8"/>
      <c r="Q605" s="8"/>
      <c r="R605" s="8"/>
      <c r="S605" s="8"/>
      <c r="T605" s="8"/>
      <c r="U605" s="8"/>
      <c r="V605" s="8"/>
    </row>
    <row r="606">
      <c r="A606" s="8"/>
      <c r="B606" s="11"/>
      <c r="C606" s="8"/>
      <c r="D606" s="8"/>
      <c r="E606" s="8"/>
      <c r="F606" s="8"/>
      <c r="G606" s="10"/>
      <c r="H606" s="8"/>
      <c r="I606" s="8"/>
      <c r="J606" s="8"/>
      <c r="K606" s="8"/>
      <c r="L606" s="8"/>
      <c r="M606" s="8"/>
      <c r="N606" s="8"/>
      <c r="O606" s="8"/>
      <c r="P606" s="8"/>
      <c r="Q606" s="8"/>
      <c r="R606" s="8"/>
      <c r="S606" s="8"/>
      <c r="T606" s="8"/>
      <c r="U606" s="8"/>
      <c r="V606" s="8"/>
    </row>
    <row r="607">
      <c r="A607" s="8"/>
      <c r="B607" s="11"/>
      <c r="C607" s="8"/>
      <c r="D607" s="8"/>
      <c r="E607" s="8"/>
      <c r="F607" s="8"/>
      <c r="G607" s="10"/>
      <c r="H607" s="8"/>
      <c r="I607" s="8"/>
      <c r="J607" s="8"/>
      <c r="K607" s="8"/>
      <c r="L607" s="8"/>
      <c r="M607" s="8"/>
      <c r="N607" s="8"/>
      <c r="O607" s="8"/>
      <c r="P607" s="8"/>
      <c r="Q607" s="8"/>
      <c r="R607" s="8"/>
      <c r="S607" s="8"/>
      <c r="T607" s="8"/>
      <c r="U607" s="8"/>
      <c r="V607" s="8"/>
    </row>
    <row r="608">
      <c r="A608" s="8"/>
      <c r="B608" s="11"/>
      <c r="C608" s="8"/>
      <c r="D608" s="8"/>
      <c r="E608" s="8"/>
      <c r="F608" s="8"/>
      <c r="G608" s="10"/>
      <c r="H608" s="8"/>
      <c r="I608" s="8"/>
      <c r="J608" s="8"/>
      <c r="K608" s="8"/>
      <c r="L608" s="8"/>
      <c r="M608" s="8"/>
      <c r="N608" s="8"/>
      <c r="O608" s="8"/>
      <c r="P608" s="8"/>
      <c r="Q608" s="8"/>
      <c r="R608" s="8"/>
      <c r="S608" s="8"/>
      <c r="T608" s="8"/>
      <c r="U608" s="8"/>
      <c r="V608" s="8"/>
    </row>
    <row r="609">
      <c r="A609" s="8"/>
      <c r="B609" s="11"/>
      <c r="C609" s="8"/>
      <c r="D609" s="8"/>
      <c r="E609" s="8"/>
      <c r="F609" s="8"/>
      <c r="G609" s="10"/>
      <c r="H609" s="8"/>
      <c r="I609" s="8"/>
      <c r="J609" s="8"/>
      <c r="K609" s="8"/>
      <c r="L609" s="8"/>
      <c r="M609" s="8"/>
      <c r="N609" s="8"/>
      <c r="O609" s="8"/>
      <c r="P609" s="8"/>
      <c r="Q609" s="8"/>
      <c r="R609" s="8"/>
      <c r="S609" s="8"/>
      <c r="T609" s="8"/>
      <c r="U609" s="8"/>
      <c r="V609" s="8"/>
    </row>
    <row r="610">
      <c r="A610" s="8"/>
      <c r="B610" s="11"/>
      <c r="C610" s="8"/>
      <c r="D610" s="8"/>
      <c r="E610" s="8"/>
      <c r="F610" s="8"/>
      <c r="G610" s="10"/>
      <c r="H610" s="8"/>
      <c r="I610" s="8"/>
      <c r="J610" s="8"/>
      <c r="K610" s="8"/>
      <c r="L610" s="8"/>
      <c r="M610" s="8"/>
      <c r="N610" s="8"/>
      <c r="O610" s="8"/>
      <c r="P610" s="8"/>
      <c r="Q610" s="8"/>
      <c r="R610" s="8"/>
      <c r="S610" s="8"/>
      <c r="T610" s="8"/>
      <c r="U610" s="8"/>
      <c r="V610" s="8"/>
    </row>
    <row r="611">
      <c r="A611" s="8"/>
      <c r="B611" s="11"/>
      <c r="C611" s="8"/>
      <c r="D611" s="8"/>
      <c r="E611" s="8"/>
      <c r="F611" s="8"/>
      <c r="G611" s="10"/>
      <c r="H611" s="8"/>
      <c r="I611" s="8"/>
      <c r="J611" s="8"/>
      <c r="K611" s="8"/>
      <c r="L611" s="8"/>
      <c r="M611" s="8"/>
      <c r="N611" s="8"/>
      <c r="O611" s="8"/>
      <c r="P611" s="8"/>
      <c r="Q611" s="8"/>
      <c r="R611" s="8"/>
      <c r="S611" s="8"/>
      <c r="T611" s="8"/>
      <c r="U611" s="8"/>
      <c r="V611" s="8"/>
    </row>
    <row r="612">
      <c r="A612" s="8"/>
      <c r="B612" s="11"/>
      <c r="C612" s="8"/>
      <c r="D612" s="8"/>
      <c r="E612" s="8"/>
      <c r="F612" s="8"/>
      <c r="G612" s="10"/>
      <c r="H612" s="8"/>
      <c r="I612" s="8"/>
      <c r="J612" s="8"/>
      <c r="K612" s="8"/>
      <c r="L612" s="8"/>
      <c r="M612" s="8"/>
      <c r="N612" s="8"/>
      <c r="O612" s="8"/>
      <c r="P612" s="8"/>
      <c r="Q612" s="8"/>
      <c r="R612" s="8"/>
      <c r="S612" s="8"/>
      <c r="T612" s="8"/>
      <c r="U612" s="8"/>
      <c r="V612" s="8"/>
    </row>
    <row r="613">
      <c r="A613" s="8"/>
      <c r="B613" s="11"/>
      <c r="C613" s="8"/>
      <c r="D613" s="8"/>
      <c r="E613" s="8"/>
      <c r="F613" s="8"/>
      <c r="G613" s="10"/>
      <c r="H613" s="8"/>
      <c r="I613" s="8"/>
      <c r="J613" s="8"/>
      <c r="K613" s="8"/>
      <c r="L613" s="8"/>
      <c r="M613" s="8"/>
      <c r="N613" s="8"/>
      <c r="O613" s="8"/>
      <c r="P613" s="8"/>
      <c r="Q613" s="8"/>
      <c r="R613" s="8"/>
      <c r="S613" s="8"/>
      <c r="T613" s="8"/>
      <c r="U613" s="8"/>
      <c r="V613" s="8"/>
    </row>
    <row r="614">
      <c r="A614" s="8"/>
      <c r="B614" s="11"/>
      <c r="C614" s="8"/>
      <c r="D614" s="8"/>
      <c r="E614" s="8"/>
      <c r="F614" s="8"/>
      <c r="G614" s="10"/>
      <c r="H614" s="8"/>
      <c r="I614" s="8"/>
      <c r="J614" s="8"/>
      <c r="K614" s="8"/>
      <c r="L614" s="8"/>
      <c r="M614" s="8"/>
      <c r="N614" s="8"/>
      <c r="O614" s="8"/>
      <c r="P614" s="8"/>
      <c r="Q614" s="8"/>
      <c r="R614" s="8"/>
      <c r="S614" s="8"/>
      <c r="T614" s="8"/>
      <c r="U614" s="8"/>
      <c r="V614" s="8"/>
    </row>
    <row r="615">
      <c r="A615" s="8"/>
      <c r="B615" s="11"/>
      <c r="C615" s="8"/>
      <c r="D615" s="8"/>
      <c r="E615" s="8"/>
      <c r="F615" s="8"/>
      <c r="G615" s="10"/>
      <c r="H615" s="8"/>
      <c r="I615" s="8"/>
      <c r="J615" s="8"/>
      <c r="K615" s="8"/>
      <c r="L615" s="8"/>
      <c r="M615" s="8"/>
      <c r="N615" s="8"/>
      <c r="O615" s="8"/>
      <c r="P615" s="8"/>
      <c r="Q615" s="8"/>
      <c r="R615" s="8"/>
      <c r="S615" s="8"/>
      <c r="T615" s="8"/>
      <c r="U615" s="8"/>
      <c r="V615" s="8"/>
    </row>
    <row r="616">
      <c r="A616" s="8"/>
      <c r="B616" s="11"/>
      <c r="C616" s="8"/>
      <c r="D616" s="8"/>
      <c r="E616" s="8"/>
      <c r="F616" s="8"/>
      <c r="G616" s="10"/>
      <c r="H616" s="8"/>
      <c r="I616" s="8"/>
      <c r="J616" s="8"/>
      <c r="K616" s="8"/>
      <c r="L616" s="8"/>
      <c r="M616" s="8"/>
      <c r="N616" s="8"/>
      <c r="O616" s="8"/>
      <c r="P616" s="8"/>
      <c r="Q616" s="8"/>
      <c r="R616" s="8"/>
      <c r="S616" s="8"/>
      <c r="T616" s="8"/>
      <c r="U616" s="8"/>
      <c r="V616" s="8"/>
    </row>
    <row r="617">
      <c r="A617" s="8"/>
      <c r="B617" s="11"/>
      <c r="C617" s="8"/>
      <c r="D617" s="8"/>
      <c r="E617" s="8"/>
      <c r="F617" s="8"/>
      <c r="G617" s="10"/>
      <c r="H617" s="8"/>
      <c r="I617" s="8"/>
      <c r="J617" s="8"/>
      <c r="K617" s="8"/>
      <c r="L617" s="8"/>
      <c r="M617" s="8"/>
      <c r="N617" s="8"/>
      <c r="O617" s="8"/>
      <c r="P617" s="8"/>
      <c r="Q617" s="8"/>
      <c r="R617" s="8"/>
      <c r="S617" s="8"/>
      <c r="T617" s="8"/>
      <c r="U617" s="8"/>
      <c r="V617" s="8"/>
    </row>
    <row r="618">
      <c r="A618" s="8"/>
      <c r="B618" s="11"/>
      <c r="C618" s="8"/>
      <c r="D618" s="8"/>
      <c r="E618" s="8"/>
      <c r="F618" s="8"/>
      <c r="G618" s="10"/>
      <c r="H618" s="8"/>
      <c r="I618" s="8"/>
      <c r="J618" s="8"/>
      <c r="K618" s="8"/>
      <c r="L618" s="8"/>
      <c r="M618" s="8"/>
      <c r="N618" s="8"/>
      <c r="O618" s="8"/>
      <c r="P618" s="8"/>
      <c r="Q618" s="8"/>
      <c r="R618" s="8"/>
      <c r="S618" s="8"/>
      <c r="T618" s="8"/>
      <c r="U618" s="8"/>
      <c r="V618" s="8"/>
    </row>
    <row r="619">
      <c r="A619" s="8"/>
      <c r="B619" s="11"/>
      <c r="C619" s="8"/>
      <c r="D619" s="8"/>
      <c r="E619" s="8"/>
      <c r="F619" s="8"/>
      <c r="G619" s="10"/>
      <c r="H619" s="8"/>
      <c r="I619" s="8"/>
      <c r="J619" s="8"/>
      <c r="K619" s="8"/>
      <c r="L619" s="8"/>
      <c r="M619" s="8"/>
      <c r="N619" s="8"/>
      <c r="O619" s="8"/>
      <c r="P619" s="8"/>
      <c r="Q619" s="8"/>
      <c r="R619" s="8"/>
      <c r="S619" s="8"/>
      <c r="T619" s="8"/>
      <c r="U619" s="8"/>
      <c r="V619" s="8"/>
    </row>
    <row r="620">
      <c r="A620" s="8"/>
      <c r="B620" s="11"/>
      <c r="C620" s="8"/>
      <c r="D620" s="8"/>
      <c r="E620" s="8"/>
      <c r="F620" s="8"/>
      <c r="G620" s="10"/>
      <c r="H620" s="8"/>
      <c r="I620" s="8"/>
      <c r="J620" s="8"/>
      <c r="K620" s="8"/>
      <c r="L620" s="8"/>
      <c r="M620" s="8"/>
      <c r="N620" s="8"/>
      <c r="O620" s="8"/>
      <c r="P620" s="8"/>
      <c r="Q620" s="8"/>
      <c r="R620" s="8"/>
      <c r="S620" s="8"/>
      <c r="T620" s="8"/>
      <c r="U620" s="8"/>
      <c r="V620" s="8"/>
    </row>
    <row r="621">
      <c r="A621" s="8"/>
      <c r="B621" s="11"/>
      <c r="C621" s="8"/>
      <c r="D621" s="8"/>
      <c r="E621" s="8"/>
      <c r="F621" s="8"/>
      <c r="G621" s="10"/>
      <c r="H621" s="8"/>
      <c r="I621" s="8"/>
      <c r="J621" s="8"/>
      <c r="K621" s="8"/>
      <c r="L621" s="8"/>
      <c r="M621" s="8"/>
      <c r="N621" s="8"/>
      <c r="O621" s="8"/>
      <c r="P621" s="8"/>
      <c r="Q621" s="8"/>
      <c r="R621" s="8"/>
      <c r="S621" s="8"/>
      <c r="T621" s="8"/>
      <c r="U621" s="8"/>
      <c r="V621" s="8"/>
    </row>
    <row r="622">
      <c r="A622" s="8"/>
      <c r="B622" s="11"/>
      <c r="C622" s="8"/>
      <c r="D622" s="8"/>
      <c r="E622" s="8"/>
      <c r="F622" s="8"/>
      <c r="G622" s="10"/>
      <c r="H622" s="8"/>
      <c r="I622" s="8"/>
      <c r="J622" s="8"/>
      <c r="K622" s="8"/>
      <c r="L622" s="8"/>
      <c r="M622" s="8"/>
      <c r="N622" s="8"/>
      <c r="O622" s="8"/>
      <c r="P622" s="8"/>
      <c r="Q622" s="8"/>
      <c r="R622" s="8"/>
      <c r="S622" s="8"/>
      <c r="T622" s="8"/>
      <c r="U622" s="8"/>
      <c r="V622" s="8"/>
    </row>
    <row r="623">
      <c r="A623" s="8"/>
      <c r="B623" s="11"/>
      <c r="C623" s="8"/>
      <c r="D623" s="8"/>
      <c r="E623" s="8"/>
      <c r="F623" s="8"/>
      <c r="G623" s="10"/>
      <c r="H623" s="8"/>
      <c r="I623" s="8"/>
      <c r="J623" s="8"/>
      <c r="K623" s="8"/>
      <c r="L623" s="8"/>
      <c r="M623" s="8"/>
      <c r="N623" s="8"/>
      <c r="O623" s="8"/>
      <c r="P623" s="8"/>
      <c r="Q623" s="8"/>
      <c r="R623" s="8"/>
      <c r="S623" s="8"/>
      <c r="T623" s="8"/>
      <c r="U623" s="8"/>
      <c r="V623" s="8"/>
    </row>
    <row r="624">
      <c r="A624" s="8"/>
      <c r="B624" s="11"/>
      <c r="C624" s="8"/>
      <c r="D624" s="8"/>
      <c r="E624" s="8"/>
      <c r="F624" s="8"/>
      <c r="G624" s="10"/>
      <c r="H624" s="8"/>
      <c r="I624" s="8"/>
      <c r="J624" s="8"/>
      <c r="K624" s="8"/>
      <c r="L624" s="8"/>
      <c r="M624" s="8"/>
      <c r="N624" s="8"/>
      <c r="O624" s="8"/>
      <c r="P624" s="8"/>
      <c r="Q624" s="8"/>
      <c r="R624" s="8"/>
      <c r="S624" s="8"/>
      <c r="T624" s="8"/>
      <c r="U624" s="8"/>
      <c r="V624" s="8"/>
    </row>
    <row r="625">
      <c r="A625" s="8"/>
      <c r="B625" s="11"/>
      <c r="C625" s="8"/>
      <c r="D625" s="8"/>
      <c r="E625" s="8"/>
      <c r="F625" s="8"/>
      <c r="G625" s="10"/>
      <c r="H625" s="8"/>
      <c r="I625" s="8"/>
      <c r="J625" s="8"/>
      <c r="K625" s="8"/>
      <c r="L625" s="8"/>
      <c r="M625" s="8"/>
      <c r="N625" s="8"/>
      <c r="O625" s="8"/>
      <c r="P625" s="8"/>
      <c r="Q625" s="8"/>
      <c r="R625" s="8"/>
      <c r="S625" s="8"/>
      <c r="T625" s="8"/>
      <c r="U625" s="8"/>
      <c r="V625" s="8"/>
    </row>
    <row r="626">
      <c r="A626" s="8"/>
      <c r="B626" s="11"/>
      <c r="C626" s="8"/>
      <c r="D626" s="8"/>
      <c r="E626" s="8"/>
      <c r="F626" s="8"/>
      <c r="G626" s="10"/>
      <c r="H626" s="8"/>
      <c r="I626" s="8"/>
      <c r="J626" s="8"/>
      <c r="K626" s="8"/>
      <c r="L626" s="8"/>
      <c r="M626" s="8"/>
      <c r="N626" s="8"/>
      <c r="O626" s="8"/>
      <c r="P626" s="8"/>
      <c r="Q626" s="8"/>
      <c r="R626" s="8"/>
      <c r="S626" s="8"/>
      <c r="T626" s="8"/>
      <c r="U626" s="8"/>
      <c r="V626" s="8"/>
    </row>
    <row r="627">
      <c r="A627" s="8"/>
      <c r="B627" s="11"/>
      <c r="C627" s="8"/>
      <c r="D627" s="8"/>
      <c r="E627" s="8"/>
      <c r="F627" s="8"/>
      <c r="G627" s="10"/>
      <c r="H627" s="8"/>
      <c r="I627" s="8"/>
      <c r="J627" s="8"/>
      <c r="K627" s="8"/>
      <c r="L627" s="8"/>
      <c r="M627" s="8"/>
      <c r="N627" s="8"/>
      <c r="O627" s="8"/>
      <c r="P627" s="8"/>
      <c r="Q627" s="8"/>
      <c r="R627" s="8"/>
      <c r="S627" s="8"/>
      <c r="T627" s="8"/>
      <c r="U627" s="8"/>
      <c r="V627" s="8"/>
    </row>
    <row r="628">
      <c r="A628" s="8"/>
      <c r="B628" s="11"/>
      <c r="C628" s="8"/>
      <c r="D628" s="8"/>
      <c r="E628" s="8"/>
      <c r="F628" s="8"/>
      <c r="G628" s="10"/>
      <c r="H628" s="8"/>
      <c r="I628" s="8"/>
      <c r="J628" s="8"/>
      <c r="K628" s="8"/>
      <c r="L628" s="8"/>
      <c r="M628" s="8"/>
      <c r="N628" s="8"/>
      <c r="O628" s="8"/>
      <c r="P628" s="8"/>
      <c r="Q628" s="8"/>
      <c r="R628" s="8"/>
      <c r="S628" s="8"/>
      <c r="T628" s="8"/>
      <c r="U628" s="8"/>
      <c r="V628" s="8"/>
    </row>
    <row r="629">
      <c r="A629" s="8"/>
      <c r="B629" s="11"/>
      <c r="C629" s="8"/>
      <c r="D629" s="8"/>
      <c r="E629" s="8"/>
      <c r="F629" s="8"/>
      <c r="G629" s="10"/>
      <c r="H629" s="8"/>
      <c r="I629" s="8"/>
      <c r="J629" s="8"/>
      <c r="K629" s="8"/>
      <c r="L629" s="8"/>
      <c r="M629" s="8"/>
      <c r="N629" s="8"/>
      <c r="O629" s="8"/>
      <c r="P629" s="8"/>
      <c r="Q629" s="8"/>
      <c r="R629" s="8"/>
      <c r="S629" s="8"/>
      <c r="T629" s="8"/>
      <c r="U629" s="8"/>
      <c r="V629" s="8"/>
    </row>
    <row r="630">
      <c r="A630" s="8"/>
      <c r="B630" s="11"/>
      <c r="C630" s="8"/>
      <c r="D630" s="8"/>
      <c r="E630" s="8"/>
      <c r="F630" s="8"/>
      <c r="G630" s="10"/>
      <c r="H630" s="8"/>
      <c r="I630" s="8"/>
      <c r="J630" s="8"/>
      <c r="K630" s="8"/>
      <c r="L630" s="8"/>
      <c r="M630" s="8"/>
      <c r="N630" s="8"/>
      <c r="O630" s="8"/>
      <c r="P630" s="8"/>
      <c r="Q630" s="8"/>
      <c r="R630" s="8"/>
      <c r="S630" s="8"/>
      <c r="T630" s="8"/>
      <c r="U630" s="8"/>
      <c r="V630" s="8"/>
    </row>
    <row r="631">
      <c r="A631" s="8"/>
      <c r="B631" s="11"/>
      <c r="C631" s="8"/>
      <c r="D631" s="8"/>
      <c r="E631" s="8"/>
      <c r="F631" s="8"/>
      <c r="G631" s="10"/>
      <c r="H631" s="8"/>
      <c r="I631" s="8"/>
      <c r="J631" s="8"/>
      <c r="K631" s="8"/>
      <c r="L631" s="8"/>
      <c r="M631" s="8"/>
      <c r="N631" s="8"/>
      <c r="O631" s="8"/>
      <c r="P631" s="8"/>
      <c r="Q631" s="8"/>
      <c r="R631" s="8"/>
      <c r="S631" s="8"/>
      <c r="T631" s="8"/>
      <c r="U631" s="8"/>
      <c r="V631" s="8"/>
    </row>
    <row r="632">
      <c r="A632" s="8"/>
      <c r="B632" s="11"/>
      <c r="C632" s="8"/>
      <c r="D632" s="8"/>
      <c r="E632" s="8"/>
      <c r="F632" s="8"/>
      <c r="G632" s="10"/>
      <c r="H632" s="8"/>
      <c r="I632" s="8"/>
      <c r="J632" s="8"/>
      <c r="K632" s="8"/>
      <c r="L632" s="8"/>
      <c r="M632" s="8"/>
      <c r="N632" s="8"/>
      <c r="O632" s="8"/>
      <c r="P632" s="8"/>
      <c r="Q632" s="8"/>
      <c r="R632" s="8"/>
      <c r="S632" s="8"/>
      <c r="T632" s="8"/>
      <c r="U632" s="8"/>
      <c r="V632" s="8"/>
    </row>
    <row r="633">
      <c r="A633" s="8"/>
      <c r="B633" s="11"/>
      <c r="C633" s="8"/>
      <c r="D633" s="8"/>
      <c r="E633" s="8"/>
      <c r="F633" s="8"/>
      <c r="G633" s="10"/>
      <c r="H633" s="8"/>
      <c r="I633" s="8"/>
      <c r="J633" s="8"/>
      <c r="K633" s="8"/>
      <c r="L633" s="8"/>
      <c r="M633" s="8"/>
      <c r="N633" s="8"/>
      <c r="O633" s="8"/>
      <c r="P633" s="8"/>
      <c r="Q633" s="8"/>
      <c r="R633" s="8"/>
      <c r="S633" s="8"/>
      <c r="T633" s="8"/>
      <c r="U633" s="8"/>
      <c r="V633" s="8"/>
    </row>
    <row r="634">
      <c r="A634" s="8"/>
      <c r="B634" s="11"/>
      <c r="C634" s="8"/>
      <c r="D634" s="8"/>
      <c r="E634" s="8"/>
      <c r="F634" s="8"/>
      <c r="G634" s="10"/>
      <c r="H634" s="8"/>
      <c r="I634" s="8"/>
      <c r="J634" s="8"/>
      <c r="K634" s="8"/>
      <c r="L634" s="8"/>
      <c r="M634" s="8"/>
      <c r="N634" s="8"/>
      <c r="O634" s="8"/>
      <c r="P634" s="8"/>
      <c r="Q634" s="8"/>
      <c r="R634" s="8"/>
      <c r="S634" s="8"/>
      <c r="T634" s="8"/>
      <c r="U634" s="8"/>
      <c r="V634" s="8"/>
    </row>
    <row r="635">
      <c r="A635" s="8"/>
      <c r="B635" s="11"/>
      <c r="C635" s="8"/>
      <c r="D635" s="8"/>
      <c r="E635" s="8"/>
      <c r="F635" s="8"/>
      <c r="G635" s="10"/>
      <c r="H635" s="8"/>
      <c r="I635" s="8"/>
      <c r="J635" s="8"/>
      <c r="K635" s="8"/>
      <c r="L635" s="8"/>
      <c r="M635" s="8"/>
      <c r="N635" s="8"/>
      <c r="O635" s="8"/>
      <c r="P635" s="8"/>
      <c r="Q635" s="8"/>
      <c r="R635" s="8"/>
      <c r="S635" s="8"/>
      <c r="T635" s="8"/>
      <c r="U635" s="8"/>
      <c r="V635" s="8"/>
    </row>
    <row r="636">
      <c r="A636" s="8"/>
      <c r="B636" s="11"/>
      <c r="C636" s="8"/>
      <c r="D636" s="8"/>
      <c r="E636" s="8"/>
      <c r="F636" s="8"/>
      <c r="G636" s="10"/>
      <c r="H636" s="8"/>
      <c r="I636" s="8"/>
      <c r="J636" s="8"/>
      <c r="K636" s="8"/>
      <c r="L636" s="8"/>
      <c r="M636" s="8"/>
      <c r="N636" s="8"/>
      <c r="O636" s="8"/>
      <c r="P636" s="8"/>
      <c r="Q636" s="8"/>
      <c r="R636" s="8"/>
      <c r="S636" s="8"/>
      <c r="T636" s="8"/>
      <c r="U636" s="8"/>
      <c r="V636" s="8"/>
    </row>
    <row r="637">
      <c r="A637" s="8"/>
      <c r="B637" s="11"/>
      <c r="C637" s="8"/>
      <c r="D637" s="8"/>
      <c r="E637" s="8"/>
      <c r="F637" s="8"/>
      <c r="G637" s="10"/>
      <c r="H637" s="8"/>
      <c r="I637" s="8"/>
      <c r="J637" s="8"/>
      <c r="K637" s="8"/>
      <c r="L637" s="8"/>
      <c r="M637" s="8"/>
      <c r="N637" s="8"/>
      <c r="O637" s="8"/>
      <c r="P637" s="8"/>
      <c r="Q637" s="8"/>
      <c r="R637" s="8"/>
      <c r="S637" s="8"/>
      <c r="T637" s="8"/>
      <c r="U637" s="8"/>
      <c r="V637" s="8"/>
    </row>
    <row r="638">
      <c r="A638" s="8"/>
      <c r="B638" s="11"/>
      <c r="C638" s="8"/>
      <c r="D638" s="8"/>
      <c r="E638" s="8"/>
      <c r="F638" s="8"/>
      <c r="G638" s="10"/>
      <c r="H638" s="8"/>
      <c r="I638" s="8"/>
      <c r="J638" s="8"/>
      <c r="K638" s="8"/>
      <c r="L638" s="8"/>
      <c r="M638" s="8"/>
      <c r="N638" s="8"/>
      <c r="O638" s="8"/>
      <c r="P638" s="8"/>
      <c r="Q638" s="8"/>
      <c r="R638" s="8"/>
      <c r="S638" s="8"/>
      <c r="T638" s="8"/>
      <c r="U638" s="8"/>
      <c r="V638" s="8"/>
    </row>
    <row r="639">
      <c r="A639" s="8"/>
      <c r="B639" s="11"/>
      <c r="C639" s="8"/>
      <c r="D639" s="8"/>
      <c r="E639" s="8"/>
      <c r="F639" s="8"/>
      <c r="G639" s="10"/>
      <c r="H639" s="8"/>
      <c r="I639" s="8"/>
      <c r="J639" s="8"/>
      <c r="K639" s="8"/>
      <c r="L639" s="8"/>
      <c r="M639" s="8"/>
      <c r="N639" s="8"/>
      <c r="O639" s="8"/>
      <c r="P639" s="8"/>
      <c r="Q639" s="8"/>
      <c r="R639" s="8"/>
      <c r="S639" s="8"/>
      <c r="T639" s="8"/>
      <c r="U639" s="8"/>
      <c r="V639" s="8"/>
    </row>
    <row r="640">
      <c r="A640" s="8"/>
      <c r="B640" s="11"/>
      <c r="C640" s="8"/>
      <c r="D640" s="8"/>
      <c r="E640" s="8"/>
      <c r="F640" s="8"/>
      <c r="G640" s="10"/>
      <c r="H640" s="8"/>
      <c r="I640" s="8"/>
      <c r="J640" s="8"/>
      <c r="K640" s="8"/>
      <c r="L640" s="8"/>
      <c r="M640" s="8"/>
      <c r="N640" s="8"/>
      <c r="O640" s="8"/>
      <c r="P640" s="8"/>
      <c r="Q640" s="8"/>
      <c r="R640" s="8"/>
      <c r="S640" s="8"/>
      <c r="T640" s="8"/>
      <c r="U640" s="8"/>
      <c r="V640" s="8"/>
    </row>
    <row r="641">
      <c r="A641" s="8"/>
      <c r="B641" s="11"/>
      <c r="C641" s="8"/>
      <c r="D641" s="8"/>
      <c r="E641" s="8"/>
      <c r="F641" s="8"/>
      <c r="G641" s="10"/>
      <c r="H641" s="8"/>
      <c r="I641" s="8"/>
      <c r="J641" s="8"/>
      <c r="K641" s="8"/>
      <c r="L641" s="8"/>
      <c r="M641" s="8"/>
      <c r="N641" s="8"/>
      <c r="O641" s="8"/>
      <c r="P641" s="8"/>
      <c r="Q641" s="8"/>
      <c r="R641" s="8"/>
      <c r="S641" s="8"/>
      <c r="T641" s="8"/>
      <c r="U641" s="8"/>
      <c r="V641" s="8"/>
    </row>
    <row r="642">
      <c r="A642" s="8"/>
      <c r="B642" s="11"/>
      <c r="C642" s="8"/>
      <c r="D642" s="8"/>
      <c r="E642" s="8"/>
      <c r="F642" s="8"/>
      <c r="G642" s="10"/>
      <c r="H642" s="8"/>
      <c r="I642" s="8"/>
      <c r="J642" s="8"/>
      <c r="K642" s="8"/>
      <c r="L642" s="8"/>
      <c r="M642" s="8"/>
      <c r="N642" s="8"/>
      <c r="O642" s="8"/>
      <c r="P642" s="8"/>
      <c r="Q642" s="8"/>
      <c r="R642" s="8"/>
      <c r="S642" s="8"/>
      <c r="T642" s="8"/>
      <c r="U642" s="8"/>
      <c r="V642" s="8"/>
    </row>
    <row r="643">
      <c r="A643" s="8"/>
      <c r="B643" s="11"/>
      <c r="C643" s="8"/>
      <c r="D643" s="8"/>
      <c r="E643" s="8"/>
      <c r="F643" s="8"/>
      <c r="G643" s="10"/>
      <c r="H643" s="8"/>
      <c r="I643" s="8"/>
      <c r="J643" s="8"/>
      <c r="K643" s="8"/>
      <c r="L643" s="8"/>
      <c r="M643" s="8"/>
      <c r="N643" s="8"/>
      <c r="O643" s="8"/>
      <c r="P643" s="8"/>
      <c r="Q643" s="8"/>
      <c r="R643" s="8"/>
      <c r="S643" s="8"/>
      <c r="T643" s="8"/>
      <c r="U643" s="8"/>
      <c r="V643" s="8"/>
    </row>
    <row r="644">
      <c r="A644" s="8"/>
      <c r="B644" s="11"/>
      <c r="C644" s="8"/>
      <c r="D644" s="8"/>
      <c r="E644" s="8"/>
      <c r="F644" s="8"/>
      <c r="G644" s="10"/>
      <c r="H644" s="8"/>
      <c r="I644" s="8"/>
      <c r="J644" s="8"/>
      <c r="K644" s="8"/>
      <c r="L644" s="8"/>
      <c r="M644" s="8"/>
      <c r="N644" s="8"/>
      <c r="O644" s="8"/>
      <c r="P644" s="8"/>
      <c r="Q644" s="8"/>
      <c r="R644" s="8"/>
      <c r="S644" s="8"/>
      <c r="T644" s="8"/>
      <c r="U644" s="8"/>
      <c r="V644" s="8"/>
    </row>
    <row r="645">
      <c r="A645" s="8"/>
      <c r="B645" s="11"/>
      <c r="C645" s="8"/>
      <c r="D645" s="8"/>
      <c r="E645" s="8"/>
      <c r="F645" s="8"/>
      <c r="G645" s="10"/>
      <c r="H645" s="8"/>
      <c r="I645" s="8"/>
      <c r="J645" s="8"/>
      <c r="K645" s="8"/>
      <c r="L645" s="8"/>
      <c r="M645" s="8"/>
      <c r="N645" s="8"/>
      <c r="O645" s="8"/>
      <c r="P645" s="8"/>
      <c r="Q645" s="8"/>
      <c r="R645" s="8"/>
      <c r="S645" s="8"/>
      <c r="T645" s="8"/>
      <c r="U645" s="8"/>
      <c r="V645" s="8"/>
    </row>
    <row r="646">
      <c r="A646" s="8"/>
      <c r="B646" s="11"/>
      <c r="C646" s="8"/>
      <c r="D646" s="8"/>
      <c r="E646" s="8"/>
      <c r="F646" s="8"/>
      <c r="G646" s="10"/>
      <c r="H646" s="8"/>
      <c r="I646" s="8"/>
      <c r="J646" s="8"/>
      <c r="K646" s="8"/>
      <c r="L646" s="8"/>
      <c r="M646" s="8"/>
      <c r="N646" s="8"/>
      <c r="O646" s="8"/>
      <c r="P646" s="8"/>
      <c r="Q646" s="8"/>
      <c r="R646" s="8"/>
      <c r="S646" s="8"/>
      <c r="T646" s="8"/>
      <c r="U646" s="8"/>
      <c r="V646" s="8"/>
    </row>
    <row r="647">
      <c r="A647" s="8"/>
      <c r="B647" s="11"/>
      <c r="C647" s="8"/>
      <c r="D647" s="8"/>
      <c r="E647" s="8"/>
      <c r="F647" s="8"/>
      <c r="G647" s="10"/>
      <c r="H647" s="8"/>
      <c r="I647" s="8"/>
      <c r="J647" s="8"/>
      <c r="K647" s="8"/>
      <c r="L647" s="8"/>
      <c r="M647" s="8"/>
      <c r="N647" s="8"/>
      <c r="O647" s="8"/>
      <c r="P647" s="8"/>
      <c r="Q647" s="8"/>
      <c r="R647" s="8"/>
      <c r="S647" s="8"/>
      <c r="T647" s="8"/>
      <c r="U647" s="8"/>
      <c r="V647" s="8"/>
    </row>
    <row r="648">
      <c r="A648" s="8"/>
      <c r="B648" s="11"/>
      <c r="C648" s="8"/>
      <c r="D648" s="8"/>
      <c r="E648" s="8"/>
      <c r="F648" s="8"/>
      <c r="G648" s="10"/>
      <c r="H648" s="8"/>
      <c r="I648" s="8"/>
      <c r="J648" s="8"/>
      <c r="K648" s="8"/>
      <c r="L648" s="8"/>
      <c r="M648" s="8"/>
      <c r="N648" s="8"/>
      <c r="O648" s="8"/>
      <c r="P648" s="8"/>
      <c r="Q648" s="8"/>
      <c r="R648" s="8"/>
      <c r="S648" s="8"/>
      <c r="T648" s="8"/>
      <c r="U648" s="8"/>
      <c r="V648" s="8"/>
    </row>
    <row r="649">
      <c r="A649" s="8"/>
      <c r="B649" s="11"/>
      <c r="C649" s="8"/>
      <c r="D649" s="8"/>
      <c r="E649" s="8"/>
      <c r="F649" s="8"/>
      <c r="G649" s="10"/>
      <c r="H649" s="8"/>
      <c r="I649" s="8"/>
      <c r="J649" s="8"/>
      <c r="K649" s="8"/>
      <c r="L649" s="8"/>
      <c r="M649" s="8"/>
      <c r="N649" s="8"/>
      <c r="O649" s="8"/>
      <c r="P649" s="8"/>
      <c r="Q649" s="8"/>
      <c r="R649" s="8"/>
      <c r="S649" s="8"/>
      <c r="T649" s="8"/>
      <c r="U649" s="8"/>
      <c r="V649" s="8"/>
    </row>
    <row r="650">
      <c r="A650" s="8"/>
      <c r="B650" s="11"/>
      <c r="C650" s="8"/>
      <c r="D650" s="8"/>
      <c r="E650" s="8"/>
      <c r="F650" s="8"/>
      <c r="G650" s="10"/>
      <c r="H650" s="8"/>
      <c r="I650" s="8"/>
      <c r="J650" s="8"/>
      <c r="K650" s="8"/>
      <c r="L650" s="8"/>
      <c r="M650" s="8"/>
      <c r="N650" s="8"/>
      <c r="O650" s="8"/>
      <c r="P650" s="8"/>
      <c r="Q650" s="8"/>
      <c r="R650" s="8"/>
      <c r="S650" s="8"/>
      <c r="T650" s="8"/>
      <c r="U650" s="8"/>
      <c r="V650" s="8"/>
    </row>
    <row r="651">
      <c r="A651" s="8"/>
      <c r="B651" s="11"/>
      <c r="C651" s="8"/>
      <c r="D651" s="8"/>
      <c r="E651" s="8"/>
      <c r="F651" s="8"/>
      <c r="G651" s="10"/>
      <c r="H651" s="8"/>
      <c r="I651" s="8"/>
      <c r="J651" s="8"/>
      <c r="K651" s="8"/>
      <c r="L651" s="8"/>
      <c r="M651" s="8"/>
      <c r="N651" s="8"/>
      <c r="O651" s="8"/>
      <c r="P651" s="8"/>
      <c r="Q651" s="8"/>
      <c r="R651" s="8"/>
      <c r="S651" s="8"/>
      <c r="T651" s="8"/>
      <c r="U651" s="8"/>
      <c r="V651" s="8"/>
    </row>
    <row r="652">
      <c r="A652" s="8"/>
      <c r="B652" s="11"/>
      <c r="C652" s="8"/>
      <c r="D652" s="8"/>
      <c r="E652" s="8"/>
      <c r="F652" s="8"/>
      <c r="G652" s="10"/>
      <c r="H652" s="8"/>
      <c r="I652" s="8"/>
      <c r="J652" s="8"/>
      <c r="K652" s="8"/>
      <c r="L652" s="8"/>
      <c r="M652" s="8"/>
      <c r="N652" s="8"/>
      <c r="O652" s="8"/>
      <c r="P652" s="8"/>
      <c r="Q652" s="8"/>
      <c r="R652" s="8"/>
      <c r="S652" s="8"/>
      <c r="T652" s="8"/>
      <c r="U652" s="8"/>
      <c r="V652" s="8"/>
    </row>
    <row r="653">
      <c r="A653" s="8"/>
      <c r="B653" s="11"/>
      <c r="C653" s="8"/>
      <c r="D653" s="8"/>
      <c r="E653" s="8"/>
      <c r="F653" s="8"/>
      <c r="G653" s="10"/>
      <c r="H653" s="8"/>
      <c r="I653" s="8"/>
      <c r="J653" s="8"/>
      <c r="K653" s="8"/>
      <c r="L653" s="8"/>
      <c r="M653" s="8"/>
      <c r="N653" s="8"/>
      <c r="O653" s="8"/>
      <c r="P653" s="8"/>
      <c r="Q653" s="8"/>
      <c r="R653" s="8"/>
      <c r="S653" s="8"/>
      <c r="T653" s="8"/>
      <c r="U653" s="8"/>
      <c r="V653" s="8"/>
    </row>
    <row r="654">
      <c r="A654" s="8"/>
      <c r="B654" s="11"/>
      <c r="C654" s="8"/>
      <c r="D654" s="8"/>
      <c r="E654" s="8"/>
      <c r="F654" s="8"/>
      <c r="G654" s="10"/>
      <c r="H654" s="8"/>
      <c r="I654" s="8"/>
      <c r="J654" s="8"/>
      <c r="K654" s="8"/>
      <c r="L654" s="8"/>
      <c r="M654" s="8"/>
      <c r="N654" s="8"/>
      <c r="O654" s="8"/>
      <c r="P654" s="8"/>
      <c r="Q654" s="8"/>
      <c r="R654" s="8"/>
      <c r="S654" s="8"/>
      <c r="T654" s="8"/>
      <c r="U654" s="8"/>
      <c r="V654" s="8"/>
    </row>
    <row r="655">
      <c r="A655" s="8"/>
      <c r="B655" s="11"/>
      <c r="C655" s="8"/>
      <c r="D655" s="8"/>
      <c r="E655" s="8"/>
      <c r="F655" s="8"/>
      <c r="G655" s="10"/>
      <c r="H655" s="8"/>
      <c r="I655" s="8"/>
      <c r="J655" s="8"/>
      <c r="K655" s="8"/>
      <c r="L655" s="8"/>
      <c r="M655" s="8"/>
      <c r="N655" s="8"/>
      <c r="O655" s="8"/>
      <c r="P655" s="8"/>
      <c r="Q655" s="8"/>
      <c r="R655" s="8"/>
      <c r="S655" s="8"/>
      <c r="T655" s="8"/>
      <c r="U655" s="8"/>
      <c r="V655" s="8"/>
    </row>
    <row r="656">
      <c r="A656" s="8"/>
      <c r="B656" s="11"/>
      <c r="C656" s="8"/>
      <c r="D656" s="8"/>
      <c r="E656" s="8"/>
      <c r="F656" s="8"/>
      <c r="G656" s="10"/>
      <c r="H656" s="8"/>
      <c r="I656" s="8"/>
      <c r="J656" s="8"/>
      <c r="K656" s="8"/>
      <c r="L656" s="8"/>
      <c r="M656" s="8"/>
      <c r="N656" s="8"/>
      <c r="O656" s="8"/>
      <c r="P656" s="8"/>
      <c r="Q656" s="8"/>
      <c r="R656" s="8"/>
      <c r="S656" s="8"/>
      <c r="T656" s="8"/>
      <c r="U656" s="8"/>
      <c r="V656" s="8"/>
    </row>
    <row r="657">
      <c r="A657" s="8"/>
      <c r="B657" s="11"/>
      <c r="C657" s="8"/>
      <c r="D657" s="8"/>
      <c r="E657" s="8"/>
      <c r="F657" s="8"/>
      <c r="G657" s="10"/>
      <c r="H657" s="8"/>
      <c r="I657" s="8"/>
      <c r="J657" s="8"/>
      <c r="K657" s="8"/>
      <c r="L657" s="8"/>
      <c r="M657" s="8"/>
      <c r="N657" s="8"/>
      <c r="O657" s="8"/>
      <c r="P657" s="8"/>
      <c r="Q657" s="8"/>
      <c r="R657" s="8"/>
      <c r="S657" s="8"/>
      <c r="T657" s="8"/>
      <c r="U657" s="8"/>
      <c r="V657" s="8"/>
    </row>
    <row r="658">
      <c r="A658" s="8"/>
      <c r="B658" s="11"/>
      <c r="C658" s="8"/>
      <c r="D658" s="8"/>
      <c r="E658" s="8"/>
      <c r="F658" s="8"/>
      <c r="G658" s="10"/>
      <c r="H658" s="8"/>
      <c r="I658" s="8"/>
      <c r="J658" s="8"/>
      <c r="K658" s="8"/>
      <c r="L658" s="8"/>
      <c r="M658" s="8"/>
      <c r="N658" s="8"/>
      <c r="O658" s="8"/>
      <c r="P658" s="8"/>
      <c r="Q658" s="8"/>
      <c r="R658" s="8"/>
      <c r="S658" s="8"/>
      <c r="T658" s="8"/>
      <c r="U658" s="8"/>
      <c r="V658" s="8"/>
    </row>
    <row r="659">
      <c r="A659" s="8"/>
      <c r="B659" s="11"/>
      <c r="C659" s="8"/>
      <c r="D659" s="8"/>
      <c r="E659" s="8"/>
      <c r="F659" s="8"/>
      <c r="G659" s="10"/>
      <c r="H659" s="8"/>
      <c r="I659" s="8"/>
      <c r="J659" s="8"/>
      <c r="K659" s="8"/>
      <c r="L659" s="8"/>
      <c r="M659" s="8"/>
      <c r="N659" s="8"/>
      <c r="O659" s="8"/>
      <c r="P659" s="8"/>
      <c r="Q659" s="8"/>
      <c r="R659" s="8"/>
      <c r="S659" s="8"/>
      <c r="T659" s="8"/>
      <c r="U659" s="8"/>
      <c r="V659" s="8"/>
    </row>
    <row r="660">
      <c r="A660" s="8"/>
      <c r="B660" s="11"/>
      <c r="C660" s="8"/>
      <c r="D660" s="8"/>
      <c r="E660" s="8"/>
      <c r="F660" s="8"/>
      <c r="G660" s="10"/>
      <c r="H660" s="8"/>
      <c r="I660" s="8"/>
      <c r="J660" s="8"/>
      <c r="K660" s="8"/>
      <c r="L660" s="8"/>
      <c r="M660" s="8"/>
      <c r="N660" s="8"/>
      <c r="O660" s="8"/>
      <c r="P660" s="8"/>
      <c r="Q660" s="8"/>
      <c r="R660" s="8"/>
      <c r="S660" s="8"/>
      <c r="T660" s="8"/>
      <c r="U660" s="8"/>
      <c r="V660" s="8"/>
    </row>
    <row r="661">
      <c r="A661" s="8"/>
      <c r="B661" s="11"/>
      <c r="C661" s="8"/>
      <c r="D661" s="8"/>
      <c r="E661" s="8"/>
      <c r="F661" s="8"/>
      <c r="G661" s="10"/>
      <c r="H661" s="8"/>
      <c r="I661" s="8"/>
      <c r="J661" s="8"/>
      <c r="K661" s="8"/>
      <c r="L661" s="8"/>
      <c r="M661" s="8"/>
      <c r="N661" s="8"/>
      <c r="O661" s="8"/>
      <c r="P661" s="8"/>
      <c r="Q661" s="8"/>
      <c r="R661" s="8"/>
      <c r="S661" s="8"/>
      <c r="T661" s="8"/>
      <c r="U661" s="8"/>
      <c r="V661" s="8"/>
    </row>
    <row r="662">
      <c r="A662" s="8"/>
      <c r="B662" s="11"/>
      <c r="C662" s="8"/>
      <c r="D662" s="8"/>
      <c r="E662" s="8"/>
      <c r="F662" s="8"/>
      <c r="G662" s="10"/>
      <c r="H662" s="8"/>
      <c r="I662" s="8"/>
      <c r="J662" s="8"/>
      <c r="K662" s="8"/>
      <c r="L662" s="8"/>
      <c r="M662" s="8"/>
      <c r="N662" s="8"/>
      <c r="O662" s="8"/>
      <c r="P662" s="8"/>
      <c r="Q662" s="8"/>
      <c r="R662" s="8"/>
      <c r="S662" s="8"/>
      <c r="T662" s="8"/>
      <c r="U662" s="8"/>
      <c r="V662" s="8"/>
    </row>
    <row r="663">
      <c r="A663" s="8"/>
      <c r="B663" s="11"/>
      <c r="C663" s="8"/>
      <c r="D663" s="8"/>
      <c r="E663" s="8"/>
      <c r="F663" s="8"/>
      <c r="G663" s="10"/>
      <c r="H663" s="8"/>
      <c r="I663" s="8"/>
      <c r="J663" s="8"/>
      <c r="K663" s="8"/>
      <c r="L663" s="8"/>
      <c r="M663" s="8"/>
      <c r="N663" s="8"/>
      <c r="O663" s="8"/>
      <c r="P663" s="8"/>
      <c r="Q663" s="8"/>
      <c r="R663" s="8"/>
      <c r="S663" s="8"/>
      <c r="T663" s="8"/>
      <c r="U663" s="8"/>
      <c r="V663" s="8"/>
    </row>
    <row r="664">
      <c r="A664" s="8"/>
      <c r="B664" s="11"/>
      <c r="C664" s="8"/>
      <c r="D664" s="8"/>
      <c r="E664" s="8"/>
      <c r="F664" s="8"/>
      <c r="G664" s="10"/>
      <c r="H664" s="8"/>
      <c r="I664" s="8"/>
      <c r="J664" s="8"/>
      <c r="K664" s="8"/>
      <c r="L664" s="8"/>
      <c r="M664" s="8"/>
      <c r="N664" s="8"/>
      <c r="O664" s="8"/>
      <c r="P664" s="8"/>
      <c r="Q664" s="8"/>
      <c r="R664" s="8"/>
      <c r="S664" s="8"/>
      <c r="T664" s="8"/>
      <c r="U664" s="8"/>
      <c r="V664" s="8"/>
    </row>
    <row r="665">
      <c r="A665" s="8"/>
      <c r="B665" s="11"/>
      <c r="C665" s="8"/>
      <c r="D665" s="8"/>
      <c r="E665" s="8"/>
      <c r="F665" s="8"/>
      <c r="G665" s="10"/>
      <c r="H665" s="8"/>
      <c r="I665" s="8"/>
      <c r="J665" s="8"/>
      <c r="K665" s="8"/>
      <c r="L665" s="8"/>
      <c r="M665" s="8"/>
      <c r="N665" s="8"/>
      <c r="O665" s="8"/>
      <c r="P665" s="8"/>
      <c r="Q665" s="8"/>
      <c r="R665" s="8"/>
      <c r="S665" s="8"/>
      <c r="T665" s="8"/>
      <c r="U665" s="8"/>
      <c r="V665" s="8"/>
    </row>
    <row r="666">
      <c r="A666" s="8"/>
      <c r="B666" s="11"/>
      <c r="C666" s="8"/>
      <c r="D666" s="8"/>
      <c r="E666" s="8"/>
      <c r="F666" s="8"/>
      <c r="G666" s="10"/>
      <c r="H666" s="8"/>
      <c r="I666" s="8"/>
      <c r="J666" s="8"/>
      <c r="K666" s="8"/>
      <c r="L666" s="8"/>
      <c r="M666" s="8"/>
      <c r="N666" s="8"/>
      <c r="O666" s="8"/>
      <c r="P666" s="8"/>
      <c r="Q666" s="8"/>
      <c r="R666" s="8"/>
      <c r="S666" s="8"/>
      <c r="T666" s="8"/>
      <c r="U666" s="8"/>
      <c r="V666" s="8"/>
    </row>
    <row r="667">
      <c r="A667" s="8"/>
      <c r="B667" s="11"/>
      <c r="C667" s="8"/>
      <c r="D667" s="8"/>
      <c r="E667" s="8"/>
      <c r="F667" s="8"/>
      <c r="G667" s="10"/>
      <c r="H667" s="8"/>
      <c r="I667" s="8"/>
      <c r="J667" s="8"/>
      <c r="K667" s="8"/>
      <c r="L667" s="8"/>
      <c r="M667" s="8"/>
      <c r="N667" s="8"/>
      <c r="O667" s="8"/>
      <c r="P667" s="8"/>
      <c r="Q667" s="8"/>
      <c r="R667" s="8"/>
      <c r="S667" s="8"/>
      <c r="T667" s="8"/>
      <c r="U667" s="8"/>
      <c r="V667" s="8"/>
    </row>
    <row r="668">
      <c r="A668" s="8"/>
      <c r="B668" s="11"/>
      <c r="C668" s="8"/>
      <c r="D668" s="8"/>
      <c r="E668" s="8"/>
      <c r="F668" s="8"/>
      <c r="G668" s="10"/>
      <c r="H668" s="8"/>
      <c r="I668" s="8"/>
      <c r="J668" s="8"/>
      <c r="K668" s="8"/>
      <c r="L668" s="8"/>
      <c r="M668" s="8"/>
      <c r="N668" s="8"/>
      <c r="O668" s="8"/>
      <c r="P668" s="8"/>
      <c r="Q668" s="8"/>
      <c r="R668" s="8"/>
      <c r="S668" s="8"/>
      <c r="T668" s="8"/>
      <c r="U668" s="8"/>
      <c r="V668" s="8"/>
    </row>
    <row r="669">
      <c r="A669" s="8"/>
      <c r="B669" s="11"/>
      <c r="C669" s="8"/>
      <c r="D669" s="8"/>
      <c r="E669" s="8"/>
      <c r="F669" s="8"/>
      <c r="G669" s="10"/>
      <c r="H669" s="8"/>
      <c r="I669" s="8"/>
      <c r="J669" s="8"/>
      <c r="K669" s="8"/>
      <c r="L669" s="8"/>
      <c r="M669" s="8"/>
      <c r="N669" s="8"/>
      <c r="O669" s="8"/>
      <c r="P669" s="8"/>
      <c r="Q669" s="8"/>
      <c r="R669" s="8"/>
      <c r="S669" s="8"/>
      <c r="T669" s="8"/>
      <c r="U669" s="8"/>
      <c r="V669" s="8"/>
    </row>
    <row r="670">
      <c r="A670" s="8"/>
      <c r="B670" s="11"/>
      <c r="C670" s="8"/>
      <c r="D670" s="8"/>
      <c r="E670" s="8"/>
      <c r="F670" s="8"/>
      <c r="G670" s="10"/>
      <c r="H670" s="8"/>
      <c r="I670" s="8"/>
      <c r="J670" s="8"/>
      <c r="K670" s="8"/>
      <c r="L670" s="8"/>
      <c r="M670" s="8"/>
      <c r="N670" s="8"/>
      <c r="O670" s="8"/>
      <c r="P670" s="8"/>
      <c r="Q670" s="8"/>
      <c r="R670" s="8"/>
      <c r="S670" s="8"/>
      <c r="T670" s="8"/>
      <c r="U670" s="8"/>
      <c r="V670" s="8"/>
    </row>
    <row r="671">
      <c r="A671" s="8"/>
      <c r="B671" s="11"/>
      <c r="C671" s="8"/>
      <c r="D671" s="8"/>
      <c r="E671" s="8"/>
      <c r="F671" s="8"/>
      <c r="G671" s="10"/>
      <c r="H671" s="8"/>
      <c r="I671" s="8"/>
      <c r="J671" s="8"/>
      <c r="K671" s="8"/>
      <c r="L671" s="8"/>
      <c r="M671" s="8"/>
      <c r="N671" s="8"/>
      <c r="O671" s="8"/>
      <c r="P671" s="8"/>
      <c r="Q671" s="8"/>
      <c r="R671" s="8"/>
      <c r="S671" s="8"/>
      <c r="T671" s="8"/>
      <c r="U671" s="8"/>
      <c r="V671" s="8"/>
    </row>
    <row r="672">
      <c r="A672" s="8"/>
      <c r="B672" s="11"/>
      <c r="C672" s="8"/>
      <c r="D672" s="8"/>
      <c r="E672" s="8"/>
      <c r="F672" s="8"/>
      <c r="G672" s="10"/>
      <c r="H672" s="8"/>
      <c r="I672" s="8"/>
      <c r="J672" s="8"/>
      <c r="K672" s="8"/>
      <c r="L672" s="8"/>
      <c r="M672" s="8"/>
      <c r="N672" s="8"/>
      <c r="O672" s="8"/>
      <c r="P672" s="8"/>
      <c r="Q672" s="8"/>
      <c r="R672" s="8"/>
      <c r="S672" s="8"/>
      <c r="T672" s="8"/>
      <c r="U672" s="8"/>
      <c r="V672" s="8"/>
    </row>
    <row r="673">
      <c r="A673" s="8"/>
      <c r="B673" s="11"/>
      <c r="C673" s="8"/>
      <c r="D673" s="8"/>
      <c r="E673" s="8"/>
      <c r="F673" s="8"/>
      <c r="G673" s="10"/>
      <c r="H673" s="8"/>
      <c r="I673" s="8"/>
      <c r="J673" s="8"/>
      <c r="K673" s="8"/>
      <c r="L673" s="8"/>
      <c r="M673" s="8"/>
      <c r="N673" s="8"/>
      <c r="O673" s="8"/>
      <c r="P673" s="8"/>
      <c r="Q673" s="8"/>
      <c r="R673" s="8"/>
      <c r="S673" s="8"/>
      <c r="T673" s="8"/>
      <c r="U673" s="8"/>
      <c r="V673" s="8"/>
    </row>
    <row r="674">
      <c r="A674" s="8"/>
      <c r="B674" s="11"/>
      <c r="C674" s="8"/>
      <c r="D674" s="8"/>
      <c r="E674" s="8"/>
      <c r="F674" s="8"/>
      <c r="G674" s="10"/>
      <c r="H674" s="8"/>
      <c r="I674" s="8"/>
      <c r="J674" s="8"/>
      <c r="K674" s="8"/>
      <c r="L674" s="8"/>
      <c r="M674" s="8"/>
      <c r="N674" s="8"/>
      <c r="O674" s="8"/>
      <c r="P674" s="8"/>
      <c r="Q674" s="8"/>
      <c r="R674" s="8"/>
      <c r="S674" s="8"/>
      <c r="T674" s="8"/>
      <c r="U674" s="8"/>
      <c r="V674" s="8"/>
    </row>
    <row r="675">
      <c r="A675" s="8"/>
      <c r="B675" s="11"/>
      <c r="C675" s="8"/>
      <c r="D675" s="8"/>
      <c r="E675" s="8"/>
      <c r="F675" s="8"/>
      <c r="G675" s="10"/>
      <c r="H675" s="8"/>
      <c r="I675" s="8"/>
      <c r="J675" s="8"/>
      <c r="K675" s="8"/>
      <c r="L675" s="8"/>
      <c r="M675" s="8"/>
      <c r="N675" s="8"/>
      <c r="O675" s="8"/>
      <c r="P675" s="8"/>
      <c r="Q675" s="8"/>
      <c r="R675" s="8"/>
      <c r="S675" s="8"/>
      <c r="T675" s="8"/>
      <c r="U675" s="8"/>
      <c r="V675" s="8"/>
    </row>
    <row r="676">
      <c r="A676" s="8"/>
      <c r="B676" s="11"/>
      <c r="C676" s="8"/>
      <c r="D676" s="8"/>
      <c r="E676" s="8"/>
      <c r="F676" s="8"/>
      <c r="G676" s="10"/>
      <c r="H676" s="8"/>
      <c r="I676" s="8"/>
      <c r="J676" s="8"/>
      <c r="K676" s="8"/>
      <c r="L676" s="8"/>
      <c r="M676" s="8"/>
      <c r="N676" s="8"/>
      <c r="O676" s="8"/>
      <c r="P676" s="8"/>
      <c r="Q676" s="8"/>
      <c r="R676" s="8"/>
      <c r="S676" s="8"/>
      <c r="T676" s="8"/>
      <c r="U676" s="8"/>
      <c r="V676" s="8"/>
    </row>
    <row r="677">
      <c r="A677" s="8"/>
      <c r="B677" s="11"/>
      <c r="C677" s="8"/>
      <c r="D677" s="8"/>
      <c r="E677" s="8"/>
      <c r="F677" s="8"/>
      <c r="G677" s="10"/>
      <c r="H677" s="8"/>
      <c r="I677" s="8"/>
      <c r="J677" s="8"/>
      <c r="K677" s="8"/>
      <c r="L677" s="8"/>
      <c r="M677" s="8"/>
      <c r="N677" s="8"/>
      <c r="O677" s="8"/>
      <c r="P677" s="8"/>
      <c r="Q677" s="8"/>
      <c r="R677" s="8"/>
      <c r="S677" s="8"/>
      <c r="T677" s="8"/>
      <c r="U677" s="8"/>
      <c r="V677" s="8"/>
    </row>
    <row r="678">
      <c r="A678" s="8"/>
      <c r="B678" s="11"/>
      <c r="C678" s="8"/>
      <c r="D678" s="8"/>
      <c r="E678" s="8"/>
      <c r="F678" s="8"/>
      <c r="G678" s="10"/>
      <c r="H678" s="8"/>
      <c r="I678" s="8"/>
      <c r="J678" s="8"/>
      <c r="K678" s="8"/>
      <c r="L678" s="8"/>
      <c r="M678" s="8"/>
      <c r="N678" s="8"/>
      <c r="O678" s="8"/>
      <c r="P678" s="8"/>
      <c r="Q678" s="8"/>
      <c r="R678" s="8"/>
      <c r="S678" s="8"/>
      <c r="T678" s="8"/>
      <c r="U678" s="8"/>
      <c r="V678" s="8"/>
    </row>
    <row r="679">
      <c r="A679" s="8"/>
      <c r="B679" s="11"/>
      <c r="C679" s="8"/>
      <c r="D679" s="8"/>
      <c r="E679" s="8"/>
      <c r="F679" s="8"/>
      <c r="G679" s="10"/>
      <c r="H679" s="8"/>
      <c r="I679" s="8"/>
      <c r="J679" s="8"/>
      <c r="K679" s="8"/>
      <c r="L679" s="8"/>
      <c r="M679" s="8"/>
      <c r="N679" s="8"/>
      <c r="O679" s="8"/>
      <c r="P679" s="8"/>
      <c r="Q679" s="8"/>
      <c r="R679" s="8"/>
      <c r="S679" s="8"/>
      <c r="T679" s="8"/>
      <c r="U679" s="8"/>
      <c r="V679" s="8"/>
    </row>
    <row r="680">
      <c r="A680" s="8"/>
      <c r="B680" s="11"/>
      <c r="C680" s="8"/>
      <c r="D680" s="8"/>
      <c r="E680" s="8"/>
      <c r="F680" s="8"/>
      <c r="G680" s="10"/>
      <c r="H680" s="8"/>
      <c r="I680" s="8"/>
      <c r="J680" s="8"/>
      <c r="K680" s="8"/>
      <c r="L680" s="8"/>
      <c r="M680" s="8"/>
      <c r="N680" s="8"/>
      <c r="O680" s="8"/>
      <c r="P680" s="8"/>
      <c r="Q680" s="8"/>
      <c r="R680" s="8"/>
      <c r="S680" s="8"/>
      <c r="T680" s="8"/>
      <c r="U680" s="8"/>
      <c r="V680" s="8"/>
    </row>
    <row r="681">
      <c r="A681" s="8"/>
      <c r="B681" s="11"/>
      <c r="C681" s="8"/>
      <c r="D681" s="8"/>
      <c r="E681" s="8"/>
      <c r="F681" s="8"/>
      <c r="G681" s="10"/>
      <c r="H681" s="8"/>
      <c r="I681" s="8"/>
      <c r="J681" s="8"/>
      <c r="K681" s="8"/>
      <c r="L681" s="8"/>
      <c r="M681" s="8"/>
      <c r="N681" s="8"/>
      <c r="O681" s="8"/>
      <c r="P681" s="8"/>
      <c r="Q681" s="8"/>
      <c r="R681" s="8"/>
      <c r="S681" s="8"/>
      <c r="T681" s="8"/>
      <c r="U681" s="8"/>
      <c r="V681" s="8"/>
    </row>
    <row r="682">
      <c r="A682" s="8"/>
      <c r="B682" s="11"/>
      <c r="C682" s="8"/>
      <c r="D682" s="8"/>
      <c r="E682" s="8"/>
      <c r="F682" s="8"/>
      <c r="G682" s="10"/>
      <c r="H682" s="8"/>
      <c r="I682" s="8"/>
      <c r="J682" s="8"/>
      <c r="K682" s="8"/>
      <c r="L682" s="8"/>
      <c r="M682" s="8"/>
      <c r="N682" s="8"/>
      <c r="O682" s="8"/>
      <c r="P682" s="8"/>
      <c r="Q682" s="8"/>
      <c r="R682" s="8"/>
      <c r="S682" s="8"/>
      <c r="T682" s="8"/>
      <c r="U682" s="8"/>
      <c r="V682" s="8"/>
    </row>
    <row r="683">
      <c r="A683" s="8"/>
      <c r="B683" s="11"/>
      <c r="C683" s="8"/>
      <c r="D683" s="8"/>
      <c r="E683" s="8"/>
      <c r="F683" s="8"/>
      <c r="G683" s="10"/>
      <c r="H683" s="8"/>
      <c r="I683" s="8"/>
      <c r="J683" s="8"/>
      <c r="K683" s="8"/>
      <c r="L683" s="8"/>
      <c r="M683" s="8"/>
      <c r="N683" s="8"/>
      <c r="O683" s="8"/>
      <c r="P683" s="8"/>
      <c r="Q683" s="8"/>
      <c r="R683" s="8"/>
      <c r="S683" s="8"/>
      <c r="T683" s="8"/>
      <c r="U683" s="8"/>
      <c r="V683" s="8"/>
    </row>
    <row r="684">
      <c r="A684" s="8"/>
      <c r="B684" s="11"/>
      <c r="C684" s="8"/>
      <c r="D684" s="8"/>
      <c r="E684" s="8"/>
      <c r="F684" s="8"/>
      <c r="G684" s="10"/>
      <c r="H684" s="8"/>
      <c r="I684" s="8"/>
      <c r="J684" s="8"/>
      <c r="K684" s="8"/>
      <c r="L684" s="8"/>
      <c r="M684" s="8"/>
      <c r="N684" s="8"/>
      <c r="O684" s="8"/>
      <c r="P684" s="8"/>
      <c r="Q684" s="8"/>
      <c r="R684" s="8"/>
      <c r="S684" s="8"/>
      <c r="T684" s="8"/>
      <c r="U684" s="8"/>
      <c r="V684" s="8"/>
    </row>
    <row r="685">
      <c r="A685" s="8"/>
      <c r="B685" s="11"/>
      <c r="C685" s="8"/>
      <c r="D685" s="8"/>
      <c r="E685" s="8"/>
      <c r="F685" s="8"/>
      <c r="G685" s="10"/>
      <c r="H685" s="8"/>
      <c r="I685" s="8"/>
      <c r="J685" s="8"/>
      <c r="K685" s="8"/>
      <c r="L685" s="8"/>
      <c r="M685" s="8"/>
      <c r="N685" s="8"/>
      <c r="O685" s="8"/>
      <c r="P685" s="8"/>
      <c r="Q685" s="8"/>
      <c r="R685" s="8"/>
      <c r="S685" s="8"/>
      <c r="T685" s="8"/>
      <c r="U685" s="8"/>
      <c r="V685" s="8"/>
    </row>
    <row r="686">
      <c r="A686" s="8"/>
      <c r="B686" s="11"/>
      <c r="C686" s="8"/>
      <c r="D686" s="8"/>
      <c r="E686" s="8"/>
      <c r="F686" s="8"/>
      <c r="G686" s="10"/>
      <c r="H686" s="8"/>
      <c r="I686" s="8"/>
      <c r="J686" s="8"/>
      <c r="K686" s="8"/>
      <c r="L686" s="8"/>
      <c r="M686" s="8"/>
      <c r="N686" s="8"/>
      <c r="O686" s="8"/>
      <c r="P686" s="8"/>
      <c r="Q686" s="8"/>
      <c r="R686" s="8"/>
      <c r="S686" s="8"/>
      <c r="T686" s="8"/>
      <c r="U686" s="8"/>
      <c r="V686" s="8"/>
    </row>
    <row r="687">
      <c r="A687" s="8"/>
      <c r="B687" s="11"/>
      <c r="C687" s="8"/>
      <c r="D687" s="8"/>
      <c r="E687" s="8"/>
      <c r="F687" s="8"/>
      <c r="G687" s="10"/>
      <c r="H687" s="8"/>
      <c r="I687" s="8"/>
      <c r="J687" s="8"/>
      <c r="K687" s="8"/>
      <c r="L687" s="8"/>
      <c r="M687" s="8"/>
      <c r="N687" s="8"/>
      <c r="O687" s="8"/>
      <c r="P687" s="8"/>
      <c r="Q687" s="8"/>
      <c r="R687" s="8"/>
      <c r="S687" s="8"/>
      <c r="T687" s="8"/>
      <c r="U687" s="8"/>
      <c r="V687" s="8"/>
    </row>
    <row r="688">
      <c r="A688" s="8"/>
      <c r="B688" s="11"/>
      <c r="C688" s="8"/>
      <c r="D688" s="8"/>
      <c r="E688" s="8"/>
      <c r="F688" s="8"/>
      <c r="G688" s="10"/>
      <c r="H688" s="8"/>
      <c r="I688" s="8"/>
      <c r="J688" s="8"/>
      <c r="K688" s="8"/>
      <c r="L688" s="8"/>
      <c r="M688" s="8"/>
      <c r="N688" s="8"/>
      <c r="O688" s="8"/>
      <c r="P688" s="8"/>
      <c r="Q688" s="8"/>
      <c r="R688" s="8"/>
      <c r="S688" s="8"/>
      <c r="T688" s="8"/>
      <c r="U688" s="8"/>
      <c r="V688" s="8"/>
    </row>
    <row r="689">
      <c r="A689" s="8"/>
      <c r="B689" s="11"/>
      <c r="C689" s="8"/>
      <c r="D689" s="8"/>
      <c r="E689" s="8"/>
      <c r="F689" s="8"/>
      <c r="G689" s="10"/>
      <c r="H689" s="8"/>
      <c r="I689" s="8"/>
      <c r="J689" s="8"/>
      <c r="K689" s="8"/>
      <c r="L689" s="8"/>
      <c r="M689" s="8"/>
      <c r="N689" s="8"/>
      <c r="O689" s="8"/>
      <c r="P689" s="8"/>
      <c r="Q689" s="8"/>
      <c r="R689" s="8"/>
      <c r="S689" s="8"/>
      <c r="T689" s="8"/>
      <c r="U689" s="8"/>
      <c r="V689" s="8"/>
    </row>
    <row r="690">
      <c r="A690" s="8"/>
      <c r="B690" s="11"/>
      <c r="C690" s="8"/>
      <c r="D690" s="8"/>
      <c r="E690" s="8"/>
      <c r="F690" s="8"/>
      <c r="G690" s="10"/>
      <c r="H690" s="8"/>
      <c r="I690" s="8"/>
      <c r="J690" s="8"/>
      <c r="K690" s="8"/>
      <c r="L690" s="8"/>
      <c r="M690" s="8"/>
      <c r="N690" s="8"/>
      <c r="O690" s="8"/>
      <c r="P690" s="8"/>
      <c r="Q690" s="8"/>
      <c r="R690" s="8"/>
      <c r="S690" s="8"/>
      <c r="T690" s="8"/>
      <c r="U690" s="8"/>
      <c r="V690" s="8"/>
    </row>
    <row r="691">
      <c r="A691" s="8"/>
      <c r="B691" s="11"/>
      <c r="C691" s="8"/>
      <c r="D691" s="8"/>
      <c r="E691" s="8"/>
      <c r="F691" s="8"/>
      <c r="G691" s="10"/>
      <c r="H691" s="8"/>
      <c r="I691" s="8"/>
      <c r="J691" s="8"/>
      <c r="K691" s="8"/>
      <c r="L691" s="8"/>
      <c r="M691" s="8"/>
      <c r="N691" s="8"/>
      <c r="O691" s="8"/>
      <c r="P691" s="8"/>
      <c r="Q691" s="8"/>
      <c r="R691" s="8"/>
      <c r="S691" s="8"/>
      <c r="T691" s="8"/>
      <c r="U691" s="8"/>
      <c r="V691" s="8"/>
    </row>
    <row r="692">
      <c r="A692" s="8"/>
      <c r="B692" s="11"/>
      <c r="C692" s="8"/>
      <c r="D692" s="8"/>
      <c r="E692" s="8"/>
      <c r="F692" s="8"/>
      <c r="G692" s="10"/>
      <c r="H692" s="8"/>
      <c r="I692" s="8"/>
      <c r="J692" s="8"/>
      <c r="K692" s="8"/>
      <c r="L692" s="8"/>
      <c r="M692" s="8"/>
      <c r="N692" s="8"/>
      <c r="O692" s="8"/>
      <c r="P692" s="8"/>
      <c r="Q692" s="8"/>
      <c r="R692" s="8"/>
      <c r="S692" s="8"/>
      <c r="T692" s="8"/>
      <c r="U692" s="8"/>
      <c r="V692" s="8"/>
    </row>
    <row r="693">
      <c r="A693" s="8"/>
      <c r="B693" s="11"/>
      <c r="C693" s="8"/>
      <c r="D693" s="8"/>
      <c r="E693" s="8"/>
      <c r="F693" s="8"/>
      <c r="G693" s="10"/>
      <c r="H693" s="8"/>
      <c r="I693" s="8"/>
      <c r="J693" s="8"/>
      <c r="K693" s="8"/>
      <c r="L693" s="8"/>
      <c r="M693" s="8"/>
      <c r="N693" s="8"/>
      <c r="O693" s="8"/>
      <c r="P693" s="8"/>
      <c r="Q693" s="8"/>
      <c r="R693" s="8"/>
      <c r="S693" s="8"/>
      <c r="T693" s="8"/>
      <c r="U693" s="8"/>
      <c r="V693" s="8"/>
    </row>
    <row r="694">
      <c r="A694" s="8"/>
      <c r="B694" s="11"/>
      <c r="C694" s="8"/>
      <c r="D694" s="8"/>
      <c r="E694" s="8"/>
      <c r="F694" s="8"/>
      <c r="G694" s="10"/>
      <c r="H694" s="8"/>
      <c r="I694" s="8"/>
      <c r="J694" s="8"/>
      <c r="K694" s="8"/>
      <c r="L694" s="8"/>
      <c r="M694" s="8"/>
      <c r="N694" s="8"/>
      <c r="O694" s="8"/>
      <c r="P694" s="8"/>
      <c r="Q694" s="8"/>
      <c r="R694" s="8"/>
      <c r="S694" s="8"/>
      <c r="T694" s="8"/>
      <c r="U694" s="8"/>
      <c r="V694" s="8"/>
    </row>
    <row r="695">
      <c r="A695" s="8"/>
      <c r="B695" s="11"/>
      <c r="C695" s="8"/>
      <c r="D695" s="8"/>
      <c r="E695" s="8"/>
      <c r="F695" s="8"/>
      <c r="G695" s="10"/>
      <c r="H695" s="8"/>
      <c r="I695" s="8"/>
      <c r="J695" s="8"/>
      <c r="K695" s="8"/>
      <c r="L695" s="8"/>
      <c r="M695" s="8"/>
      <c r="N695" s="8"/>
      <c r="O695" s="8"/>
      <c r="P695" s="8"/>
      <c r="Q695" s="8"/>
      <c r="R695" s="8"/>
      <c r="S695" s="8"/>
      <c r="T695" s="8"/>
      <c r="U695" s="8"/>
      <c r="V695" s="8"/>
    </row>
    <row r="696">
      <c r="A696" s="8"/>
      <c r="B696" s="11"/>
      <c r="C696" s="8"/>
      <c r="D696" s="8"/>
      <c r="E696" s="8"/>
      <c r="F696" s="8"/>
      <c r="G696" s="10"/>
      <c r="H696" s="8"/>
      <c r="I696" s="8"/>
      <c r="J696" s="8"/>
      <c r="K696" s="8"/>
      <c r="L696" s="8"/>
      <c r="M696" s="8"/>
      <c r="N696" s="8"/>
      <c r="O696" s="8"/>
      <c r="P696" s="8"/>
      <c r="Q696" s="8"/>
      <c r="R696" s="8"/>
      <c r="S696" s="8"/>
      <c r="T696" s="8"/>
      <c r="U696" s="8"/>
      <c r="V696" s="8"/>
    </row>
    <row r="697">
      <c r="A697" s="8"/>
      <c r="B697" s="11"/>
      <c r="C697" s="8"/>
      <c r="D697" s="8"/>
      <c r="E697" s="8"/>
      <c r="F697" s="8"/>
      <c r="G697" s="10"/>
      <c r="H697" s="8"/>
      <c r="I697" s="8"/>
      <c r="J697" s="8"/>
      <c r="K697" s="8"/>
      <c r="L697" s="8"/>
      <c r="M697" s="8"/>
      <c r="N697" s="8"/>
      <c r="O697" s="8"/>
      <c r="P697" s="8"/>
      <c r="Q697" s="8"/>
      <c r="R697" s="8"/>
      <c r="S697" s="8"/>
      <c r="T697" s="8"/>
      <c r="U697" s="8"/>
      <c r="V697" s="8"/>
    </row>
    <row r="698">
      <c r="A698" s="8"/>
      <c r="B698" s="11"/>
      <c r="C698" s="8"/>
      <c r="D698" s="8"/>
      <c r="E698" s="8"/>
      <c r="F698" s="8"/>
      <c r="G698" s="10"/>
      <c r="H698" s="8"/>
      <c r="I698" s="8"/>
      <c r="J698" s="8"/>
      <c r="K698" s="8"/>
      <c r="L698" s="8"/>
      <c r="M698" s="8"/>
      <c r="N698" s="8"/>
      <c r="O698" s="8"/>
      <c r="P698" s="8"/>
      <c r="Q698" s="8"/>
      <c r="R698" s="8"/>
      <c r="S698" s="8"/>
      <c r="T698" s="8"/>
      <c r="U698" s="8"/>
      <c r="V698" s="8"/>
    </row>
    <row r="699">
      <c r="A699" s="8"/>
      <c r="B699" s="11"/>
      <c r="C699" s="8"/>
      <c r="D699" s="8"/>
      <c r="E699" s="8"/>
      <c r="F699" s="8"/>
      <c r="G699" s="10"/>
      <c r="H699" s="8"/>
      <c r="I699" s="8"/>
      <c r="J699" s="8"/>
      <c r="K699" s="8"/>
      <c r="L699" s="8"/>
      <c r="M699" s="8"/>
      <c r="N699" s="8"/>
      <c r="O699" s="8"/>
      <c r="P699" s="8"/>
      <c r="Q699" s="8"/>
      <c r="R699" s="8"/>
      <c r="S699" s="8"/>
      <c r="T699" s="8"/>
      <c r="U699" s="8"/>
      <c r="V699" s="8"/>
    </row>
    <row r="700">
      <c r="A700" s="8"/>
      <c r="B700" s="11"/>
      <c r="C700" s="8"/>
      <c r="D700" s="8"/>
      <c r="E700" s="8"/>
      <c r="F700" s="8"/>
      <c r="G700" s="10"/>
      <c r="H700" s="8"/>
      <c r="I700" s="8"/>
      <c r="J700" s="8"/>
      <c r="K700" s="8"/>
      <c r="L700" s="8"/>
      <c r="M700" s="8"/>
      <c r="N700" s="8"/>
      <c r="O700" s="8"/>
      <c r="P700" s="8"/>
      <c r="Q700" s="8"/>
      <c r="R700" s="8"/>
      <c r="S700" s="8"/>
      <c r="T700" s="8"/>
      <c r="U700" s="8"/>
      <c r="V700" s="8"/>
    </row>
    <row r="701">
      <c r="A701" s="8"/>
      <c r="B701" s="11"/>
      <c r="C701" s="8"/>
      <c r="D701" s="8"/>
      <c r="E701" s="8"/>
      <c r="F701" s="8"/>
      <c r="G701" s="10"/>
      <c r="H701" s="8"/>
      <c r="I701" s="8"/>
      <c r="J701" s="8"/>
      <c r="K701" s="8"/>
      <c r="L701" s="8"/>
      <c r="M701" s="8"/>
      <c r="N701" s="8"/>
      <c r="O701" s="8"/>
      <c r="P701" s="8"/>
      <c r="Q701" s="8"/>
      <c r="R701" s="8"/>
      <c r="S701" s="8"/>
      <c r="T701" s="8"/>
      <c r="U701" s="8"/>
      <c r="V701" s="8"/>
    </row>
    <row r="702">
      <c r="A702" s="8"/>
      <c r="B702" s="11"/>
      <c r="C702" s="8"/>
      <c r="D702" s="8"/>
      <c r="E702" s="8"/>
      <c r="F702" s="8"/>
      <c r="G702" s="10"/>
      <c r="H702" s="8"/>
      <c r="I702" s="8"/>
      <c r="J702" s="8"/>
      <c r="K702" s="8"/>
      <c r="L702" s="8"/>
      <c r="M702" s="8"/>
      <c r="N702" s="8"/>
      <c r="O702" s="8"/>
      <c r="P702" s="8"/>
      <c r="Q702" s="8"/>
      <c r="R702" s="8"/>
      <c r="S702" s="8"/>
      <c r="T702" s="8"/>
      <c r="U702" s="8"/>
      <c r="V702" s="8"/>
    </row>
    <row r="703">
      <c r="A703" s="8"/>
      <c r="B703" s="11"/>
      <c r="C703" s="8"/>
      <c r="D703" s="8"/>
      <c r="E703" s="8"/>
      <c r="F703" s="8"/>
      <c r="G703" s="10"/>
      <c r="H703" s="8"/>
      <c r="I703" s="8"/>
      <c r="J703" s="8"/>
      <c r="K703" s="8"/>
      <c r="L703" s="8"/>
      <c r="M703" s="8"/>
      <c r="N703" s="8"/>
      <c r="O703" s="8"/>
      <c r="P703" s="8"/>
      <c r="Q703" s="8"/>
      <c r="R703" s="8"/>
      <c r="S703" s="8"/>
      <c r="T703" s="8"/>
      <c r="U703" s="8"/>
      <c r="V703" s="8"/>
    </row>
    <row r="704">
      <c r="A704" s="8"/>
      <c r="B704" s="11"/>
      <c r="C704" s="8"/>
      <c r="D704" s="8"/>
      <c r="E704" s="8"/>
      <c r="F704" s="8"/>
      <c r="G704" s="10"/>
      <c r="H704" s="8"/>
      <c r="I704" s="8"/>
      <c r="J704" s="8"/>
      <c r="K704" s="8"/>
      <c r="L704" s="8"/>
      <c r="M704" s="8"/>
      <c r="N704" s="8"/>
      <c r="O704" s="8"/>
      <c r="P704" s="8"/>
      <c r="Q704" s="8"/>
      <c r="R704" s="8"/>
      <c r="S704" s="8"/>
      <c r="T704" s="8"/>
      <c r="U704" s="8"/>
      <c r="V704" s="8"/>
    </row>
    <row r="705">
      <c r="A705" s="8"/>
      <c r="B705" s="11"/>
      <c r="C705" s="8"/>
      <c r="D705" s="8"/>
      <c r="E705" s="8"/>
      <c r="F705" s="8"/>
      <c r="G705" s="10"/>
      <c r="H705" s="8"/>
      <c r="I705" s="8"/>
      <c r="J705" s="8"/>
      <c r="K705" s="8"/>
      <c r="L705" s="8"/>
      <c r="M705" s="8"/>
      <c r="N705" s="8"/>
      <c r="O705" s="8"/>
      <c r="P705" s="8"/>
      <c r="Q705" s="8"/>
      <c r="R705" s="8"/>
      <c r="S705" s="8"/>
      <c r="T705" s="8"/>
      <c r="U705" s="8"/>
      <c r="V705" s="8"/>
    </row>
    <row r="706">
      <c r="A706" s="8"/>
      <c r="B706" s="11"/>
      <c r="C706" s="8"/>
      <c r="D706" s="8"/>
      <c r="E706" s="8"/>
      <c r="F706" s="8"/>
      <c r="G706" s="10"/>
      <c r="H706" s="8"/>
      <c r="I706" s="8"/>
      <c r="J706" s="8"/>
      <c r="K706" s="8"/>
      <c r="L706" s="8"/>
      <c r="M706" s="8"/>
      <c r="N706" s="8"/>
      <c r="O706" s="8"/>
      <c r="P706" s="8"/>
      <c r="Q706" s="8"/>
      <c r="R706" s="8"/>
      <c r="S706" s="8"/>
      <c r="T706" s="8"/>
      <c r="U706" s="8"/>
      <c r="V706" s="8"/>
    </row>
    <row r="707">
      <c r="A707" s="8"/>
      <c r="B707" s="11"/>
      <c r="C707" s="8"/>
      <c r="D707" s="8"/>
      <c r="E707" s="8"/>
      <c r="F707" s="8"/>
      <c r="G707" s="10"/>
      <c r="H707" s="8"/>
      <c r="I707" s="8"/>
      <c r="J707" s="8"/>
      <c r="K707" s="8"/>
      <c r="L707" s="8"/>
      <c r="M707" s="8"/>
      <c r="N707" s="8"/>
      <c r="O707" s="8"/>
      <c r="P707" s="8"/>
      <c r="Q707" s="8"/>
      <c r="R707" s="8"/>
      <c r="S707" s="8"/>
      <c r="T707" s="8"/>
      <c r="U707" s="8"/>
      <c r="V707" s="8"/>
    </row>
    <row r="708">
      <c r="A708" s="8"/>
      <c r="B708" s="11"/>
      <c r="C708" s="8"/>
      <c r="D708" s="8"/>
      <c r="E708" s="8"/>
      <c r="F708" s="8"/>
      <c r="G708" s="10"/>
      <c r="H708" s="8"/>
      <c r="I708" s="8"/>
      <c r="J708" s="8"/>
      <c r="K708" s="8"/>
      <c r="L708" s="8"/>
      <c r="M708" s="8"/>
      <c r="N708" s="8"/>
      <c r="O708" s="8"/>
      <c r="P708" s="8"/>
      <c r="Q708" s="8"/>
      <c r="R708" s="8"/>
      <c r="S708" s="8"/>
      <c r="T708" s="8"/>
      <c r="U708" s="8"/>
      <c r="V708" s="8"/>
    </row>
    <row r="709">
      <c r="A709" s="8"/>
      <c r="B709" s="11"/>
      <c r="C709" s="8"/>
      <c r="D709" s="8"/>
      <c r="E709" s="8"/>
      <c r="F709" s="8"/>
      <c r="G709" s="10"/>
      <c r="H709" s="8"/>
      <c r="I709" s="8"/>
      <c r="J709" s="8"/>
      <c r="K709" s="8"/>
      <c r="L709" s="8"/>
      <c r="M709" s="8"/>
      <c r="N709" s="8"/>
      <c r="O709" s="8"/>
      <c r="P709" s="8"/>
      <c r="Q709" s="8"/>
      <c r="R709" s="8"/>
      <c r="S709" s="8"/>
      <c r="T709" s="8"/>
      <c r="U709" s="8"/>
      <c r="V709" s="8"/>
    </row>
    <row r="710">
      <c r="A710" s="8"/>
      <c r="B710" s="11"/>
      <c r="C710" s="8"/>
      <c r="D710" s="8"/>
      <c r="E710" s="8"/>
      <c r="F710" s="8"/>
      <c r="G710" s="10"/>
      <c r="H710" s="8"/>
      <c r="I710" s="8"/>
      <c r="J710" s="8"/>
      <c r="K710" s="8"/>
      <c r="L710" s="8"/>
      <c r="M710" s="8"/>
      <c r="N710" s="8"/>
      <c r="O710" s="8"/>
      <c r="P710" s="8"/>
      <c r="Q710" s="8"/>
      <c r="R710" s="8"/>
      <c r="S710" s="8"/>
      <c r="T710" s="8"/>
      <c r="U710" s="8"/>
      <c r="V710" s="8"/>
    </row>
    <row r="711">
      <c r="A711" s="8"/>
      <c r="B711" s="11"/>
      <c r="C711" s="8"/>
      <c r="D711" s="8"/>
      <c r="E711" s="8"/>
      <c r="F711" s="8"/>
      <c r="G711" s="10"/>
      <c r="H711" s="8"/>
      <c r="I711" s="8"/>
      <c r="J711" s="8"/>
      <c r="K711" s="8"/>
      <c r="L711" s="8"/>
      <c r="M711" s="8"/>
      <c r="N711" s="8"/>
      <c r="O711" s="8"/>
      <c r="P711" s="8"/>
      <c r="Q711" s="8"/>
      <c r="R711" s="8"/>
      <c r="S711" s="8"/>
      <c r="T711" s="8"/>
      <c r="U711" s="8"/>
      <c r="V711" s="8"/>
    </row>
    <row r="712">
      <c r="A712" s="8"/>
      <c r="B712" s="11"/>
      <c r="C712" s="8"/>
      <c r="D712" s="8"/>
      <c r="E712" s="8"/>
      <c r="F712" s="8"/>
      <c r="G712" s="10"/>
      <c r="H712" s="8"/>
      <c r="I712" s="8"/>
      <c r="J712" s="8"/>
      <c r="K712" s="8"/>
      <c r="L712" s="8"/>
      <c r="M712" s="8"/>
      <c r="N712" s="8"/>
      <c r="O712" s="8"/>
      <c r="P712" s="8"/>
      <c r="Q712" s="8"/>
      <c r="R712" s="8"/>
      <c r="S712" s="8"/>
      <c r="T712" s="8"/>
      <c r="U712" s="8"/>
      <c r="V712" s="8"/>
    </row>
    <row r="713">
      <c r="A713" s="8"/>
      <c r="B713" s="11"/>
      <c r="C713" s="8"/>
      <c r="D713" s="8"/>
      <c r="E713" s="8"/>
      <c r="F713" s="8"/>
      <c r="G713" s="10"/>
      <c r="H713" s="8"/>
      <c r="I713" s="8"/>
      <c r="J713" s="8"/>
      <c r="K713" s="8"/>
      <c r="L713" s="8"/>
      <c r="M713" s="8"/>
      <c r="N713" s="8"/>
      <c r="O713" s="8"/>
      <c r="P713" s="8"/>
      <c r="Q713" s="8"/>
      <c r="R713" s="8"/>
      <c r="S713" s="8"/>
      <c r="T713" s="8"/>
      <c r="U713" s="8"/>
      <c r="V713" s="8"/>
    </row>
    <row r="714">
      <c r="A714" s="8"/>
      <c r="B714" s="11"/>
      <c r="C714" s="8"/>
      <c r="D714" s="8"/>
      <c r="E714" s="8"/>
      <c r="F714" s="8"/>
      <c r="G714" s="10"/>
      <c r="H714" s="8"/>
      <c r="I714" s="8"/>
      <c r="J714" s="8"/>
      <c r="K714" s="8"/>
      <c r="L714" s="8"/>
      <c r="M714" s="8"/>
      <c r="N714" s="8"/>
      <c r="O714" s="8"/>
      <c r="P714" s="8"/>
      <c r="Q714" s="8"/>
      <c r="R714" s="8"/>
      <c r="S714" s="8"/>
      <c r="T714" s="8"/>
      <c r="U714" s="8"/>
      <c r="V714" s="8"/>
    </row>
    <row r="715">
      <c r="A715" s="8"/>
      <c r="B715" s="11"/>
      <c r="C715" s="8"/>
      <c r="D715" s="8"/>
      <c r="E715" s="8"/>
      <c r="F715" s="8"/>
      <c r="G715" s="10"/>
      <c r="H715" s="8"/>
      <c r="I715" s="8"/>
      <c r="J715" s="8"/>
      <c r="K715" s="8"/>
      <c r="L715" s="8"/>
      <c r="M715" s="8"/>
      <c r="N715" s="8"/>
      <c r="O715" s="8"/>
      <c r="P715" s="8"/>
      <c r="Q715" s="8"/>
      <c r="R715" s="8"/>
      <c r="S715" s="8"/>
      <c r="T715" s="8"/>
      <c r="U715" s="8"/>
      <c r="V715" s="8"/>
    </row>
    <row r="716">
      <c r="A716" s="8"/>
      <c r="B716" s="11"/>
      <c r="C716" s="8"/>
      <c r="D716" s="8"/>
      <c r="E716" s="8"/>
      <c r="F716" s="8"/>
      <c r="G716" s="10"/>
      <c r="H716" s="8"/>
      <c r="I716" s="8"/>
      <c r="J716" s="8"/>
      <c r="K716" s="8"/>
      <c r="L716" s="8"/>
      <c r="M716" s="8"/>
      <c r="N716" s="8"/>
      <c r="O716" s="8"/>
      <c r="P716" s="8"/>
      <c r="Q716" s="8"/>
      <c r="R716" s="8"/>
      <c r="S716" s="8"/>
      <c r="T716" s="8"/>
      <c r="U716" s="8"/>
      <c r="V716" s="8"/>
    </row>
    <row r="717">
      <c r="A717" s="8"/>
      <c r="B717" s="11"/>
      <c r="C717" s="8"/>
      <c r="D717" s="8"/>
      <c r="E717" s="8"/>
      <c r="F717" s="8"/>
      <c r="G717" s="10"/>
      <c r="H717" s="8"/>
      <c r="I717" s="8"/>
      <c r="J717" s="8"/>
      <c r="K717" s="8"/>
      <c r="L717" s="8"/>
      <c r="M717" s="8"/>
      <c r="N717" s="8"/>
      <c r="O717" s="8"/>
      <c r="P717" s="8"/>
      <c r="Q717" s="8"/>
      <c r="R717" s="8"/>
      <c r="S717" s="8"/>
      <c r="T717" s="8"/>
      <c r="U717" s="8"/>
      <c r="V717" s="8"/>
    </row>
    <row r="718">
      <c r="A718" s="8"/>
      <c r="B718" s="11"/>
      <c r="C718" s="8"/>
      <c r="D718" s="8"/>
      <c r="E718" s="8"/>
      <c r="F718" s="8"/>
      <c r="G718" s="10"/>
      <c r="H718" s="8"/>
      <c r="I718" s="8"/>
      <c r="J718" s="8"/>
      <c r="K718" s="8"/>
      <c r="L718" s="8"/>
      <c r="M718" s="8"/>
      <c r="N718" s="8"/>
      <c r="O718" s="8"/>
      <c r="P718" s="8"/>
      <c r="Q718" s="8"/>
      <c r="R718" s="8"/>
      <c r="S718" s="8"/>
      <c r="T718" s="8"/>
      <c r="U718" s="8"/>
      <c r="V718" s="8"/>
    </row>
    <row r="719">
      <c r="A719" s="8"/>
      <c r="B719" s="11"/>
      <c r="C719" s="8"/>
      <c r="D719" s="8"/>
      <c r="E719" s="8"/>
      <c r="F719" s="8"/>
      <c r="G719" s="10"/>
      <c r="H719" s="8"/>
      <c r="I719" s="8"/>
      <c r="J719" s="8"/>
      <c r="K719" s="8"/>
      <c r="L719" s="8"/>
      <c r="M719" s="8"/>
      <c r="N719" s="8"/>
      <c r="O719" s="8"/>
      <c r="P719" s="8"/>
      <c r="Q719" s="8"/>
      <c r="R719" s="8"/>
      <c r="S719" s="8"/>
      <c r="T719" s="8"/>
      <c r="U719" s="8"/>
      <c r="V719" s="8"/>
    </row>
    <row r="720">
      <c r="A720" s="8"/>
      <c r="B720" s="11"/>
      <c r="C720" s="8"/>
      <c r="D720" s="8"/>
      <c r="E720" s="8"/>
      <c r="F720" s="8"/>
      <c r="G720" s="10"/>
      <c r="H720" s="8"/>
      <c r="I720" s="8"/>
      <c r="J720" s="8"/>
      <c r="K720" s="8"/>
      <c r="L720" s="8"/>
      <c r="M720" s="8"/>
      <c r="N720" s="8"/>
      <c r="O720" s="8"/>
      <c r="P720" s="8"/>
      <c r="Q720" s="8"/>
      <c r="R720" s="8"/>
      <c r="S720" s="8"/>
      <c r="T720" s="8"/>
      <c r="U720" s="8"/>
      <c r="V720" s="8"/>
    </row>
    <row r="721">
      <c r="A721" s="8"/>
      <c r="B721" s="11"/>
      <c r="C721" s="8"/>
      <c r="D721" s="8"/>
      <c r="E721" s="8"/>
      <c r="F721" s="8"/>
      <c r="G721" s="10"/>
      <c r="H721" s="8"/>
      <c r="I721" s="8"/>
      <c r="J721" s="8"/>
      <c r="K721" s="8"/>
      <c r="L721" s="8"/>
      <c r="M721" s="8"/>
      <c r="N721" s="8"/>
      <c r="O721" s="8"/>
      <c r="P721" s="8"/>
      <c r="Q721" s="8"/>
      <c r="R721" s="8"/>
      <c r="S721" s="8"/>
      <c r="T721" s="8"/>
      <c r="U721" s="8"/>
      <c r="V721" s="8"/>
    </row>
    <row r="722">
      <c r="A722" s="8"/>
      <c r="B722" s="11"/>
      <c r="C722" s="8"/>
      <c r="D722" s="8"/>
      <c r="E722" s="8"/>
      <c r="F722" s="8"/>
      <c r="G722" s="10"/>
      <c r="H722" s="8"/>
      <c r="I722" s="8"/>
      <c r="J722" s="8"/>
      <c r="K722" s="8"/>
      <c r="L722" s="8"/>
      <c r="M722" s="8"/>
      <c r="N722" s="8"/>
      <c r="O722" s="8"/>
      <c r="P722" s="8"/>
      <c r="Q722" s="8"/>
      <c r="R722" s="8"/>
      <c r="S722" s="8"/>
      <c r="T722" s="8"/>
      <c r="U722" s="8"/>
      <c r="V722" s="8"/>
    </row>
    <row r="723">
      <c r="A723" s="8"/>
      <c r="B723" s="11"/>
      <c r="C723" s="8"/>
      <c r="D723" s="8"/>
      <c r="E723" s="8"/>
      <c r="F723" s="8"/>
      <c r="G723" s="10"/>
      <c r="H723" s="8"/>
      <c r="I723" s="8"/>
      <c r="J723" s="8"/>
      <c r="K723" s="8"/>
      <c r="L723" s="8"/>
      <c r="M723" s="8"/>
      <c r="N723" s="8"/>
      <c r="O723" s="8"/>
      <c r="P723" s="8"/>
      <c r="Q723" s="8"/>
      <c r="R723" s="8"/>
      <c r="S723" s="8"/>
      <c r="T723" s="8"/>
      <c r="U723" s="8"/>
      <c r="V723" s="8"/>
    </row>
    <row r="724">
      <c r="A724" s="8"/>
      <c r="B724" s="11"/>
      <c r="C724" s="8"/>
      <c r="D724" s="8"/>
      <c r="E724" s="8"/>
      <c r="F724" s="8"/>
      <c r="G724" s="10"/>
      <c r="H724" s="8"/>
      <c r="I724" s="8"/>
      <c r="J724" s="8"/>
      <c r="K724" s="8"/>
      <c r="L724" s="8"/>
      <c r="M724" s="8"/>
      <c r="N724" s="8"/>
      <c r="O724" s="8"/>
      <c r="P724" s="8"/>
      <c r="Q724" s="8"/>
      <c r="R724" s="8"/>
      <c r="S724" s="8"/>
      <c r="T724" s="8"/>
      <c r="U724" s="8"/>
      <c r="V724" s="8"/>
    </row>
    <row r="725">
      <c r="A725" s="8"/>
      <c r="B725" s="11"/>
      <c r="C725" s="8"/>
      <c r="D725" s="8"/>
      <c r="E725" s="8"/>
      <c r="F725" s="8"/>
      <c r="G725" s="10"/>
      <c r="H725" s="8"/>
      <c r="I725" s="8"/>
      <c r="J725" s="8"/>
      <c r="K725" s="8"/>
      <c r="L725" s="8"/>
      <c r="M725" s="8"/>
      <c r="N725" s="8"/>
      <c r="O725" s="8"/>
      <c r="P725" s="8"/>
      <c r="Q725" s="8"/>
      <c r="R725" s="8"/>
      <c r="S725" s="8"/>
      <c r="T725" s="8"/>
      <c r="U725" s="8"/>
      <c r="V725" s="8"/>
    </row>
    <row r="726">
      <c r="A726" s="8"/>
      <c r="B726" s="11"/>
      <c r="C726" s="8"/>
      <c r="D726" s="8"/>
      <c r="E726" s="8"/>
      <c r="F726" s="8"/>
      <c r="G726" s="10"/>
      <c r="H726" s="8"/>
      <c r="I726" s="8"/>
      <c r="J726" s="8"/>
      <c r="K726" s="8"/>
      <c r="L726" s="8"/>
      <c r="M726" s="8"/>
      <c r="N726" s="8"/>
      <c r="O726" s="8"/>
      <c r="P726" s="8"/>
      <c r="Q726" s="8"/>
      <c r="R726" s="8"/>
      <c r="S726" s="8"/>
      <c r="T726" s="8"/>
      <c r="U726" s="8"/>
      <c r="V726" s="8"/>
    </row>
    <row r="727">
      <c r="A727" s="8"/>
      <c r="B727" s="11"/>
      <c r="C727" s="8"/>
      <c r="D727" s="8"/>
      <c r="E727" s="8"/>
      <c r="F727" s="8"/>
      <c r="G727" s="10"/>
      <c r="H727" s="8"/>
      <c r="I727" s="8"/>
      <c r="J727" s="8"/>
      <c r="K727" s="8"/>
      <c r="L727" s="8"/>
      <c r="M727" s="8"/>
      <c r="N727" s="8"/>
      <c r="O727" s="8"/>
      <c r="P727" s="8"/>
      <c r="Q727" s="8"/>
      <c r="R727" s="8"/>
      <c r="S727" s="8"/>
      <c r="T727" s="8"/>
      <c r="U727" s="8"/>
      <c r="V727" s="8"/>
    </row>
    <row r="728">
      <c r="A728" s="8"/>
      <c r="B728" s="11"/>
      <c r="C728" s="8"/>
      <c r="D728" s="8"/>
      <c r="E728" s="8"/>
      <c r="F728" s="8"/>
      <c r="G728" s="10"/>
      <c r="H728" s="8"/>
      <c r="I728" s="8"/>
      <c r="J728" s="8"/>
      <c r="K728" s="8"/>
      <c r="L728" s="8"/>
      <c r="M728" s="8"/>
      <c r="N728" s="8"/>
      <c r="O728" s="8"/>
      <c r="P728" s="8"/>
      <c r="Q728" s="8"/>
      <c r="R728" s="8"/>
      <c r="S728" s="8"/>
      <c r="T728" s="8"/>
      <c r="U728" s="8"/>
      <c r="V728" s="8"/>
    </row>
    <row r="729">
      <c r="A729" s="8"/>
      <c r="B729" s="11"/>
      <c r="C729" s="8"/>
      <c r="D729" s="8"/>
      <c r="E729" s="8"/>
      <c r="F729" s="8"/>
      <c r="G729" s="10"/>
      <c r="H729" s="8"/>
      <c r="I729" s="8"/>
      <c r="J729" s="8"/>
      <c r="K729" s="8"/>
      <c r="L729" s="8"/>
      <c r="M729" s="8"/>
      <c r="N729" s="8"/>
      <c r="O729" s="8"/>
      <c r="P729" s="8"/>
      <c r="Q729" s="8"/>
      <c r="R729" s="8"/>
      <c r="S729" s="8"/>
      <c r="T729" s="8"/>
      <c r="U729" s="8"/>
      <c r="V729" s="8"/>
    </row>
    <row r="730">
      <c r="A730" s="8"/>
      <c r="B730" s="11"/>
      <c r="C730" s="8"/>
      <c r="D730" s="8"/>
      <c r="E730" s="8"/>
      <c r="F730" s="8"/>
      <c r="G730" s="10"/>
      <c r="H730" s="8"/>
      <c r="I730" s="8"/>
      <c r="J730" s="8"/>
      <c r="K730" s="8"/>
      <c r="L730" s="8"/>
      <c r="M730" s="8"/>
      <c r="N730" s="8"/>
      <c r="O730" s="8"/>
      <c r="P730" s="8"/>
      <c r="Q730" s="8"/>
      <c r="R730" s="8"/>
      <c r="S730" s="8"/>
      <c r="T730" s="8"/>
      <c r="U730" s="8"/>
      <c r="V730" s="8"/>
    </row>
    <row r="731">
      <c r="A731" s="8"/>
      <c r="B731" s="11"/>
      <c r="C731" s="8"/>
      <c r="D731" s="8"/>
      <c r="E731" s="8"/>
      <c r="F731" s="8"/>
      <c r="G731" s="10"/>
      <c r="H731" s="8"/>
      <c r="I731" s="8"/>
      <c r="J731" s="8"/>
      <c r="K731" s="8"/>
      <c r="L731" s="8"/>
      <c r="M731" s="8"/>
      <c r="N731" s="8"/>
      <c r="O731" s="8"/>
      <c r="P731" s="8"/>
      <c r="Q731" s="8"/>
      <c r="R731" s="8"/>
      <c r="S731" s="8"/>
      <c r="T731" s="8"/>
      <c r="U731" s="8"/>
      <c r="V731" s="8"/>
    </row>
    <row r="732">
      <c r="A732" s="8"/>
      <c r="B732" s="11"/>
      <c r="C732" s="8"/>
      <c r="D732" s="8"/>
      <c r="E732" s="8"/>
      <c r="F732" s="8"/>
      <c r="G732" s="10"/>
      <c r="H732" s="8"/>
      <c r="I732" s="8"/>
      <c r="J732" s="8"/>
      <c r="K732" s="8"/>
      <c r="L732" s="8"/>
      <c r="M732" s="8"/>
      <c r="N732" s="8"/>
      <c r="O732" s="8"/>
      <c r="P732" s="8"/>
      <c r="Q732" s="8"/>
      <c r="R732" s="8"/>
      <c r="S732" s="8"/>
      <c r="T732" s="8"/>
      <c r="U732" s="8"/>
      <c r="V732" s="8"/>
    </row>
    <row r="733">
      <c r="A733" s="8"/>
      <c r="B733" s="11"/>
      <c r="C733" s="8"/>
      <c r="D733" s="8"/>
      <c r="E733" s="8"/>
      <c r="F733" s="8"/>
      <c r="G733" s="10"/>
      <c r="H733" s="8"/>
      <c r="I733" s="8"/>
      <c r="J733" s="8"/>
      <c r="K733" s="8"/>
      <c r="L733" s="8"/>
      <c r="M733" s="8"/>
      <c r="N733" s="8"/>
      <c r="O733" s="8"/>
      <c r="P733" s="8"/>
      <c r="Q733" s="8"/>
      <c r="R733" s="8"/>
      <c r="S733" s="8"/>
      <c r="T733" s="8"/>
      <c r="U733" s="8"/>
      <c r="V733" s="8"/>
    </row>
    <row r="734">
      <c r="A734" s="8"/>
      <c r="B734" s="11"/>
      <c r="C734" s="8"/>
      <c r="D734" s="8"/>
      <c r="E734" s="8"/>
      <c r="F734" s="8"/>
      <c r="G734" s="10"/>
      <c r="H734" s="8"/>
      <c r="I734" s="8"/>
      <c r="J734" s="8"/>
      <c r="K734" s="8"/>
      <c r="L734" s="8"/>
      <c r="M734" s="8"/>
      <c r="N734" s="8"/>
      <c r="O734" s="8"/>
      <c r="P734" s="8"/>
      <c r="Q734" s="8"/>
      <c r="R734" s="8"/>
      <c r="S734" s="8"/>
      <c r="T734" s="8"/>
      <c r="U734" s="8"/>
      <c r="V734" s="8"/>
    </row>
    <row r="735">
      <c r="A735" s="8"/>
      <c r="B735" s="11"/>
      <c r="C735" s="8"/>
      <c r="D735" s="8"/>
      <c r="E735" s="8"/>
      <c r="F735" s="8"/>
      <c r="G735" s="10"/>
      <c r="H735" s="8"/>
      <c r="I735" s="8"/>
      <c r="J735" s="8"/>
      <c r="K735" s="8"/>
      <c r="L735" s="8"/>
      <c r="M735" s="8"/>
      <c r="N735" s="8"/>
      <c r="O735" s="8"/>
      <c r="P735" s="8"/>
      <c r="Q735" s="8"/>
      <c r="R735" s="8"/>
      <c r="S735" s="8"/>
      <c r="T735" s="8"/>
      <c r="U735" s="8"/>
      <c r="V735" s="8"/>
    </row>
    <row r="736">
      <c r="A736" s="8"/>
      <c r="B736" s="11"/>
      <c r="C736" s="8"/>
      <c r="D736" s="8"/>
      <c r="E736" s="8"/>
      <c r="F736" s="8"/>
      <c r="G736" s="10"/>
      <c r="H736" s="8"/>
      <c r="I736" s="8"/>
      <c r="J736" s="8"/>
      <c r="K736" s="8"/>
      <c r="L736" s="8"/>
      <c r="M736" s="8"/>
      <c r="N736" s="8"/>
      <c r="O736" s="8"/>
      <c r="P736" s="8"/>
      <c r="Q736" s="8"/>
      <c r="R736" s="8"/>
      <c r="S736" s="8"/>
      <c r="T736" s="8"/>
      <c r="U736" s="8"/>
      <c r="V736" s="8"/>
    </row>
    <row r="737">
      <c r="A737" s="8"/>
      <c r="B737" s="11"/>
      <c r="C737" s="8"/>
      <c r="D737" s="8"/>
      <c r="E737" s="8"/>
      <c r="F737" s="8"/>
      <c r="G737" s="10"/>
      <c r="H737" s="8"/>
      <c r="I737" s="8"/>
      <c r="J737" s="8"/>
      <c r="K737" s="8"/>
      <c r="L737" s="8"/>
      <c r="M737" s="8"/>
      <c r="N737" s="8"/>
      <c r="O737" s="8"/>
      <c r="P737" s="8"/>
      <c r="Q737" s="8"/>
      <c r="R737" s="8"/>
      <c r="S737" s="8"/>
      <c r="T737" s="8"/>
      <c r="U737" s="8"/>
      <c r="V737" s="8"/>
    </row>
    <row r="738">
      <c r="A738" s="8"/>
      <c r="B738" s="11"/>
      <c r="C738" s="8"/>
      <c r="D738" s="8"/>
      <c r="E738" s="8"/>
      <c r="F738" s="8"/>
      <c r="G738" s="10"/>
      <c r="H738" s="8"/>
      <c r="I738" s="8"/>
      <c r="J738" s="8"/>
      <c r="K738" s="8"/>
      <c r="L738" s="8"/>
      <c r="M738" s="8"/>
      <c r="N738" s="8"/>
      <c r="O738" s="8"/>
      <c r="P738" s="8"/>
      <c r="Q738" s="8"/>
      <c r="R738" s="8"/>
      <c r="S738" s="8"/>
      <c r="T738" s="8"/>
      <c r="U738" s="8"/>
      <c r="V738" s="8"/>
    </row>
    <row r="739">
      <c r="A739" s="8"/>
      <c r="B739" s="11"/>
      <c r="C739" s="8"/>
      <c r="D739" s="8"/>
      <c r="E739" s="8"/>
      <c r="F739" s="8"/>
      <c r="G739" s="10"/>
      <c r="H739" s="8"/>
      <c r="I739" s="8"/>
      <c r="J739" s="8"/>
      <c r="K739" s="8"/>
      <c r="L739" s="8"/>
      <c r="M739" s="8"/>
      <c r="N739" s="8"/>
      <c r="O739" s="8"/>
      <c r="P739" s="8"/>
      <c r="Q739" s="8"/>
      <c r="R739" s="8"/>
      <c r="S739" s="8"/>
      <c r="T739" s="8"/>
      <c r="U739" s="8"/>
      <c r="V739" s="8"/>
    </row>
    <row r="740">
      <c r="A740" s="8"/>
      <c r="B740" s="11"/>
      <c r="C740" s="8"/>
      <c r="D740" s="8"/>
      <c r="E740" s="8"/>
      <c r="F740" s="8"/>
      <c r="G740" s="10"/>
      <c r="H740" s="8"/>
      <c r="I740" s="8"/>
      <c r="J740" s="8"/>
      <c r="K740" s="8"/>
      <c r="L740" s="8"/>
      <c r="M740" s="8"/>
      <c r="N740" s="8"/>
      <c r="O740" s="8"/>
      <c r="P740" s="8"/>
      <c r="Q740" s="8"/>
      <c r="R740" s="8"/>
      <c r="S740" s="8"/>
      <c r="T740" s="8"/>
      <c r="U740" s="8"/>
      <c r="V740" s="8"/>
    </row>
    <row r="741">
      <c r="A741" s="8"/>
      <c r="B741" s="11"/>
      <c r="C741" s="8"/>
      <c r="D741" s="8"/>
      <c r="E741" s="8"/>
      <c r="F741" s="8"/>
      <c r="G741" s="10"/>
      <c r="H741" s="8"/>
      <c r="I741" s="8"/>
      <c r="J741" s="8"/>
      <c r="K741" s="8"/>
      <c r="L741" s="8"/>
      <c r="M741" s="8"/>
      <c r="N741" s="8"/>
      <c r="O741" s="8"/>
      <c r="P741" s="8"/>
      <c r="Q741" s="8"/>
      <c r="R741" s="8"/>
      <c r="S741" s="8"/>
      <c r="T741" s="8"/>
      <c r="U741" s="8"/>
      <c r="V741" s="8"/>
    </row>
    <row r="742">
      <c r="A742" s="8"/>
      <c r="B742" s="11"/>
      <c r="C742" s="8"/>
      <c r="D742" s="8"/>
      <c r="E742" s="8"/>
      <c r="F742" s="8"/>
      <c r="G742" s="10"/>
      <c r="H742" s="8"/>
      <c r="I742" s="8"/>
      <c r="J742" s="8"/>
      <c r="K742" s="8"/>
      <c r="L742" s="8"/>
      <c r="M742" s="8"/>
      <c r="N742" s="8"/>
      <c r="O742" s="8"/>
      <c r="P742" s="8"/>
      <c r="Q742" s="8"/>
      <c r="R742" s="8"/>
      <c r="S742" s="8"/>
      <c r="T742" s="8"/>
      <c r="U742" s="8"/>
      <c r="V742" s="8"/>
    </row>
    <row r="743">
      <c r="A743" s="8"/>
      <c r="B743" s="11"/>
      <c r="C743" s="8"/>
      <c r="D743" s="8"/>
      <c r="E743" s="8"/>
      <c r="F743" s="8"/>
      <c r="G743" s="10"/>
      <c r="H743" s="8"/>
      <c r="I743" s="8"/>
      <c r="J743" s="8"/>
      <c r="K743" s="8"/>
      <c r="L743" s="8"/>
      <c r="M743" s="8"/>
      <c r="N743" s="8"/>
      <c r="O743" s="8"/>
      <c r="P743" s="8"/>
      <c r="Q743" s="8"/>
      <c r="R743" s="8"/>
      <c r="S743" s="8"/>
      <c r="T743" s="8"/>
      <c r="U743" s="8"/>
      <c r="V743" s="8"/>
    </row>
    <row r="744">
      <c r="A744" s="8"/>
      <c r="B744" s="11"/>
      <c r="C744" s="8"/>
      <c r="D744" s="8"/>
      <c r="E744" s="8"/>
      <c r="F744" s="8"/>
      <c r="G744" s="10"/>
      <c r="H744" s="8"/>
      <c r="I744" s="8"/>
      <c r="J744" s="8"/>
      <c r="K744" s="8"/>
      <c r="L744" s="8"/>
      <c r="M744" s="8"/>
      <c r="N744" s="8"/>
      <c r="O744" s="8"/>
      <c r="P744" s="8"/>
      <c r="Q744" s="8"/>
      <c r="R744" s="8"/>
      <c r="S744" s="8"/>
      <c r="T744" s="8"/>
      <c r="U744" s="8"/>
      <c r="V744" s="8"/>
    </row>
    <row r="745">
      <c r="A745" s="8"/>
      <c r="B745" s="11"/>
      <c r="C745" s="8"/>
      <c r="D745" s="8"/>
      <c r="E745" s="8"/>
      <c r="F745" s="8"/>
      <c r="G745" s="10"/>
      <c r="H745" s="8"/>
      <c r="I745" s="8"/>
      <c r="J745" s="8"/>
      <c r="K745" s="8"/>
      <c r="L745" s="8"/>
      <c r="M745" s="8"/>
      <c r="N745" s="8"/>
      <c r="O745" s="8"/>
      <c r="P745" s="8"/>
      <c r="Q745" s="8"/>
      <c r="R745" s="8"/>
      <c r="S745" s="8"/>
      <c r="T745" s="8"/>
      <c r="U745" s="8"/>
      <c r="V745" s="8"/>
    </row>
    <row r="746">
      <c r="A746" s="8"/>
      <c r="B746" s="11"/>
      <c r="C746" s="8"/>
      <c r="D746" s="8"/>
      <c r="E746" s="8"/>
      <c r="F746" s="8"/>
      <c r="G746" s="10"/>
      <c r="H746" s="8"/>
      <c r="I746" s="8"/>
      <c r="J746" s="8"/>
      <c r="K746" s="8"/>
      <c r="L746" s="8"/>
      <c r="M746" s="8"/>
      <c r="N746" s="8"/>
      <c r="O746" s="8"/>
      <c r="P746" s="8"/>
      <c r="Q746" s="8"/>
      <c r="R746" s="8"/>
      <c r="S746" s="8"/>
      <c r="T746" s="8"/>
      <c r="U746" s="8"/>
      <c r="V746" s="8"/>
    </row>
    <row r="747">
      <c r="A747" s="8"/>
      <c r="B747" s="11"/>
      <c r="C747" s="8"/>
      <c r="D747" s="8"/>
      <c r="E747" s="8"/>
      <c r="F747" s="8"/>
      <c r="G747" s="10"/>
      <c r="H747" s="8"/>
      <c r="I747" s="8"/>
      <c r="J747" s="8"/>
      <c r="K747" s="8"/>
      <c r="L747" s="8"/>
      <c r="M747" s="8"/>
      <c r="N747" s="8"/>
      <c r="O747" s="8"/>
      <c r="P747" s="8"/>
      <c r="Q747" s="8"/>
      <c r="R747" s="8"/>
      <c r="S747" s="8"/>
      <c r="T747" s="8"/>
      <c r="U747" s="8"/>
      <c r="V747" s="8"/>
    </row>
    <row r="748">
      <c r="A748" s="8"/>
      <c r="B748" s="11"/>
      <c r="C748" s="8"/>
      <c r="D748" s="8"/>
      <c r="E748" s="8"/>
      <c r="F748" s="8"/>
      <c r="G748" s="10"/>
      <c r="H748" s="8"/>
      <c r="I748" s="8"/>
      <c r="J748" s="8"/>
      <c r="K748" s="8"/>
      <c r="L748" s="8"/>
      <c r="M748" s="8"/>
      <c r="N748" s="8"/>
      <c r="O748" s="8"/>
      <c r="P748" s="8"/>
      <c r="Q748" s="8"/>
      <c r="R748" s="8"/>
      <c r="S748" s="8"/>
      <c r="T748" s="8"/>
      <c r="U748" s="8"/>
      <c r="V748" s="8"/>
    </row>
    <row r="749">
      <c r="A749" s="8"/>
      <c r="B749" s="11"/>
      <c r="C749" s="8"/>
      <c r="D749" s="8"/>
      <c r="E749" s="8"/>
      <c r="F749" s="8"/>
      <c r="G749" s="10"/>
      <c r="H749" s="8"/>
      <c r="I749" s="8"/>
      <c r="J749" s="8"/>
      <c r="K749" s="8"/>
      <c r="L749" s="8"/>
      <c r="M749" s="8"/>
      <c r="N749" s="8"/>
      <c r="O749" s="8"/>
      <c r="P749" s="8"/>
      <c r="Q749" s="8"/>
      <c r="R749" s="8"/>
      <c r="S749" s="8"/>
      <c r="T749" s="8"/>
      <c r="U749" s="8"/>
      <c r="V749" s="8"/>
    </row>
    <row r="750">
      <c r="A750" s="8"/>
      <c r="B750" s="11"/>
      <c r="C750" s="8"/>
      <c r="D750" s="8"/>
      <c r="E750" s="8"/>
      <c r="F750" s="8"/>
      <c r="G750" s="10"/>
      <c r="H750" s="8"/>
      <c r="I750" s="8"/>
      <c r="J750" s="8"/>
      <c r="K750" s="8"/>
      <c r="L750" s="8"/>
      <c r="M750" s="8"/>
      <c r="N750" s="8"/>
      <c r="O750" s="8"/>
      <c r="P750" s="8"/>
      <c r="Q750" s="8"/>
      <c r="R750" s="8"/>
      <c r="S750" s="8"/>
      <c r="T750" s="8"/>
      <c r="U750" s="8"/>
      <c r="V750" s="8"/>
    </row>
    <row r="751">
      <c r="A751" s="8"/>
      <c r="B751" s="11"/>
      <c r="C751" s="8"/>
      <c r="D751" s="8"/>
      <c r="E751" s="8"/>
      <c r="F751" s="8"/>
      <c r="G751" s="10"/>
      <c r="H751" s="8"/>
      <c r="I751" s="8"/>
      <c r="J751" s="8"/>
      <c r="K751" s="8"/>
      <c r="L751" s="8"/>
      <c r="M751" s="8"/>
      <c r="N751" s="8"/>
      <c r="O751" s="8"/>
      <c r="P751" s="8"/>
      <c r="Q751" s="8"/>
      <c r="R751" s="8"/>
      <c r="S751" s="8"/>
      <c r="T751" s="8"/>
      <c r="U751" s="8"/>
      <c r="V751" s="8"/>
    </row>
    <row r="752">
      <c r="A752" s="8"/>
      <c r="B752" s="11"/>
      <c r="C752" s="8"/>
      <c r="D752" s="8"/>
      <c r="E752" s="8"/>
      <c r="F752" s="8"/>
      <c r="G752" s="10"/>
      <c r="H752" s="8"/>
      <c r="I752" s="8"/>
      <c r="J752" s="8"/>
      <c r="K752" s="8"/>
      <c r="L752" s="8"/>
      <c r="M752" s="8"/>
      <c r="N752" s="8"/>
      <c r="O752" s="8"/>
      <c r="P752" s="8"/>
      <c r="Q752" s="8"/>
      <c r="R752" s="8"/>
      <c r="S752" s="8"/>
      <c r="T752" s="8"/>
      <c r="U752" s="8"/>
      <c r="V752" s="8"/>
    </row>
    <row r="753">
      <c r="A753" s="8"/>
      <c r="B753" s="11"/>
      <c r="C753" s="8"/>
      <c r="D753" s="8"/>
      <c r="E753" s="8"/>
      <c r="F753" s="8"/>
      <c r="G753" s="10"/>
      <c r="H753" s="8"/>
      <c r="I753" s="8"/>
      <c r="J753" s="8"/>
      <c r="K753" s="8"/>
      <c r="L753" s="8"/>
      <c r="M753" s="8"/>
      <c r="N753" s="8"/>
      <c r="O753" s="8"/>
      <c r="P753" s="8"/>
      <c r="Q753" s="8"/>
      <c r="R753" s="8"/>
      <c r="S753" s="8"/>
      <c r="T753" s="8"/>
      <c r="U753" s="8"/>
      <c r="V753" s="8"/>
    </row>
    <row r="754">
      <c r="A754" s="8"/>
      <c r="B754" s="11"/>
      <c r="C754" s="8"/>
      <c r="D754" s="8"/>
      <c r="E754" s="8"/>
      <c r="F754" s="8"/>
      <c r="G754" s="10"/>
      <c r="H754" s="8"/>
      <c r="I754" s="8"/>
      <c r="J754" s="8"/>
      <c r="K754" s="8"/>
      <c r="L754" s="8"/>
      <c r="M754" s="8"/>
      <c r="N754" s="8"/>
      <c r="O754" s="8"/>
      <c r="P754" s="8"/>
      <c r="Q754" s="8"/>
      <c r="R754" s="8"/>
      <c r="S754" s="8"/>
      <c r="T754" s="8"/>
      <c r="U754" s="8"/>
      <c r="V754" s="8"/>
    </row>
    <row r="755">
      <c r="A755" s="8"/>
      <c r="B755" s="11"/>
      <c r="C755" s="8"/>
      <c r="D755" s="8"/>
      <c r="E755" s="8"/>
      <c r="F755" s="8"/>
      <c r="G755" s="10"/>
      <c r="H755" s="8"/>
      <c r="I755" s="8"/>
      <c r="J755" s="8"/>
      <c r="K755" s="8"/>
      <c r="L755" s="8"/>
      <c r="M755" s="8"/>
      <c r="N755" s="8"/>
      <c r="O755" s="8"/>
      <c r="P755" s="8"/>
      <c r="Q755" s="8"/>
      <c r="R755" s="8"/>
      <c r="S755" s="8"/>
      <c r="T755" s="8"/>
      <c r="U755" s="8"/>
      <c r="V755" s="8"/>
    </row>
    <row r="756">
      <c r="A756" s="8"/>
      <c r="B756" s="11"/>
      <c r="C756" s="8"/>
      <c r="D756" s="8"/>
      <c r="E756" s="8"/>
      <c r="F756" s="8"/>
      <c r="G756" s="10"/>
      <c r="H756" s="8"/>
      <c r="I756" s="8"/>
      <c r="J756" s="8"/>
      <c r="K756" s="8"/>
      <c r="L756" s="8"/>
      <c r="M756" s="8"/>
      <c r="N756" s="8"/>
      <c r="O756" s="8"/>
      <c r="P756" s="8"/>
      <c r="Q756" s="8"/>
      <c r="R756" s="8"/>
      <c r="S756" s="8"/>
      <c r="T756" s="8"/>
      <c r="U756" s="8"/>
      <c r="V756" s="8"/>
    </row>
    <row r="757">
      <c r="A757" s="8"/>
      <c r="B757" s="11"/>
      <c r="C757" s="8"/>
      <c r="D757" s="8"/>
      <c r="E757" s="8"/>
      <c r="F757" s="8"/>
      <c r="G757" s="10"/>
      <c r="H757" s="8"/>
      <c r="I757" s="8"/>
      <c r="J757" s="8"/>
      <c r="K757" s="8"/>
      <c r="L757" s="8"/>
      <c r="M757" s="8"/>
      <c r="N757" s="8"/>
      <c r="O757" s="8"/>
      <c r="P757" s="8"/>
      <c r="Q757" s="8"/>
      <c r="R757" s="8"/>
      <c r="S757" s="8"/>
      <c r="T757" s="8"/>
      <c r="U757" s="8"/>
      <c r="V757" s="8"/>
    </row>
    <row r="758">
      <c r="A758" s="8"/>
      <c r="B758" s="11"/>
      <c r="C758" s="8"/>
      <c r="D758" s="8"/>
      <c r="E758" s="8"/>
      <c r="F758" s="8"/>
      <c r="G758" s="10"/>
      <c r="H758" s="8"/>
      <c r="I758" s="8"/>
      <c r="J758" s="8"/>
      <c r="K758" s="8"/>
      <c r="L758" s="8"/>
      <c r="M758" s="8"/>
      <c r="N758" s="8"/>
      <c r="O758" s="8"/>
      <c r="P758" s="8"/>
      <c r="Q758" s="8"/>
      <c r="R758" s="8"/>
      <c r="S758" s="8"/>
      <c r="T758" s="8"/>
      <c r="U758" s="8"/>
      <c r="V758" s="8"/>
    </row>
    <row r="759">
      <c r="A759" s="8"/>
      <c r="B759" s="11"/>
      <c r="C759" s="8"/>
      <c r="D759" s="8"/>
      <c r="E759" s="8"/>
      <c r="F759" s="8"/>
      <c r="G759" s="10"/>
      <c r="H759" s="8"/>
      <c r="I759" s="8"/>
      <c r="J759" s="8"/>
      <c r="K759" s="8"/>
      <c r="L759" s="8"/>
      <c r="M759" s="8"/>
      <c r="N759" s="8"/>
      <c r="O759" s="8"/>
      <c r="P759" s="8"/>
      <c r="Q759" s="8"/>
      <c r="R759" s="8"/>
      <c r="S759" s="8"/>
      <c r="T759" s="8"/>
      <c r="U759" s="8"/>
      <c r="V759" s="8"/>
    </row>
    <row r="760">
      <c r="A760" s="8"/>
      <c r="B760" s="11"/>
      <c r="C760" s="8"/>
      <c r="D760" s="8"/>
      <c r="E760" s="8"/>
      <c r="F760" s="8"/>
      <c r="G760" s="10"/>
      <c r="H760" s="8"/>
      <c r="I760" s="8"/>
      <c r="J760" s="8"/>
      <c r="K760" s="8"/>
      <c r="L760" s="8"/>
      <c r="M760" s="8"/>
      <c r="N760" s="8"/>
      <c r="O760" s="8"/>
      <c r="P760" s="8"/>
      <c r="Q760" s="8"/>
      <c r="R760" s="8"/>
      <c r="S760" s="8"/>
      <c r="T760" s="8"/>
      <c r="U760" s="8"/>
      <c r="V760" s="8"/>
    </row>
    <row r="761">
      <c r="A761" s="8"/>
      <c r="B761" s="11"/>
      <c r="C761" s="8"/>
      <c r="D761" s="8"/>
      <c r="E761" s="8"/>
      <c r="F761" s="8"/>
      <c r="G761" s="10"/>
      <c r="H761" s="8"/>
      <c r="I761" s="8"/>
      <c r="J761" s="8"/>
      <c r="K761" s="8"/>
      <c r="L761" s="8"/>
      <c r="M761" s="8"/>
      <c r="N761" s="8"/>
      <c r="O761" s="8"/>
      <c r="P761" s="8"/>
      <c r="Q761" s="8"/>
      <c r="R761" s="8"/>
      <c r="S761" s="8"/>
      <c r="T761" s="8"/>
      <c r="U761" s="8"/>
      <c r="V761" s="8"/>
    </row>
    <row r="762">
      <c r="A762" s="8"/>
      <c r="B762" s="11"/>
      <c r="C762" s="8"/>
      <c r="D762" s="8"/>
      <c r="E762" s="8"/>
      <c r="F762" s="8"/>
      <c r="G762" s="10"/>
      <c r="H762" s="8"/>
      <c r="I762" s="8"/>
      <c r="J762" s="8"/>
      <c r="K762" s="8"/>
      <c r="L762" s="8"/>
      <c r="M762" s="8"/>
      <c r="N762" s="8"/>
      <c r="O762" s="8"/>
      <c r="P762" s="8"/>
      <c r="Q762" s="8"/>
      <c r="R762" s="8"/>
      <c r="S762" s="8"/>
      <c r="T762" s="8"/>
      <c r="U762" s="8"/>
      <c r="V762" s="8"/>
    </row>
    <row r="763">
      <c r="A763" s="8"/>
      <c r="B763" s="11"/>
      <c r="C763" s="8"/>
      <c r="D763" s="8"/>
      <c r="E763" s="8"/>
      <c r="F763" s="8"/>
      <c r="G763" s="10"/>
      <c r="H763" s="8"/>
      <c r="I763" s="8"/>
      <c r="J763" s="8"/>
      <c r="K763" s="8"/>
      <c r="L763" s="8"/>
      <c r="M763" s="8"/>
      <c r="N763" s="8"/>
      <c r="O763" s="8"/>
      <c r="P763" s="8"/>
      <c r="Q763" s="8"/>
      <c r="R763" s="8"/>
      <c r="S763" s="8"/>
      <c r="T763" s="8"/>
      <c r="U763" s="8"/>
      <c r="V763" s="8"/>
    </row>
    <row r="764">
      <c r="A764" s="8"/>
      <c r="B764" s="11"/>
      <c r="C764" s="8"/>
      <c r="D764" s="8"/>
      <c r="E764" s="8"/>
      <c r="F764" s="8"/>
      <c r="G764" s="10"/>
      <c r="H764" s="8"/>
      <c r="I764" s="8"/>
      <c r="J764" s="8"/>
      <c r="K764" s="8"/>
      <c r="L764" s="8"/>
      <c r="M764" s="8"/>
      <c r="N764" s="8"/>
      <c r="O764" s="8"/>
      <c r="P764" s="8"/>
      <c r="Q764" s="8"/>
      <c r="R764" s="8"/>
      <c r="S764" s="8"/>
      <c r="T764" s="8"/>
      <c r="U764" s="8"/>
      <c r="V764" s="8"/>
    </row>
    <row r="765">
      <c r="A765" s="8"/>
      <c r="B765" s="11"/>
      <c r="C765" s="8"/>
      <c r="D765" s="8"/>
      <c r="E765" s="8"/>
      <c r="F765" s="8"/>
      <c r="G765" s="10"/>
      <c r="H765" s="8"/>
      <c r="I765" s="8"/>
      <c r="J765" s="8"/>
      <c r="K765" s="8"/>
      <c r="L765" s="8"/>
      <c r="M765" s="8"/>
      <c r="N765" s="8"/>
      <c r="O765" s="8"/>
      <c r="P765" s="8"/>
      <c r="Q765" s="8"/>
      <c r="R765" s="8"/>
      <c r="S765" s="8"/>
      <c r="T765" s="8"/>
      <c r="U765" s="8"/>
      <c r="V765" s="8"/>
    </row>
    <row r="766">
      <c r="A766" s="8"/>
      <c r="B766" s="11"/>
      <c r="C766" s="8"/>
      <c r="D766" s="8"/>
      <c r="E766" s="8"/>
      <c r="F766" s="8"/>
      <c r="G766" s="10"/>
      <c r="H766" s="8"/>
      <c r="I766" s="8"/>
      <c r="J766" s="8"/>
      <c r="K766" s="8"/>
      <c r="L766" s="8"/>
      <c r="M766" s="8"/>
      <c r="N766" s="8"/>
      <c r="O766" s="8"/>
      <c r="P766" s="8"/>
      <c r="Q766" s="8"/>
      <c r="R766" s="8"/>
      <c r="S766" s="8"/>
      <c r="T766" s="8"/>
      <c r="U766" s="8"/>
      <c r="V766" s="8"/>
    </row>
    <row r="767">
      <c r="A767" s="8"/>
      <c r="B767" s="11"/>
      <c r="C767" s="8"/>
      <c r="D767" s="8"/>
      <c r="E767" s="8"/>
      <c r="F767" s="8"/>
      <c r="G767" s="10"/>
      <c r="H767" s="8"/>
      <c r="I767" s="8"/>
      <c r="J767" s="8"/>
      <c r="K767" s="8"/>
      <c r="L767" s="8"/>
      <c r="M767" s="8"/>
      <c r="N767" s="8"/>
      <c r="O767" s="8"/>
      <c r="P767" s="8"/>
      <c r="Q767" s="8"/>
      <c r="R767" s="8"/>
      <c r="S767" s="8"/>
      <c r="T767" s="8"/>
      <c r="U767" s="8"/>
      <c r="V767" s="8"/>
    </row>
    <row r="768">
      <c r="A768" s="8"/>
      <c r="B768" s="11"/>
      <c r="C768" s="8"/>
      <c r="D768" s="8"/>
      <c r="E768" s="8"/>
      <c r="F768" s="8"/>
      <c r="G768" s="10"/>
      <c r="H768" s="8"/>
      <c r="I768" s="8"/>
      <c r="J768" s="8"/>
      <c r="K768" s="8"/>
      <c r="L768" s="8"/>
      <c r="M768" s="8"/>
      <c r="N768" s="8"/>
      <c r="O768" s="8"/>
      <c r="P768" s="8"/>
      <c r="Q768" s="8"/>
      <c r="R768" s="8"/>
      <c r="S768" s="8"/>
      <c r="T768" s="8"/>
      <c r="U768" s="8"/>
      <c r="V768" s="8"/>
    </row>
    <row r="769">
      <c r="A769" s="8"/>
      <c r="B769" s="11"/>
      <c r="C769" s="8"/>
      <c r="D769" s="8"/>
      <c r="E769" s="8"/>
      <c r="F769" s="8"/>
      <c r="G769" s="10"/>
      <c r="H769" s="8"/>
      <c r="I769" s="8"/>
      <c r="J769" s="8"/>
      <c r="K769" s="8"/>
      <c r="L769" s="8"/>
      <c r="M769" s="8"/>
      <c r="N769" s="8"/>
      <c r="O769" s="8"/>
      <c r="P769" s="8"/>
      <c r="Q769" s="8"/>
      <c r="R769" s="8"/>
      <c r="S769" s="8"/>
      <c r="T769" s="8"/>
      <c r="U769" s="8"/>
      <c r="V769" s="8"/>
    </row>
    <row r="770">
      <c r="A770" s="8"/>
      <c r="B770" s="11"/>
      <c r="C770" s="8"/>
      <c r="D770" s="8"/>
      <c r="E770" s="8"/>
      <c r="F770" s="8"/>
      <c r="G770" s="10"/>
      <c r="H770" s="8"/>
      <c r="I770" s="8"/>
      <c r="J770" s="8"/>
      <c r="K770" s="8"/>
      <c r="L770" s="8"/>
      <c r="M770" s="8"/>
      <c r="N770" s="8"/>
      <c r="O770" s="8"/>
      <c r="P770" s="8"/>
      <c r="Q770" s="8"/>
      <c r="R770" s="8"/>
      <c r="S770" s="8"/>
      <c r="T770" s="8"/>
      <c r="U770" s="8"/>
      <c r="V770" s="8"/>
    </row>
    <row r="771">
      <c r="A771" s="8"/>
      <c r="B771" s="11"/>
      <c r="C771" s="8"/>
      <c r="D771" s="8"/>
      <c r="E771" s="8"/>
      <c r="F771" s="8"/>
      <c r="G771" s="10"/>
      <c r="H771" s="8"/>
      <c r="I771" s="8"/>
      <c r="J771" s="8"/>
      <c r="K771" s="8"/>
      <c r="L771" s="8"/>
      <c r="M771" s="8"/>
      <c r="N771" s="8"/>
      <c r="O771" s="8"/>
      <c r="P771" s="8"/>
      <c r="Q771" s="8"/>
      <c r="R771" s="8"/>
      <c r="S771" s="8"/>
      <c r="T771" s="8"/>
      <c r="U771" s="8"/>
      <c r="V771" s="8"/>
    </row>
    <row r="772">
      <c r="A772" s="8"/>
      <c r="B772" s="11"/>
      <c r="C772" s="8"/>
      <c r="D772" s="8"/>
      <c r="E772" s="8"/>
      <c r="F772" s="8"/>
      <c r="G772" s="10"/>
      <c r="H772" s="8"/>
      <c r="I772" s="8"/>
      <c r="J772" s="8"/>
      <c r="K772" s="8"/>
      <c r="L772" s="8"/>
      <c r="M772" s="8"/>
      <c r="N772" s="8"/>
      <c r="O772" s="8"/>
      <c r="P772" s="8"/>
      <c r="Q772" s="8"/>
      <c r="R772" s="8"/>
      <c r="S772" s="8"/>
      <c r="T772" s="8"/>
      <c r="U772" s="8"/>
      <c r="V772" s="8"/>
    </row>
    <row r="773">
      <c r="A773" s="8"/>
      <c r="B773" s="11"/>
      <c r="C773" s="8"/>
      <c r="D773" s="8"/>
      <c r="E773" s="8"/>
      <c r="F773" s="8"/>
      <c r="G773" s="10"/>
      <c r="H773" s="8"/>
      <c r="I773" s="8"/>
      <c r="J773" s="8"/>
      <c r="K773" s="8"/>
      <c r="L773" s="8"/>
      <c r="M773" s="8"/>
      <c r="N773" s="8"/>
      <c r="O773" s="8"/>
      <c r="P773" s="8"/>
      <c r="Q773" s="8"/>
      <c r="R773" s="8"/>
      <c r="S773" s="8"/>
      <c r="T773" s="8"/>
      <c r="U773" s="8"/>
      <c r="V773" s="8"/>
    </row>
    <row r="774">
      <c r="A774" s="8"/>
      <c r="B774" s="11"/>
      <c r="C774" s="8"/>
      <c r="D774" s="8"/>
      <c r="E774" s="8"/>
      <c r="F774" s="8"/>
      <c r="G774" s="10"/>
      <c r="H774" s="8"/>
      <c r="I774" s="8"/>
      <c r="J774" s="8"/>
      <c r="K774" s="8"/>
      <c r="L774" s="8"/>
      <c r="M774" s="8"/>
      <c r="N774" s="8"/>
      <c r="O774" s="8"/>
      <c r="P774" s="8"/>
      <c r="Q774" s="8"/>
      <c r="R774" s="8"/>
      <c r="S774" s="8"/>
      <c r="T774" s="8"/>
      <c r="U774" s="8"/>
      <c r="V774" s="8"/>
    </row>
    <row r="775">
      <c r="A775" s="8"/>
      <c r="B775" s="11"/>
      <c r="C775" s="8"/>
      <c r="D775" s="8"/>
      <c r="E775" s="8"/>
      <c r="F775" s="8"/>
      <c r="G775" s="10"/>
      <c r="H775" s="8"/>
      <c r="I775" s="8"/>
      <c r="J775" s="8"/>
      <c r="K775" s="8"/>
      <c r="L775" s="8"/>
      <c r="M775" s="8"/>
      <c r="N775" s="8"/>
      <c r="O775" s="8"/>
      <c r="P775" s="8"/>
      <c r="Q775" s="8"/>
      <c r="R775" s="8"/>
      <c r="S775" s="8"/>
      <c r="T775" s="8"/>
      <c r="U775" s="8"/>
      <c r="V775" s="8"/>
    </row>
    <row r="776">
      <c r="A776" s="8"/>
      <c r="B776" s="11"/>
      <c r="C776" s="8"/>
      <c r="D776" s="8"/>
      <c r="E776" s="8"/>
      <c r="F776" s="8"/>
      <c r="G776" s="10"/>
      <c r="H776" s="8"/>
      <c r="I776" s="8"/>
      <c r="J776" s="8"/>
      <c r="K776" s="8"/>
      <c r="L776" s="8"/>
      <c r="M776" s="8"/>
      <c r="N776" s="8"/>
      <c r="O776" s="8"/>
      <c r="P776" s="8"/>
      <c r="Q776" s="8"/>
      <c r="R776" s="8"/>
      <c r="S776" s="8"/>
      <c r="T776" s="8"/>
      <c r="U776" s="8"/>
      <c r="V776" s="8"/>
    </row>
    <row r="777">
      <c r="A777" s="8"/>
      <c r="B777" s="11"/>
      <c r="C777" s="8"/>
      <c r="D777" s="8"/>
      <c r="E777" s="8"/>
      <c r="F777" s="8"/>
      <c r="G777" s="10"/>
      <c r="H777" s="8"/>
      <c r="I777" s="8"/>
      <c r="J777" s="8"/>
      <c r="K777" s="8"/>
      <c r="L777" s="8"/>
      <c r="M777" s="8"/>
      <c r="N777" s="8"/>
      <c r="O777" s="8"/>
      <c r="P777" s="8"/>
      <c r="Q777" s="8"/>
      <c r="R777" s="8"/>
      <c r="S777" s="8"/>
      <c r="T777" s="8"/>
      <c r="U777" s="8"/>
      <c r="V777" s="8"/>
    </row>
    <row r="778">
      <c r="A778" s="8"/>
      <c r="B778" s="11"/>
      <c r="C778" s="8"/>
      <c r="D778" s="8"/>
      <c r="E778" s="8"/>
      <c r="F778" s="8"/>
      <c r="G778" s="10"/>
      <c r="H778" s="8"/>
      <c r="I778" s="8"/>
      <c r="J778" s="8"/>
      <c r="K778" s="8"/>
      <c r="L778" s="8"/>
      <c r="M778" s="8"/>
      <c r="N778" s="8"/>
      <c r="O778" s="8"/>
      <c r="P778" s="8"/>
      <c r="Q778" s="8"/>
      <c r="R778" s="8"/>
      <c r="S778" s="8"/>
      <c r="T778" s="8"/>
      <c r="U778" s="8"/>
      <c r="V778" s="8"/>
    </row>
    <row r="779">
      <c r="A779" s="8"/>
      <c r="B779" s="11"/>
      <c r="C779" s="8"/>
      <c r="D779" s="8"/>
      <c r="E779" s="8"/>
      <c r="F779" s="8"/>
      <c r="G779" s="10"/>
      <c r="H779" s="8"/>
      <c r="I779" s="8"/>
      <c r="J779" s="8"/>
      <c r="K779" s="8"/>
      <c r="L779" s="8"/>
      <c r="M779" s="8"/>
      <c r="N779" s="8"/>
      <c r="O779" s="8"/>
      <c r="P779" s="8"/>
      <c r="Q779" s="8"/>
      <c r="R779" s="8"/>
      <c r="S779" s="8"/>
      <c r="T779" s="8"/>
      <c r="U779" s="8"/>
      <c r="V779" s="8"/>
    </row>
    <row r="780">
      <c r="A780" s="8"/>
      <c r="B780" s="11"/>
      <c r="C780" s="8"/>
      <c r="D780" s="8"/>
      <c r="E780" s="8"/>
      <c r="F780" s="8"/>
      <c r="G780" s="10"/>
      <c r="H780" s="8"/>
      <c r="I780" s="8"/>
      <c r="J780" s="8"/>
      <c r="K780" s="8"/>
      <c r="L780" s="8"/>
      <c r="M780" s="8"/>
      <c r="N780" s="8"/>
      <c r="O780" s="8"/>
      <c r="P780" s="8"/>
      <c r="Q780" s="8"/>
      <c r="R780" s="8"/>
      <c r="S780" s="8"/>
      <c r="T780" s="8"/>
      <c r="U780" s="8"/>
      <c r="V780" s="8"/>
    </row>
    <row r="781">
      <c r="A781" s="8"/>
      <c r="B781" s="11"/>
      <c r="C781" s="8"/>
      <c r="D781" s="8"/>
      <c r="E781" s="8"/>
      <c r="F781" s="8"/>
      <c r="G781" s="10"/>
      <c r="H781" s="8"/>
      <c r="I781" s="8"/>
      <c r="J781" s="8"/>
      <c r="K781" s="8"/>
      <c r="L781" s="8"/>
      <c r="M781" s="8"/>
      <c r="N781" s="8"/>
      <c r="O781" s="8"/>
      <c r="P781" s="8"/>
      <c r="Q781" s="8"/>
      <c r="R781" s="8"/>
      <c r="S781" s="8"/>
      <c r="T781" s="8"/>
      <c r="U781" s="8"/>
      <c r="V781" s="8"/>
    </row>
    <row r="782">
      <c r="A782" s="8"/>
      <c r="B782" s="11"/>
      <c r="C782" s="8"/>
      <c r="D782" s="8"/>
      <c r="E782" s="8"/>
      <c r="F782" s="8"/>
      <c r="G782" s="10"/>
      <c r="H782" s="8"/>
      <c r="I782" s="8"/>
      <c r="J782" s="8"/>
      <c r="K782" s="8"/>
      <c r="L782" s="8"/>
      <c r="M782" s="8"/>
      <c r="N782" s="8"/>
      <c r="O782" s="8"/>
      <c r="P782" s="8"/>
      <c r="Q782" s="8"/>
      <c r="R782" s="8"/>
      <c r="S782" s="8"/>
      <c r="T782" s="8"/>
      <c r="U782" s="8"/>
      <c r="V782" s="8"/>
    </row>
    <row r="783">
      <c r="A783" s="8"/>
      <c r="B783" s="11"/>
      <c r="C783" s="8"/>
      <c r="D783" s="8"/>
      <c r="E783" s="8"/>
      <c r="F783" s="8"/>
      <c r="G783" s="10"/>
      <c r="H783" s="8"/>
      <c r="I783" s="8"/>
      <c r="J783" s="8"/>
      <c r="K783" s="8"/>
      <c r="L783" s="8"/>
      <c r="M783" s="8"/>
      <c r="N783" s="8"/>
      <c r="O783" s="8"/>
      <c r="P783" s="8"/>
      <c r="Q783" s="8"/>
      <c r="R783" s="8"/>
      <c r="S783" s="8"/>
      <c r="T783" s="8"/>
      <c r="U783" s="8"/>
      <c r="V783" s="8"/>
    </row>
    <row r="784">
      <c r="A784" s="8"/>
      <c r="B784" s="11"/>
      <c r="C784" s="8"/>
      <c r="D784" s="8"/>
      <c r="E784" s="8"/>
      <c r="F784" s="8"/>
      <c r="G784" s="10"/>
      <c r="H784" s="8"/>
      <c r="I784" s="8"/>
      <c r="J784" s="8"/>
      <c r="K784" s="8"/>
      <c r="L784" s="8"/>
      <c r="M784" s="8"/>
      <c r="N784" s="8"/>
      <c r="O784" s="8"/>
      <c r="P784" s="8"/>
      <c r="Q784" s="8"/>
      <c r="R784" s="8"/>
      <c r="S784" s="8"/>
      <c r="T784" s="8"/>
      <c r="U784" s="8"/>
      <c r="V784" s="8"/>
    </row>
    <row r="785">
      <c r="A785" s="8"/>
      <c r="B785" s="11"/>
      <c r="C785" s="8"/>
      <c r="D785" s="8"/>
      <c r="E785" s="8"/>
      <c r="F785" s="8"/>
      <c r="G785" s="10"/>
      <c r="H785" s="8"/>
      <c r="I785" s="8"/>
      <c r="J785" s="8"/>
      <c r="K785" s="8"/>
      <c r="L785" s="8"/>
      <c r="M785" s="8"/>
      <c r="N785" s="8"/>
      <c r="O785" s="8"/>
      <c r="P785" s="8"/>
      <c r="Q785" s="8"/>
      <c r="R785" s="8"/>
      <c r="S785" s="8"/>
      <c r="T785" s="8"/>
      <c r="U785" s="8"/>
      <c r="V785" s="8"/>
    </row>
    <row r="786">
      <c r="A786" s="8"/>
      <c r="B786" s="11"/>
      <c r="C786" s="8"/>
      <c r="D786" s="8"/>
      <c r="E786" s="8"/>
      <c r="F786" s="8"/>
      <c r="G786" s="10"/>
      <c r="H786" s="8"/>
      <c r="I786" s="8"/>
      <c r="J786" s="8"/>
      <c r="K786" s="8"/>
      <c r="L786" s="8"/>
      <c r="M786" s="8"/>
      <c r="N786" s="8"/>
      <c r="O786" s="8"/>
      <c r="P786" s="8"/>
      <c r="Q786" s="8"/>
      <c r="R786" s="8"/>
      <c r="S786" s="8"/>
      <c r="T786" s="8"/>
      <c r="U786" s="8"/>
      <c r="V786" s="8"/>
    </row>
    <row r="787">
      <c r="A787" s="8"/>
      <c r="B787" s="11"/>
      <c r="C787" s="8"/>
      <c r="D787" s="8"/>
      <c r="E787" s="8"/>
      <c r="F787" s="8"/>
      <c r="G787" s="10"/>
      <c r="H787" s="8"/>
      <c r="I787" s="8"/>
      <c r="J787" s="8"/>
      <c r="K787" s="8"/>
      <c r="L787" s="8"/>
      <c r="M787" s="8"/>
      <c r="N787" s="8"/>
      <c r="O787" s="8"/>
      <c r="P787" s="8"/>
      <c r="Q787" s="8"/>
      <c r="R787" s="8"/>
      <c r="S787" s="8"/>
      <c r="T787" s="8"/>
      <c r="U787" s="8"/>
      <c r="V787" s="8"/>
    </row>
    <row r="788">
      <c r="A788" s="8"/>
      <c r="B788" s="11"/>
      <c r="C788" s="8"/>
      <c r="D788" s="8"/>
      <c r="E788" s="8"/>
      <c r="F788" s="8"/>
      <c r="G788" s="10"/>
      <c r="H788" s="8"/>
      <c r="I788" s="8"/>
      <c r="J788" s="8"/>
      <c r="K788" s="8"/>
      <c r="L788" s="8"/>
      <c r="M788" s="8"/>
      <c r="N788" s="8"/>
      <c r="O788" s="8"/>
      <c r="P788" s="8"/>
      <c r="Q788" s="8"/>
      <c r="R788" s="8"/>
      <c r="S788" s="8"/>
      <c r="T788" s="8"/>
      <c r="U788" s="8"/>
      <c r="V788" s="8"/>
    </row>
    <row r="789">
      <c r="A789" s="8"/>
      <c r="B789" s="11"/>
      <c r="C789" s="8"/>
      <c r="D789" s="8"/>
      <c r="E789" s="8"/>
      <c r="F789" s="8"/>
      <c r="G789" s="10"/>
      <c r="H789" s="8"/>
      <c r="I789" s="8"/>
      <c r="J789" s="8"/>
      <c r="K789" s="8"/>
      <c r="L789" s="8"/>
      <c r="M789" s="8"/>
      <c r="N789" s="8"/>
      <c r="O789" s="8"/>
      <c r="P789" s="8"/>
      <c r="Q789" s="8"/>
      <c r="R789" s="8"/>
      <c r="S789" s="8"/>
      <c r="T789" s="8"/>
      <c r="U789" s="8"/>
      <c r="V789" s="8"/>
    </row>
    <row r="790">
      <c r="A790" s="8"/>
      <c r="B790" s="11"/>
      <c r="C790" s="8"/>
      <c r="D790" s="8"/>
      <c r="E790" s="8"/>
      <c r="F790" s="8"/>
      <c r="G790" s="10"/>
      <c r="H790" s="8"/>
      <c r="I790" s="8"/>
      <c r="J790" s="8"/>
      <c r="K790" s="8"/>
      <c r="L790" s="8"/>
      <c r="M790" s="8"/>
      <c r="N790" s="8"/>
      <c r="O790" s="8"/>
      <c r="P790" s="8"/>
      <c r="Q790" s="8"/>
      <c r="R790" s="8"/>
      <c r="S790" s="8"/>
      <c r="T790" s="8"/>
      <c r="U790" s="8"/>
      <c r="V790" s="8"/>
    </row>
    <row r="791">
      <c r="A791" s="8"/>
      <c r="B791" s="11"/>
      <c r="C791" s="8"/>
      <c r="D791" s="8"/>
      <c r="E791" s="8"/>
      <c r="F791" s="8"/>
      <c r="G791" s="10"/>
      <c r="H791" s="8"/>
      <c r="I791" s="8"/>
      <c r="J791" s="8"/>
      <c r="K791" s="8"/>
      <c r="L791" s="8"/>
      <c r="M791" s="8"/>
      <c r="N791" s="8"/>
      <c r="O791" s="8"/>
      <c r="P791" s="8"/>
      <c r="Q791" s="8"/>
      <c r="R791" s="8"/>
      <c r="S791" s="8"/>
      <c r="T791" s="8"/>
      <c r="U791" s="8"/>
      <c r="V791" s="8"/>
    </row>
    <row r="792">
      <c r="A792" s="8"/>
      <c r="B792" s="11"/>
      <c r="C792" s="8"/>
      <c r="D792" s="8"/>
      <c r="E792" s="8"/>
      <c r="F792" s="8"/>
      <c r="G792" s="10"/>
      <c r="H792" s="8"/>
      <c r="I792" s="8"/>
      <c r="J792" s="8"/>
      <c r="K792" s="8"/>
      <c r="L792" s="8"/>
      <c r="M792" s="8"/>
      <c r="N792" s="8"/>
      <c r="O792" s="8"/>
      <c r="P792" s="8"/>
      <c r="Q792" s="8"/>
      <c r="R792" s="8"/>
      <c r="S792" s="8"/>
      <c r="T792" s="8"/>
      <c r="U792" s="8"/>
      <c r="V792" s="8"/>
    </row>
    <row r="793">
      <c r="A793" s="8"/>
      <c r="B793" s="11"/>
      <c r="C793" s="8"/>
      <c r="D793" s="8"/>
      <c r="E793" s="8"/>
      <c r="F793" s="8"/>
      <c r="G793" s="10"/>
      <c r="H793" s="8"/>
      <c r="I793" s="8"/>
      <c r="J793" s="8"/>
      <c r="K793" s="8"/>
      <c r="L793" s="8"/>
      <c r="M793" s="8"/>
      <c r="N793" s="8"/>
      <c r="O793" s="8"/>
      <c r="P793" s="8"/>
      <c r="Q793" s="8"/>
      <c r="R793" s="8"/>
      <c r="S793" s="8"/>
      <c r="T793" s="8"/>
      <c r="U793" s="8"/>
      <c r="V793" s="8"/>
    </row>
    <row r="794">
      <c r="A794" s="8"/>
      <c r="B794" s="11"/>
      <c r="C794" s="8"/>
      <c r="D794" s="8"/>
      <c r="E794" s="8"/>
      <c r="F794" s="8"/>
      <c r="G794" s="10"/>
      <c r="H794" s="8"/>
      <c r="I794" s="8"/>
      <c r="J794" s="8"/>
      <c r="K794" s="8"/>
      <c r="L794" s="8"/>
      <c r="M794" s="8"/>
      <c r="N794" s="8"/>
      <c r="O794" s="8"/>
      <c r="P794" s="8"/>
      <c r="Q794" s="8"/>
      <c r="R794" s="8"/>
      <c r="S794" s="8"/>
      <c r="T794" s="8"/>
      <c r="U794" s="8"/>
      <c r="V794" s="8"/>
    </row>
    <row r="795">
      <c r="A795" s="8"/>
      <c r="B795" s="11"/>
      <c r="C795" s="8"/>
      <c r="D795" s="8"/>
      <c r="E795" s="8"/>
      <c r="F795" s="8"/>
      <c r="G795" s="10"/>
      <c r="H795" s="8"/>
      <c r="I795" s="8"/>
      <c r="J795" s="8"/>
      <c r="K795" s="8"/>
      <c r="L795" s="8"/>
      <c r="M795" s="8"/>
      <c r="N795" s="8"/>
      <c r="O795" s="8"/>
      <c r="P795" s="8"/>
      <c r="Q795" s="8"/>
      <c r="R795" s="8"/>
      <c r="S795" s="8"/>
      <c r="T795" s="8"/>
      <c r="U795" s="8"/>
      <c r="V795" s="8"/>
    </row>
    <row r="796">
      <c r="A796" s="8"/>
      <c r="B796" s="11"/>
      <c r="C796" s="8"/>
      <c r="D796" s="8"/>
      <c r="E796" s="8"/>
      <c r="F796" s="8"/>
      <c r="G796" s="10"/>
      <c r="H796" s="8"/>
      <c r="I796" s="8"/>
      <c r="J796" s="8"/>
      <c r="K796" s="8"/>
      <c r="L796" s="8"/>
      <c r="M796" s="8"/>
      <c r="N796" s="8"/>
      <c r="O796" s="8"/>
      <c r="P796" s="8"/>
      <c r="Q796" s="8"/>
      <c r="R796" s="8"/>
      <c r="S796" s="8"/>
      <c r="T796" s="8"/>
      <c r="U796" s="8"/>
      <c r="V796" s="8"/>
    </row>
    <row r="797">
      <c r="A797" s="8"/>
      <c r="B797" s="11"/>
      <c r="C797" s="8"/>
      <c r="D797" s="8"/>
      <c r="E797" s="8"/>
      <c r="F797" s="8"/>
      <c r="G797" s="10"/>
      <c r="H797" s="8"/>
      <c r="I797" s="8"/>
      <c r="J797" s="8"/>
      <c r="K797" s="8"/>
      <c r="L797" s="8"/>
      <c r="M797" s="8"/>
      <c r="N797" s="8"/>
      <c r="O797" s="8"/>
      <c r="P797" s="8"/>
      <c r="Q797" s="8"/>
      <c r="R797" s="8"/>
      <c r="S797" s="8"/>
      <c r="T797" s="8"/>
      <c r="U797" s="8"/>
      <c r="V797" s="8"/>
    </row>
    <row r="798">
      <c r="A798" s="8"/>
      <c r="B798" s="11"/>
      <c r="C798" s="8"/>
      <c r="D798" s="8"/>
      <c r="E798" s="8"/>
      <c r="F798" s="8"/>
      <c r="G798" s="10"/>
      <c r="H798" s="8"/>
      <c r="I798" s="8"/>
      <c r="J798" s="8"/>
      <c r="K798" s="8"/>
      <c r="L798" s="8"/>
      <c r="M798" s="8"/>
      <c r="N798" s="8"/>
      <c r="O798" s="8"/>
      <c r="P798" s="8"/>
      <c r="Q798" s="8"/>
      <c r="R798" s="8"/>
      <c r="S798" s="8"/>
      <c r="T798" s="8"/>
      <c r="U798" s="8"/>
      <c r="V798" s="8"/>
    </row>
    <row r="799">
      <c r="A799" s="8"/>
      <c r="B799" s="11"/>
      <c r="C799" s="8"/>
      <c r="D799" s="8"/>
      <c r="E799" s="8"/>
      <c r="F799" s="8"/>
      <c r="G799" s="10"/>
      <c r="H799" s="8"/>
      <c r="I799" s="8"/>
      <c r="J799" s="8"/>
      <c r="K799" s="8"/>
      <c r="L799" s="8"/>
      <c r="M799" s="8"/>
      <c r="N799" s="8"/>
      <c r="O799" s="8"/>
      <c r="P799" s="8"/>
      <c r="Q799" s="8"/>
      <c r="R799" s="8"/>
      <c r="S799" s="8"/>
      <c r="T799" s="8"/>
      <c r="U799" s="8"/>
      <c r="V799" s="8"/>
    </row>
    <row r="800">
      <c r="A800" s="8"/>
      <c r="B800" s="11"/>
      <c r="C800" s="8"/>
      <c r="D800" s="8"/>
      <c r="E800" s="8"/>
      <c r="F800" s="8"/>
      <c r="G800" s="10"/>
      <c r="H800" s="8"/>
      <c r="I800" s="8"/>
      <c r="J800" s="8"/>
      <c r="K800" s="8"/>
      <c r="L800" s="8"/>
      <c r="M800" s="8"/>
      <c r="N800" s="8"/>
      <c r="O800" s="8"/>
      <c r="P800" s="8"/>
      <c r="Q800" s="8"/>
      <c r="R800" s="8"/>
      <c r="S800" s="8"/>
      <c r="T800" s="8"/>
      <c r="U800" s="8"/>
      <c r="V800" s="8"/>
    </row>
    <row r="801">
      <c r="A801" s="8"/>
      <c r="B801" s="11"/>
      <c r="C801" s="8"/>
      <c r="D801" s="8"/>
      <c r="E801" s="8"/>
      <c r="F801" s="8"/>
      <c r="G801" s="10"/>
      <c r="H801" s="8"/>
      <c r="I801" s="8"/>
      <c r="J801" s="8"/>
      <c r="K801" s="8"/>
      <c r="L801" s="8"/>
      <c r="M801" s="8"/>
      <c r="N801" s="8"/>
      <c r="O801" s="8"/>
      <c r="P801" s="8"/>
      <c r="Q801" s="8"/>
      <c r="R801" s="8"/>
      <c r="S801" s="8"/>
      <c r="T801" s="8"/>
      <c r="U801" s="8"/>
      <c r="V801" s="8"/>
    </row>
    <row r="802">
      <c r="A802" s="8"/>
      <c r="B802" s="11"/>
      <c r="C802" s="8"/>
      <c r="D802" s="8"/>
      <c r="E802" s="8"/>
      <c r="F802" s="8"/>
      <c r="G802" s="10"/>
      <c r="H802" s="8"/>
      <c r="I802" s="8"/>
      <c r="J802" s="8"/>
      <c r="K802" s="8"/>
      <c r="L802" s="8"/>
      <c r="M802" s="8"/>
      <c r="N802" s="8"/>
      <c r="O802" s="8"/>
      <c r="P802" s="8"/>
      <c r="Q802" s="8"/>
      <c r="R802" s="8"/>
      <c r="S802" s="8"/>
      <c r="T802" s="8"/>
      <c r="U802" s="8"/>
      <c r="V802" s="8"/>
    </row>
    <row r="803">
      <c r="A803" s="8"/>
      <c r="B803" s="11"/>
      <c r="C803" s="8"/>
      <c r="D803" s="8"/>
      <c r="E803" s="8"/>
      <c r="F803" s="8"/>
      <c r="G803" s="10"/>
      <c r="H803" s="8"/>
      <c r="I803" s="8"/>
      <c r="J803" s="8"/>
      <c r="K803" s="8"/>
      <c r="L803" s="8"/>
      <c r="M803" s="8"/>
      <c r="N803" s="8"/>
      <c r="O803" s="8"/>
      <c r="P803" s="8"/>
      <c r="Q803" s="8"/>
      <c r="R803" s="8"/>
      <c r="S803" s="8"/>
      <c r="T803" s="8"/>
      <c r="U803" s="8"/>
      <c r="V803" s="8"/>
    </row>
    <row r="804">
      <c r="A804" s="8"/>
      <c r="B804" s="11"/>
      <c r="C804" s="8"/>
      <c r="D804" s="8"/>
      <c r="E804" s="8"/>
      <c r="F804" s="8"/>
      <c r="G804" s="10"/>
      <c r="H804" s="8"/>
      <c r="I804" s="8"/>
      <c r="J804" s="8"/>
      <c r="K804" s="8"/>
      <c r="L804" s="8"/>
      <c r="M804" s="8"/>
      <c r="N804" s="8"/>
      <c r="O804" s="8"/>
      <c r="P804" s="8"/>
      <c r="Q804" s="8"/>
      <c r="R804" s="8"/>
      <c r="S804" s="8"/>
      <c r="T804" s="8"/>
      <c r="U804" s="8"/>
      <c r="V804" s="8"/>
    </row>
    <row r="805">
      <c r="A805" s="8"/>
      <c r="B805" s="11"/>
      <c r="C805" s="8"/>
      <c r="D805" s="8"/>
      <c r="E805" s="8"/>
      <c r="F805" s="8"/>
      <c r="G805" s="10"/>
      <c r="H805" s="8"/>
      <c r="I805" s="8"/>
      <c r="J805" s="8"/>
      <c r="K805" s="8"/>
      <c r="L805" s="8"/>
      <c r="M805" s="8"/>
      <c r="N805" s="8"/>
      <c r="O805" s="8"/>
      <c r="P805" s="8"/>
      <c r="Q805" s="8"/>
      <c r="R805" s="8"/>
      <c r="S805" s="8"/>
      <c r="T805" s="8"/>
      <c r="U805" s="8"/>
      <c r="V805" s="8"/>
    </row>
    <row r="806">
      <c r="A806" s="8"/>
      <c r="B806" s="11"/>
      <c r="C806" s="8"/>
      <c r="D806" s="8"/>
      <c r="E806" s="8"/>
      <c r="F806" s="8"/>
      <c r="G806" s="10"/>
      <c r="H806" s="8"/>
      <c r="I806" s="8"/>
      <c r="J806" s="8"/>
      <c r="K806" s="8"/>
      <c r="L806" s="8"/>
      <c r="M806" s="8"/>
      <c r="N806" s="8"/>
      <c r="O806" s="8"/>
      <c r="P806" s="8"/>
      <c r="Q806" s="8"/>
      <c r="R806" s="8"/>
      <c r="S806" s="8"/>
      <c r="T806" s="8"/>
      <c r="U806" s="8"/>
      <c r="V806" s="8"/>
    </row>
    <row r="807">
      <c r="A807" s="8"/>
      <c r="B807" s="11"/>
      <c r="C807" s="8"/>
      <c r="D807" s="8"/>
      <c r="E807" s="8"/>
      <c r="F807" s="8"/>
      <c r="G807" s="10"/>
      <c r="H807" s="8"/>
      <c r="I807" s="8"/>
      <c r="J807" s="8"/>
      <c r="K807" s="8"/>
      <c r="L807" s="8"/>
      <c r="M807" s="8"/>
      <c r="N807" s="8"/>
      <c r="O807" s="8"/>
      <c r="P807" s="8"/>
      <c r="Q807" s="8"/>
      <c r="R807" s="8"/>
      <c r="S807" s="8"/>
      <c r="T807" s="8"/>
      <c r="U807" s="8"/>
      <c r="V807" s="8"/>
    </row>
    <row r="808">
      <c r="A808" s="8"/>
      <c r="B808" s="11"/>
      <c r="C808" s="8"/>
      <c r="D808" s="8"/>
      <c r="E808" s="8"/>
      <c r="F808" s="8"/>
      <c r="G808" s="10"/>
      <c r="H808" s="8"/>
      <c r="I808" s="8"/>
      <c r="J808" s="8"/>
      <c r="K808" s="8"/>
      <c r="L808" s="8"/>
      <c r="M808" s="8"/>
      <c r="N808" s="8"/>
      <c r="O808" s="8"/>
      <c r="P808" s="8"/>
      <c r="Q808" s="8"/>
      <c r="R808" s="8"/>
      <c r="S808" s="8"/>
      <c r="T808" s="8"/>
      <c r="U808" s="8"/>
      <c r="V808" s="8"/>
    </row>
    <row r="809">
      <c r="A809" s="8"/>
      <c r="B809" s="11"/>
      <c r="C809" s="8"/>
      <c r="D809" s="8"/>
      <c r="E809" s="8"/>
      <c r="F809" s="8"/>
      <c r="G809" s="10"/>
      <c r="H809" s="8"/>
      <c r="I809" s="8"/>
      <c r="J809" s="8"/>
      <c r="K809" s="8"/>
      <c r="L809" s="8"/>
      <c r="M809" s="8"/>
      <c r="N809" s="8"/>
      <c r="O809" s="8"/>
      <c r="P809" s="8"/>
      <c r="Q809" s="8"/>
      <c r="R809" s="8"/>
      <c r="S809" s="8"/>
      <c r="T809" s="8"/>
      <c r="U809" s="8"/>
      <c r="V809" s="8"/>
    </row>
    <row r="810">
      <c r="A810" s="8"/>
      <c r="B810" s="11"/>
      <c r="C810" s="8"/>
      <c r="D810" s="8"/>
      <c r="E810" s="8"/>
      <c r="F810" s="8"/>
      <c r="G810" s="10"/>
      <c r="H810" s="8"/>
      <c r="I810" s="8"/>
      <c r="J810" s="8"/>
      <c r="K810" s="8"/>
      <c r="L810" s="8"/>
      <c r="M810" s="8"/>
      <c r="N810" s="8"/>
      <c r="O810" s="8"/>
      <c r="P810" s="8"/>
      <c r="Q810" s="8"/>
      <c r="R810" s="8"/>
      <c r="S810" s="8"/>
      <c r="T810" s="8"/>
      <c r="U810" s="8"/>
      <c r="V810" s="8"/>
    </row>
    <row r="811">
      <c r="A811" s="8"/>
      <c r="B811" s="11"/>
      <c r="C811" s="8"/>
      <c r="D811" s="8"/>
      <c r="E811" s="8"/>
      <c r="F811" s="8"/>
      <c r="G811" s="10"/>
      <c r="H811" s="8"/>
      <c r="I811" s="8"/>
      <c r="J811" s="8"/>
      <c r="K811" s="8"/>
      <c r="L811" s="8"/>
      <c r="M811" s="8"/>
      <c r="N811" s="8"/>
      <c r="O811" s="8"/>
      <c r="P811" s="8"/>
      <c r="Q811" s="8"/>
      <c r="R811" s="8"/>
      <c r="S811" s="8"/>
      <c r="T811" s="8"/>
      <c r="U811" s="8"/>
      <c r="V811" s="8"/>
    </row>
    <row r="812">
      <c r="A812" s="8"/>
      <c r="B812" s="11"/>
      <c r="C812" s="8"/>
      <c r="D812" s="8"/>
      <c r="E812" s="8"/>
      <c r="F812" s="8"/>
      <c r="G812" s="10"/>
      <c r="H812" s="8"/>
      <c r="I812" s="8"/>
      <c r="J812" s="8"/>
      <c r="K812" s="8"/>
      <c r="L812" s="8"/>
      <c r="M812" s="8"/>
      <c r="N812" s="8"/>
      <c r="O812" s="8"/>
      <c r="P812" s="8"/>
      <c r="Q812" s="8"/>
      <c r="R812" s="8"/>
      <c r="S812" s="8"/>
      <c r="T812" s="8"/>
      <c r="U812" s="8"/>
      <c r="V812" s="8"/>
    </row>
    <row r="813">
      <c r="A813" s="8"/>
      <c r="B813" s="11"/>
      <c r="C813" s="8"/>
      <c r="D813" s="8"/>
      <c r="E813" s="8"/>
      <c r="F813" s="8"/>
      <c r="G813" s="10"/>
      <c r="H813" s="8"/>
      <c r="I813" s="8"/>
      <c r="J813" s="8"/>
      <c r="K813" s="8"/>
      <c r="L813" s="8"/>
      <c r="M813" s="8"/>
      <c r="N813" s="8"/>
      <c r="O813" s="8"/>
      <c r="P813" s="8"/>
      <c r="Q813" s="8"/>
      <c r="R813" s="8"/>
      <c r="S813" s="8"/>
      <c r="T813" s="8"/>
      <c r="U813" s="8"/>
      <c r="V813" s="8"/>
    </row>
    <row r="814">
      <c r="A814" s="8"/>
      <c r="B814" s="11"/>
      <c r="C814" s="8"/>
      <c r="D814" s="8"/>
      <c r="E814" s="8"/>
      <c r="F814" s="8"/>
      <c r="G814" s="10"/>
      <c r="H814" s="8"/>
      <c r="I814" s="8"/>
      <c r="J814" s="8"/>
      <c r="K814" s="8"/>
      <c r="L814" s="8"/>
      <c r="M814" s="8"/>
      <c r="N814" s="8"/>
      <c r="O814" s="8"/>
      <c r="P814" s="8"/>
      <c r="Q814" s="8"/>
      <c r="R814" s="8"/>
      <c r="S814" s="8"/>
      <c r="T814" s="8"/>
      <c r="U814" s="8"/>
      <c r="V814" s="8"/>
    </row>
    <row r="815">
      <c r="A815" s="8"/>
      <c r="B815" s="11"/>
      <c r="C815" s="8"/>
      <c r="D815" s="8"/>
      <c r="E815" s="8"/>
      <c r="F815" s="8"/>
      <c r="G815" s="10"/>
      <c r="H815" s="8"/>
      <c r="I815" s="8"/>
      <c r="J815" s="8"/>
      <c r="K815" s="8"/>
      <c r="L815" s="8"/>
      <c r="M815" s="8"/>
      <c r="N815" s="8"/>
      <c r="O815" s="8"/>
      <c r="P815" s="8"/>
      <c r="Q815" s="8"/>
      <c r="R815" s="8"/>
      <c r="S815" s="8"/>
      <c r="T815" s="8"/>
      <c r="U815" s="8"/>
      <c r="V815" s="8"/>
    </row>
    <row r="816">
      <c r="A816" s="8"/>
      <c r="B816" s="11"/>
      <c r="C816" s="8"/>
      <c r="D816" s="8"/>
      <c r="E816" s="8"/>
      <c r="F816" s="8"/>
      <c r="G816" s="10"/>
      <c r="H816" s="8"/>
      <c r="I816" s="8"/>
      <c r="J816" s="8"/>
      <c r="K816" s="8"/>
      <c r="L816" s="8"/>
      <c r="M816" s="8"/>
      <c r="N816" s="8"/>
      <c r="O816" s="8"/>
      <c r="P816" s="8"/>
      <c r="Q816" s="8"/>
      <c r="R816" s="8"/>
      <c r="S816" s="8"/>
      <c r="T816" s="8"/>
      <c r="U816" s="8"/>
      <c r="V816" s="8"/>
    </row>
    <row r="817">
      <c r="A817" s="8"/>
      <c r="B817" s="11"/>
      <c r="C817" s="8"/>
      <c r="D817" s="8"/>
      <c r="E817" s="8"/>
      <c r="F817" s="8"/>
      <c r="G817" s="10"/>
      <c r="H817" s="8"/>
      <c r="I817" s="8"/>
      <c r="J817" s="8"/>
      <c r="K817" s="8"/>
      <c r="L817" s="8"/>
      <c r="M817" s="8"/>
      <c r="N817" s="8"/>
      <c r="O817" s="8"/>
      <c r="P817" s="8"/>
      <c r="Q817" s="8"/>
      <c r="R817" s="8"/>
      <c r="S817" s="8"/>
      <c r="T817" s="8"/>
      <c r="U817" s="8"/>
      <c r="V817" s="8"/>
    </row>
    <row r="818">
      <c r="A818" s="8"/>
      <c r="B818" s="11"/>
      <c r="C818" s="8"/>
      <c r="D818" s="8"/>
      <c r="E818" s="8"/>
      <c r="F818" s="8"/>
      <c r="G818" s="10"/>
      <c r="H818" s="8"/>
      <c r="I818" s="8"/>
      <c r="J818" s="8"/>
      <c r="K818" s="8"/>
      <c r="L818" s="8"/>
      <c r="M818" s="8"/>
      <c r="N818" s="8"/>
      <c r="O818" s="8"/>
      <c r="P818" s="8"/>
      <c r="Q818" s="8"/>
      <c r="R818" s="8"/>
      <c r="S818" s="8"/>
      <c r="T818" s="8"/>
      <c r="U818" s="8"/>
      <c r="V818" s="8"/>
    </row>
    <row r="819">
      <c r="A819" s="8"/>
      <c r="B819" s="11"/>
      <c r="C819" s="8"/>
      <c r="D819" s="8"/>
      <c r="E819" s="8"/>
      <c r="F819" s="8"/>
      <c r="G819" s="10"/>
      <c r="H819" s="8"/>
      <c r="I819" s="8"/>
      <c r="J819" s="8"/>
      <c r="K819" s="8"/>
      <c r="L819" s="8"/>
      <c r="M819" s="8"/>
      <c r="N819" s="8"/>
      <c r="O819" s="8"/>
      <c r="P819" s="8"/>
      <c r="Q819" s="8"/>
      <c r="R819" s="8"/>
      <c r="S819" s="8"/>
      <c r="T819" s="8"/>
      <c r="U819" s="8"/>
      <c r="V819" s="8"/>
    </row>
    <row r="820">
      <c r="A820" s="8"/>
      <c r="B820" s="11"/>
      <c r="C820" s="8"/>
      <c r="D820" s="8"/>
      <c r="E820" s="8"/>
      <c r="F820" s="8"/>
      <c r="G820" s="10"/>
      <c r="H820" s="8"/>
      <c r="I820" s="8"/>
      <c r="J820" s="8"/>
      <c r="K820" s="8"/>
      <c r="L820" s="8"/>
      <c r="M820" s="8"/>
      <c r="N820" s="8"/>
      <c r="O820" s="8"/>
      <c r="P820" s="8"/>
      <c r="Q820" s="8"/>
      <c r="R820" s="8"/>
      <c r="S820" s="8"/>
      <c r="T820" s="8"/>
      <c r="U820" s="8"/>
      <c r="V820" s="8"/>
    </row>
    <row r="821">
      <c r="A821" s="8"/>
      <c r="B821" s="11"/>
      <c r="C821" s="8"/>
      <c r="D821" s="8"/>
      <c r="E821" s="8"/>
      <c r="F821" s="8"/>
      <c r="G821" s="10"/>
      <c r="H821" s="8"/>
      <c r="I821" s="8"/>
      <c r="J821" s="8"/>
      <c r="K821" s="8"/>
      <c r="L821" s="8"/>
      <c r="M821" s="8"/>
      <c r="N821" s="8"/>
      <c r="O821" s="8"/>
      <c r="P821" s="8"/>
      <c r="Q821" s="8"/>
      <c r="R821" s="8"/>
      <c r="S821" s="8"/>
      <c r="T821" s="8"/>
      <c r="U821" s="8"/>
      <c r="V821" s="8"/>
    </row>
    <row r="822">
      <c r="A822" s="8"/>
      <c r="B822" s="11"/>
      <c r="C822" s="8"/>
      <c r="D822" s="8"/>
      <c r="E822" s="8"/>
      <c r="F822" s="8"/>
      <c r="G822" s="10"/>
      <c r="H822" s="8"/>
      <c r="I822" s="8"/>
      <c r="J822" s="8"/>
      <c r="K822" s="8"/>
      <c r="L822" s="8"/>
      <c r="M822" s="8"/>
      <c r="N822" s="8"/>
      <c r="O822" s="8"/>
      <c r="P822" s="8"/>
      <c r="Q822" s="8"/>
      <c r="R822" s="8"/>
      <c r="S822" s="8"/>
      <c r="T822" s="8"/>
      <c r="U822" s="8"/>
      <c r="V822" s="8"/>
    </row>
    <row r="823">
      <c r="A823" s="8"/>
      <c r="B823" s="11"/>
      <c r="C823" s="8"/>
      <c r="D823" s="8"/>
      <c r="E823" s="8"/>
      <c r="F823" s="8"/>
      <c r="G823" s="10"/>
      <c r="H823" s="8"/>
      <c r="I823" s="8"/>
      <c r="J823" s="8"/>
      <c r="K823" s="8"/>
      <c r="L823" s="8"/>
      <c r="M823" s="8"/>
      <c r="N823" s="8"/>
      <c r="O823" s="8"/>
      <c r="P823" s="8"/>
      <c r="Q823" s="8"/>
      <c r="R823" s="8"/>
      <c r="S823" s="8"/>
      <c r="T823" s="8"/>
      <c r="U823" s="8"/>
      <c r="V823" s="8"/>
    </row>
    <row r="824">
      <c r="A824" s="8"/>
      <c r="B824" s="11"/>
      <c r="C824" s="8"/>
      <c r="D824" s="8"/>
      <c r="E824" s="8"/>
      <c r="F824" s="8"/>
      <c r="G824" s="10"/>
      <c r="H824" s="8"/>
      <c r="I824" s="8"/>
      <c r="J824" s="8"/>
      <c r="K824" s="8"/>
      <c r="L824" s="8"/>
      <c r="M824" s="8"/>
      <c r="N824" s="8"/>
      <c r="O824" s="8"/>
      <c r="P824" s="8"/>
      <c r="Q824" s="8"/>
      <c r="R824" s="8"/>
      <c r="S824" s="8"/>
      <c r="T824" s="8"/>
      <c r="U824" s="8"/>
      <c r="V824" s="8"/>
    </row>
    <row r="825">
      <c r="A825" s="8"/>
      <c r="B825" s="11"/>
      <c r="C825" s="8"/>
      <c r="D825" s="8"/>
      <c r="E825" s="8"/>
      <c r="F825" s="8"/>
      <c r="G825" s="10"/>
      <c r="H825" s="8"/>
      <c r="I825" s="8"/>
      <c r="J825" s="8"/>
      <c r="K825" s="8"/>
      <c r="L825" s="8"/>
      <c r="M825" s="8"/>
      <c r="N825" s="8"/>
      <c r="O825" s="8"/>
      <c r="P825" s="8"/>
      <c r="Q825" s="8"/>
      <c r="R825" s="8"/>
      <c r="S825" s="8"/>
      <c r="T825" s="8"/>
      <c r="U825" s="8"/>
      <c r="V825" s="8"/>
    </row>
    <row r="826">
      <c r="A826" s="8"/>
      <c r="B826" s="11"/>
      <c r="C826" s="8"/>
      <c r="D826" s="8"/>
      <c r="E826" s="8"/>
      <c r="F826" s="8"/>
      <c r="G826" s="10"/>
      <c r="H826" s="8"/>
      <c r="I826" s="8"/>
      <c r="J826" s="8"/>
      <c r="K826" s="8"/>
      <c r="L826" s="8"/>
      <c r="M826" s="8"/>
      <c r="N826" s="8"/>
      <c r="O826" s="8"/>
      <c r="P826" s="8"/>
      <c r="Q826" s="8"/>
      <c r="R826" s="8"/>
      <c r="S826" s="8"/>
      <c r="T826" s="8"/>
      <c r="U826" s="8"/>
      <c r="V826" s="8"/>
    </row>
    <row r="827">
      <c r="A827" s="8"/>
      <c r="B827" s="11"/>
      <c r="C827" s="8"/>
      <c r="D827" s="8"/>
      <c r="E827" s="8"/>
      <c r="F827" s="8"/>
      <c r="G827" s="10"/>
      <c r="H827" s="8"/>
      <c r="I827" s="8"/>
      <c r="J827" s="8"/>
      <c r="K827" s="8"/>
      <c r="L827" s="8"/>
      <c r="M827" s="8"/>
      <c r="N827" s="8"/>
      <c r="O827" s="8"/>
      <c r="P827" s="8"/>
      <c r="Q827" s="8"/>
      <c r="R827" s="8"/>
      <c r="S827" s="8"/>
      <c r="T827" s="8"/>
      <c r="U827" s="8"/>
      <c r="V827" s="8"/>
    </row>
    <row r="828">
      <c r="A828" s="8"/>
      <c r="B828" s="11"/>
      <c r="C828" s="8"/>
      <c r="D828" s="8"/>
      <c r="E828" s="8"/>
      <c r="F828" s="8"/>
      <c r="G828" s="10"/>
      <c r="H828" s="8"/>
      <c r="I828" s="8"/>
      <c r="J828" s="8"/>
      <c r="K828" s="8"/>
      <c r="L828" s="8"/>
      <c r="M828" s="8"/>
      <c r="N828" s="8"/>
      <c r="O828" s="8"/>
      <c r="P828" s="8"/>
      <c r="Q828" s="8"/>
      <c r="R828" s="8"/>
      <c r="S828" s="8"/>
      <c r="T828" s="8"/>
      <c r="U828" s="8"/>
      <c r="V828" s="8"/>
    </row>
    <row r="829">
      <c r="A829" s="8"/>
      <c r="B829" s="11"/>
      <c r="C829" s="8"/>
      <c r="D829" s="8"/>
      <c r="E829" s="8"/>
      <c r="F829" s="8"/>
      <c r="G829" s="10"/>
      <c r="H829" s="8"/>
      <c r="I829" s="8"/>
      <c r="J829" s="8"/>
      <c r="K829" s="8"/>
      <c r="L829" s="8"/>
      <c r="M829" s="8"/>
      <c r="N829" s="8"/>
      <c r="O829" s="8"/>
      <c r="P829" s="8"/>
      <c r="Q829" s="8"/>
      <c r="R829" s="8"/>
      <c r="S829" s="8"/>
      <c r="T829" s="8"/>
      <c r="U829" s="8"/>
      <c r="V829" s="8"/>
    </row>
    <row r="830">
      <c r="A830" s="8"/>
      <c r="B830" s="11"/>
      <c r="C830" s="8"/>
      <c r="D830" s="8"/>
      <c r="E830" s="8"/>
      <c r="F830" s="8"/>
      <c r="G830" s="10"/>
      <c r="H830" s="8"/>
      <c r="I830" s="8"/>
      <c r="J830" s="8"/>
      <c r="K830" s="8"/>
      <c r="L830" s="8"/>
      <c r="M830" s="8"/>
      <c r="N830" s="8"/>
      <c r="O830" s="8"/>
      <c r="P830" s="8"/>
      <c r="Q830" s="8"/>
      <c r="R830" s="8"/>
      <c r="S830" s="8"/>
      <c r="T830" s="8"/>
      <c r="U830" s="8"/>
      <c r="V830" s="8"/>
    </row>
    <row r="831">
      <c r="A831" s="8"/>
      <c r="B831" s="11"/>
      <c r="C831" s="8"/>
      <c r="D831" s="8"/>
      <c r="E831" s="8"/>
      <c r="F831" s="8"/>
      <c r="G831" s="10"/>
      <c r="H831" s="8"/>
      <c r="I831" s="8"/>
      <c r="J831" s="8"/>
      <c r="K831" s="8"/>
      <c r="L831" s="8"/>
      <c r="M831" s="8"/>
      <c r="N831" s="8"/>
      <c r="O831" s="8"/>
      <c r="P831" s="8"/>
      <c r="Q831" s="8"/>
      <c r="R831" s="8"/>
      <c r="S831" s="8"/>
      <c r="T831" s="8"/>
      <c r="U831" s="8"/>
      <c r="V831" s="8"/>
    </row>
    <row r="832">
      <c r="A832" s="8"/>
      <c r="B832" s="11"/>
      <c r="C832" s="8"/>
      <c r="D832" s="8"/>
      <c r="E832" s="8"/>
      <c r="F832" s="8"/>
      <c r="G832" s="10"/>
      <c r="H832" s="8"/>
      <c r="I832" s="8"/>
      <c r="J832" s="8"/>
      <c r="K832" s="8"/>
      <c r="L832" s="8"/>
      <c r="M832" s="8"/>
      <c r="N832" s="8"/>
      <c r="O832" s="8"/>
      <c r="P832" s="8"/>
      <c r="Q832" s="8"/>
      <c r="R832" s="8"/>
      <c r="S832" s="8"/>
      <c r="T832" s="8"/>
      <c r="U832" s="8"/>
      <c r="V832" s="8"/>
    </row>
    <row r="833">
      <c r="A833" s="8"/>
      <c r="B833" s="11"/>
      <c r="C833" s="8"/>
      <c r="D833" s="8"/>
      <c r="E833" s="8"/>
      <c r="F833" s="8"/>
      <c r="G833" s="10"/>
      <c r="H833" s="8"/>
      <c r="I833" s="8"/>
      <c r="J833" s="8"/>
      <c r="K833" s="8"/>
      <c r="L833" s="8"/>
      <c r="M833" s="8"/>
      <c r="N833" s="8"/>
      <c r="O833" s="8"/>
      <c r="P833" s="8"/>
      <c r="Q833" s="8"/>
      <c r="R833" s="8"/>
      <c r="S833" s="8"/>
      <c r="T833" s="8"/>
      <c r="U833" s="8"/>
      <c r="V833" s="8"/>
    </row>
    <row r="834">
      <c r="A834" s="8"/>
      <c r="B834" s="11"/>
      <c r="C834" s="8"/>
      <c r="D834" s="8"/>
      <c r="E834" s="8"/>
      <c r="F834" s="8"/>
      <c r="G834" s="10"/>
      <c r="H834" s="8"/>
      <c r="I834" s="8"/>
      <c r="J834" s="8"/>
      <c r="K834" s="8"/>
      <c r="L834" s="8"/>
      <c r="M834" s="8"/>
      <c r="N834" s="8"/>
      <c r="O834" s="8"/>
      <c r="P834" s="8"/>
      <c r="Q834" s="8"/>
      <c r="R834" s="8"/>
      <c r="S834" s="8"/>
      <c r="T834" s="8"/>
      <c r="U834" s="8"/>
      <c r="V834" s="8"/>
    </row>
    <row r="835">
      <c r="A835" s="8"/>
      <c r="B835" s="11"/>
      <c r="C835" s="8"/>
      <c r="D835" s="8"/>
      <c r="E835" s="8"/>
      <c r="F835" s="8"/>
      <c r="G835" s="10"/>
      <c r="H835" s="8"/>
      <c r="I835" s="8"/>
      <c r="J835" s="8"/>
      <c r="K835" s="8"/>
      <c r="L835" s="8"/>
      <c r="M835" s="8"/>
      <c r="N835" s="8"/>
      <c r="O835" s="8"/>
      <c r="P835" s="8"/>
      <c r="Q835" s="8"/>
      <c r="R835" s="8"/>
      <c r="S835" s="8"/>
      <c r="T835" s="8"/>
      <c r="U835" s="8"/>
      <c r="V835" s="8"/>
    </row>
    <row r="836">
      <c r="A836" s="8"/>
      <c r="B836" s="11"/>
      <c r="C836" s="8"/>
      <c r="D836" s="8"/>
      <c r="E836" s="8"/>
      <c r="F836" s="8"/>
      <c r="G836" s="10"/>
      <c r="H836" s="8"/>
      <c r="I836" s="8"/>
      <c r="J836" s="8"/>
      <c r="K836" s="8"/>
      <c r="L836" s="8"/>
      <c r="M836" s="8"/>
      <c r="N836" s="8"/>
      <c r="O836" s="8"/>
      <c r="P836" s="8"/>
      <c r="Q836" s="8"/>
      <c r="R836" s="8"/>
      <c r="S836" s="8"/>
      <c r="T836" s="8"/>
      <c r="U836" s="8"/>
      <c r="V836" s="8"/>
    </row>
    <row r="837">
      <c r="A837" s="8"/>
      <c r="B837" s="11"/>
      <c r="C837" s="8"/>
      <c r="D837" s="8"/>
      <c r="E837" s="8"/>
      <c r="F837" s="8"/>
      <c r="G837" s="10"/>
      <c r="H837" s="8"/>
      <c r="I837" s="8"/>
      <c r="J837" s="8"/>
      <c r="K837" s="8"/>
      <c r="L837" s="8"/>
      <c r="M837" s="8"/>
      <c r="N837" s="8"/>
      <c r="O837" s="8"/>
      <c r="P837" s="8"/>
      <c r="Q837" s="8"/>
      <c r="R837" s="8"/>
      <c r="S837" s="8"/>
      <c r="T837" s="8"/>
      <c r="U837" s="8"/>
      <c r="V837" s="8"/>
    </row>
    <row r="838">
      <c r="A838" s="8"/>
      <c r="B838" s="11"/>
      <c r="C838" s="8"/>
      <c r="D838" s="8"/>
      <c r="E838" s="8"/>
      <c r="F838" s="8"/>
      <c r="G838" s="10"/>
      <c r="H838" s="8"/>
      <c r="I838" s="8"/>
      <c r="J838" s="8"/>
      <c r="K838" s="8"/>
      <c r="L838" s="8"/>
      <c r="M838" s="8"/>
      <c r="N838" s="8"/>
      <c r="O838" s="8"/>
      <c r="P838" s="8"/>
      <c r="Q838" s="8"/>
      <c r="R838" s="8"/>
      <c r="S838" s="8"/>
      <c r="T838" s="8"/>
      <c r="U838" s="8"/>
      <c r="V838" s="8"/>
    </row>
    <row r="839">
      <c r="A839" s="8"/>
      <c r="B839" s="11"/>
      <c r="C839" s="8"/>
      <c r="D839" s="8"/>
      <c r="E839" s="8"/>
      <c r="F839" s="8"/>
      <c r="G839" s="10"/>
      <c r="H839" s="8"/>
      <c r="I839" s="8"/>
      <c r="J839" s="8"/>
      <c r="K839" s="8"/>
      <c r="L839" s="8"/>
      <c r="M839" s="8"/>
      <c r="N839" s="8"/>
      <c r="O839" s="8"/>
      <c r="P839" s="8"/>
      <c r="Q839" s="8"/>
      <c r="R839" s="8"/>
      <c r="S839" s="8"/>
      <c r="T839" s="8"/>
      <c r="U839" s="8"/>
      <c r="V839" s="8"/>
    </row>
    <row r="840">
      <c r="A840" s="8"/>
      <c r="B840" s="11"/>
      <c r="C840" s="8"/>
      <c r="D840" s="8"/>
      <c r="E840" s="8"/>
      <c r="F840" s="8"/>
      <c r="G840" s="10"/>
      <c r="H840" s="8"/>
      <c r="I840" s="8"/>
      <c r="J840" s="8"/>
      <c r="K840" s="8"/>
      <c r="L840" s="8"/>
      <c r="M840" s="8"/>
      <c r="N840" s="8"/>
      <c r="O840" s="8"/>
      <c r="P840" s="8"/>
      <c r="Q840" s="8"/>
      <c r="R840" s="8"/>
      <c r="S840" s="8"/>
      <c r="T840" s="8"/>
      <c r="U840" s="8"/>
      <c r="V840" s="8"/>
    </row>
    <row r="841">
      <c r="A841" s="8"/>
      <c r="B841" s="11"/>
      <c r="C841" s="8"/>
      <c r="D841" s="8"/>
      <c r="E841" s="8"/>
      <c r="F841" s="8"/>
      <c r="G841" s="10"/>
      <c r="H841" s="8"/>
      <c r="I841" s="8"/>
      <c r="J841" s="8"/>
      <c r="K841" s="8"/>
      <c r="L841" s="8"/>
      <c r="M841" s="8"/>
      <c r="N841" s="8"/>
      <c r="O841" s="8"/>
      <c r="P841" s="8"/>
      <c r="Q841" s="8"/>
      <c r="R841" s="8"/>
      <c r="S841" s="8"/>
      <c r="T841" s="8"/>
      <c r="U841" s="8"/>
      <c r="V841" s="8"/>
    </row>
    <row r="842">
      <c r="A842" s="8"/>
      <c r="B842" s="11"/>
      <c r="C842" s="8"/>
      <c r="D842" s="8"/>
      <c r="E842" s="8"/>
      <c r="F842" s="8"/>
      <c r="G842" s="10"/>
      <c r="H842" s="8"/>
      <c r="I842" s="8"/>
      <c r="J842" s="8"/>
      <c r="K842" s="8"/>
      <c r="L842" s="8"/>
      <c r="M842" s="8"/>
      <c r="N842" s="8"/>
      <c r="O842" s="8"/>
      <c r="P842" s="8"/>
      <c r="Q842" s="8"/>
      <c r="R842" s="8"/>
      <c r="S842" s="8"/>
      <c r="T842" s="8"/>
      <c r="U842" s="8"/>
      <c r="V842" s="8"/>
    </row>
    <row r="843">
      <c r="A843" s="8"/>
      <c r="B843" s="11"/>
      <c r="C843" s="8"/>
      <c r="D843" s="8"/>
      <c r="E843" s="8"/>
      <c r="F843" s="8"/>
      <c r="G843" s="10"/>
      <c r="H843" s="8"/>
      <c r="I843" s="8"/>
      <c r="J843" s="8"/>
      <c r="K843" s="8"/>
      <c r="L843" s="8"/>
      <c r="M843" s="8"/>
      <c r="N843" s="8"/>
      <c r="O843" s="8"/>
      <c r="P843" s="8"/>
      <c r="Q843" s="8"/>
      <c r="R843" s="8"/>
      <c r="S843" s="8"/>
      <c r="T843" s="8"/>
      <c r="U843" s="8"/>
      <c r="V843" s="8"/>
    </row>
    <row r="844">
      <c r="A844" s="8"/>
      <c r="B844" s="11"/>
      <c r="C844" s="8"/>
      <c r="D844" s="8"/>
      <c r="E844" s="8"/>
      <c r="F844" s="8"/>
      <c r="G844" s="10"/>
      <c r="H844" s="8"/>
      <c r="I844" s="8"/>
      <c r="J844" s="8"/>
      <c r="K844" s="8"/>
      <c r="L844" s="8"/>
      <c r="M844" s="8"/>
      <c r="N844" s="8"/>
      <c r="O844" s="8"/>
      <c r="P844" s="8"/>
      <c r="Q844" s="8"/>
      <c r="R844" s="8"/>
      <c r="S844" s="8"/>
      <c r="T844" s="8"/>
      <c r="U844" s="8"/>
      <c r="V844" s="8"/>
    </row>
    <row r="845">
      <c r="A845" s="8"/>
      <c r="B845" s="11"/>
      <c r="C845" s="8"/>
      <c r="D845" s="8"/>
      <c r="E845" s="8"/>
      <c r="F845" s="8"/>
      <c r="G845" s="10"/>
      <c r="H845" s="8"/>
      <c r="I845" s="8"/>
      <c r="J845" s="8"/>
      <c r="K845" s="8"/>
      <c r="L845" s="8"/>
      <c r="M845" s="8"/>
      <c r="N845" s="8"/>
      <c r="O845" s="8"/>
      <c r="P845" s="8"/>
      <c r="Q845" s="8"/>
      <c r="R845" s="8"/>
      <c r="S845" s="8"/>
      <c r="T845" s="8"/>
      <c r="U845" s="8"/>
      <c r="V845" s="8"/>
    </row>
    <row r="846">
      <c r="A846" s="8"/>
      <c r="B846" s="11"/>
      <c r="C846" s="8"/>
      <c r="D846" s="8"/>
      <c r="E846" s="8"/>
      <c r="F846" s="8"/>
      <c r="G846" s="10"/>
      <c r="H846" s="8"/>
      <c r="I846" s="8"/>
      <c r="J846" s="8"/>
      <c r="K846" s="8"/>
      <c r="L846" s="8"/>
      <c r="M846" s="8"/>
      <c r="N846" s="8"/>
      <c r="O846" s="8"/>
      <c r="P846" s="8"/>
      <c r="Q846" s="8"/>
      <c r="R846" s="8"/>
      <c r="S846" s="8"/>
      <c r="T846" s="8"/>
      <c r="U846" s="8"/>
      <c r="V846" s="8"/>
    </row>
    <row r="847">
      <c r="A847" s="8"/>
      <c r="B847" s="11"/>
      <c r="C847" s="8"/>
      <c r="D847" s="8"/>
      <c r="E847" s="8"/>
      <c r="F847" s="8"/>
      <c r="G847" s="10"/>
      <c r="H847" s="8"/>
      <c r="I847" s="8"/>
      <c r="J847" s="8"/>
      <c r="K847" s="8"/>
      <c r="L847" s="8"/>
      <c r="M847" s="8"/>
      <c r="N847" s="8"/>
      <c r="O847" s="8"/>
      <c r="P847" s="8"/>
      <c r="Q847" s="8"/>
      <c r="R847" s="8"/>
      <c r="S847" s="8"/>
      <c r="T847" s="8"/>
      <c r="U847" s="8"/>
      <c r="V847" s="8"/>
    </row>
    <row r="848">
      <c r="A848" s="8"/>
      <c r="B848" s="11"/>
      <c r="C848" s="8"/>
      <c r="D848" s="8"/>
      <c r="E848" s="8"/>
      <c r="F848" s="8"/>
      <c r="G848" s="10"/>
      <c r="H848" s="8"/>
      <c r="I848" s="8"/>
      <c r="J848" s="8"/>
      <c r="K848" s="8"/>
      <c r="L848" s="8"/>
      <c r="M848" s="8"/>
      <c r="N848" s="8"/>
      <c r="O848" s="8"/>
      <c r="P848" s="8"/>
      <c r="Q848" s="8"/>
      <c r="R848" s="8"/>
      <c r="S848" s="8"/>
      <c r="T848" s="8"/>
      <c r="U848" s="8"/>
      <c r="V848" s="8"/>
    </row>
    <row r="849">
      <c r="A849" s="8"/>
      <c r="B849" s="11"/>
      <c r="C849" s="8"/>
      <c r="D849" s="8"/>
      <c r="E849" s="8"/>
      <c r="F849" s="8"/>
      <c r="G849" s="10"/>
      <c r="H849" s="8"/>
      <c r="I849" s="8"/>
      <c r="J849" s="8"/>
      <c r="K849" s="8"/>
      <c r="L849" s="8"/>
      <c r="M849" s="8"/>
      <c r="N849" s="8"/>
      <c r="O849" s="8"/>
      <c r="P849" s="8"/>
      <c r="Q849" s="8"/>
      <c r="R849" s="8"/>
      <c r="S849" s="8"/>
      <c r="T849" s="8"/>
      <c r="U849" s="8"/>
      <c r="V849" s="8"/>
    </row>
    <row r="850">
      <c r="A850" s="8"/>
      <c r="B850" s="11"/>
      <c r="C850" s="8"/>
      <c r="D850" s="8"/>
      <c r="E850" s="8"/>
      <c r="F850" s="8"/>
      <c r="G850" s="10"/>
      <c r="H850" s="8"/>
      <c r="I850" s="8"/>
      <c r="J850" s="8"/>
      <c r="K850" s="8"/>
      <c r="L850" s="8"/>
      <c r="M850" s="8"/>
      <c r="N850" s="8"/>
      <c r="O850" s="8"/>
      <c r="P850" s="8"/>
      <c r="Q850" s="8"/>
      <c r="R850" s="8"/>
      <c r="S850" s="8"/>
      <c r="T850" s="8"/>
      <c r="U850" s="8"/>
      <c r="V850" s="8"/>
    </row>
    <row r="851">
      <c r="A851" s="8"/>
      <c r="B851" s="11"/>
      <c r="C851" s="8"/>
      <c r="D851" s="8"/>
      <c r="E851" s="8"/>
      <c r="F851" s="8"/>
      <c r="G851" s="10"/>
      <c r="H851" s="8"/>
      <c r="I851" s="8"/>
      <c r="J851" s="8"/>
      <c r="K851" s="8"/>
      <c r="L851" s="8"/>
      <c r="M851" s="8"/>
      <c r="N851" s="8"/>
      <c r="O851" s="8"/>
      <c r="P851" s="8"/>
      <c r="Q851" s="8"/>
      <c r="R851" s="8"/>
      <c r="S851" s="8"/>
      <c r="T851" s="8"/>
      <c r="U851" s="8"/>
      <c r="V851" s="8"/>
    </row>
    <row r="852">
      <c r="A852" s="8"/>
      <c r="B852" s="11"/>
      <c r="C852" s="8"/>
      <c r="D852" s="8"/>
      <c r="E852" s="8"/>
      <c r="F852" s="8"/>
      <c r="G852" s="10"/>
      <c r="H852" s="8"/>
      <c r="I852" s="8"/>
      <c r="J852" s="8"/>
      <c r="K852" s="8"/>
      <c r="L852" s="8"/>
      <c r="M852" s="8"/>
      <c r="N852" s="8"/>
      <c r="O852" s="8"/>
      <c r="P852" s="8"/>
      <c r="Q852" s="8"/>
      <c r="R852" s="8"/>
      <c r="S852" s="8"/>
      <c r="T852" s="8"/>
      <c r="U852" s="8"/>
      <c r="V852" s="8"/>
    </row>
    <row r="853">
      <c r="A853" s="8"/>
      <c r="B853" s="11"/>
      <c r="C853" s="8"/>
      <c r="D853" s="8"/>
      <c r="E853" s="8"/>
      <c r="F853" s="8"/>
      <c r="G853" s="10"/>
      <c r="H853" s="8"/>
      <c r="I853" s="8"/>
      <c r="J853" s="8"/>
      <c r="K853" s="8"/>
      <c r="L853" s="8"/>
      <c r="M853" s="8"/>
      <c r="N853" s="8"/>
      <c r="O853" s="8"/>
      <c r="P853" s="8"/>
      <c r="Q853" s="8"/>
      <c r="R853" s="8"/>
      <c r="S853" s="8"/>
      <c r="T853" s="8"/>
      <c r="U853" s="8"/>
      <c r="V853" s="8"/>
    </row>
    <row r="854">
      <c r="A854" s="8"/>
      <c r="B854" s="11"/>
      <c r="C854" s="8"/>
      <c r="D854" s="8"/>
      <c r="E854" s="8"/>
      <c r="F854" s="8"/>
      <c r="G854" s="10"/>
      <c r="H854" s="8"/>
      <c r="I854" s="8"/>
      <c r="J854" s="8"/>
      <c r="K854" s="8"/>
      <c r="L854" s="8"/>
      <c r="M854" s="8"/>
      <c r="N854" s="8"/>
      <c r="O854" s="8"/>
      <c r="P854" s="8"/>
      <c r="Q854" s="8"/>
      <c r="R854" s="8"/>
      <c r="S854" s="8"/>
      <c r="T854" s="8"/>
      <c r="U854" s="8"/>
      <c r="V854" s="8"/>
    </row>
    <row r="855">
      <c r="A855" s="8"/>
      <c r="B855" s="11"/>
      <c r="C855" s="8"/>
      <c r="D855" s="8"/>
      <c r="E855" s="8"/>
      <c r="F855" s="8"/>
      <c r="G855" s="10"/>
      <c r="H855" s="8"/>
      <c r="I855" s="8"/>
      <c r="J855" s="8"/>
      <c r="K855" s="8"/>
      <c r="L855" s="8"/>
      <c r="M855" s="8"/>
      <c r="N855" s="8"/>
      <c r="O855" s="8"/>
      <c r="P855" s="8"/>
      <c r="Q855" s="8"/>
      <c r="R855" s="8"/>
      <c r="S855" s="8"/>
      <c r="T855" s="8"/>
      <c r="U855" s="8"/>
      <c r="V855" s="8"/>
    </row>
    <row r="856">
      <c r="A856" s="8"/>
      <c r="B856" s="11"/>
      <c r="C856" s="8"/>
      <c r="D856" s="8"/>
      <c r="E856" s="8"/>
      <c r="F856" s="8"/>
      <c r="G856" s="10"/>
      <c r="H856" s="8"/>
      <c r="I856" s="8"/>
      <c r="J856" s="8"/>
      <c r="K856" s="8"/>
      <c r="L856" s="8"/>
      <c r="M856" s="8"/>
      <c r="N856" s="8"/>
      <c r="O856" s="8"/>
      <c r="P856" s="8"/>
      <c r="Q856" s="8"/>
      <c r="R856" s="8"/>
      <c r="S856" s="8"/>
      <c r="T856" s="8"/>
      <c r="U856" s="8"/>
      <c r="V856" s="8"/>
    </row>
    <row r="857">
      <c r="A857" s="8"/>
      <c r="B857" s="11"/>
      <c r="C857" s="8"/>
      <c r="D857" s="8"/>
      <c r="E857" s="8"/>
      <c r="F857" s="8"/>
      <c r="G857" s="10"/>
      <c r="H857" s="8"/>
      <c r="I857" s="8"/>
      <c r="J857" s="8"/>
      <c r="K857" s="8"/>
      <c r="L857" s="8"/>
      <c r="M857" s="8"/>
      <c r="N857" s="8"/>
      <c r="O857" s="8"/>
      <c r="P857" s="8"/>
      <c r="Q857" s="8"/>
      <c r="R857" s="8"/>
      <c r="S857" s="8"/>
      <c r="T857" s="8"/>
      <c r="U857" s="8"/>
      <c r="V857" s="8"/>
    </row>
    <row r="858">
      <c r="A858" s="8"/>
      <c r="B858" s="11"/>
      <c r="C858" s="8"/>
      <c r="D858" s="8"/>
      <c r="E858" s="8"/>
      <c r="F858" s="8"/>
      <c r="G858" s="10"/>
      <c r="H858" s="8"/>
      <c r="I858" s="8"/>
      <c r="J858" s="8"/>
      <c r="K858" s="8"/>
      <c r="L858" s="8"/>
      <c r="M858" s="8"/>
      <c r="N858" s="8"/>
      <c r="O858" s="8"/>
      <c r="P858" s="8"/>
      <c r="Q858" s="8"/>
      <c r="R858" s="8"/>
      <c r="S858" s="8"/>
      <c r="T858" s="8"/>
      <c r="U858" s="8"/>
      <c r="V858" s="8"/>
    </row>
    <row r="859">
      <c r="A859" s="8"/>
      <c r="B859" s="11"/>
      <c r="C859" s="8"/>
      <c r="D859" s="8"/>
      <c r="E859" s="8"/>
      <c r="F859" s="8"/>
      <c r="G859" s="10"/>
      <c r="H859" s="8"/>
      <c r="I859" s="8"/>
      <c r="J859" s="8"/>
      <c r="K859" s="8"/>
      <c r="L859" s="8"/>
      <c r="M859" s="8"/>
      <c r="N859" s="8"/>
      <c r="O859" s="8"/>
      <c r="P859" s="8"/>
      <c r="Q859" s="8"/>
      <c r="R859" s="8"/>
      <c r="S859" s="8"/>
      <c r="T859" s="8"/>
      <c r="U859" s="8"/>
      <c r="V859" s="8"/>
    </row>
    <row r="860">
      <c r="A860" s="8"/>
      <c r="B860" s="11"/>
      <c r="C860" s="8"/>
      <c r="D860" s="8"/>
      <c r="E860" s="8"/>
      <c r="F860" s="8"/>
      <c r="G860" s="10"/>
      <c r="H860" s="8"/>
      <c r="I860" s="8"/>
      <c r="J860" s="8"/>
      <c r="K860" s="8"/>
      <c r="L860" s="8"/>
      <c r="M860" s="8"/>
      <c r="N860" s="8"/>
      <c r="O860" s="8"/>
      <c r="P860" s="8"/>
      <c r="Q860" s="8"/>
      <c r="R860" s="8"/>
      <c r="S860" s="8"/>
      <c r="T860" s="8"/>
      <c r="U860" s="8"/>
      <c r="V860" s="8"/>
    </row>
    <row r="861">
      <c r="A861" s="8"/>
      <c r="B861" s="11"/>
      <c r="C861" s="8"/>
      <c r="D861" s="8"/>
      <c r="E861" s="8"/>
      <c r="F861" s="8"/>
      <c r="G861" s="10"/>
      <c r="H861" s="8"/>
      <c r="I861" s="8"/>
      <c r="J861" s="8"/>
      <c r="K861" s="8"/>
      <c r="L861" s="8"/>
      <c r="M861" s="8"/>
      <c r="N861" s="8"/>
      <c r="O861" s="8"/>
      <c r="P861" s="8"/>
      <c r="Q861" s="8"/>
      <c r="R861" s="8"/>
      <c r="S861" s="8"/>
      <c r="T861" s="8"/>
      <c r="U861" s="8"/>
      <c r="V861" s="8"/>
    </row>
    <row r="862">
      <c r="A862" s="8"/>
      <c r="B862" s="11"/>
      <c r="C862" s="8"/>
      <c r="D862" s="8"/>
      <c r="E862" s="8"/>
      <c r="F862" s="8"/>
      <c r="G862" s="10"/>
      <c r="H862" s="8"/>
      <c r="I862" s="8"/>
      <c r="J862" s="8"/>
      <c r="K862" s="8"/>
      <c r="L862" s="8"/>
      <c r="M862" s="8"/>
      <c r="N862" s="8"/>
      <c r="O862" s="8"/>
      <c r="P862" s="8"/>
      <c r="Q862" s="8"/>
      <c r="R862" s="8"/>
      <c r="S862" s="8"/>
      <c r="T862" s="8"/>
      <c r="U862" s="8"/>
      <c r="V862" s="8"/>
    </row>
    <row r="863">
      <c r="A863" s="8"/>
      <c r="B863" s="11"/>
      <c r="C863" s="8"/>
      <c r="D863" s="8"/>
      <c r="E863" s="8"/>
      <c r="F863" s="8"/>
      <c r="G863" s="10"/>
      <c r="H863" s="8"/>
      <c r="I863" s="8"/>
      <c r="J863" s="8"/>
      <c r="K863" s="8"/>
      <c r="L863" s="8"/>
      <c r="M863" s="8"/>
      <c r="N863" s="8"/>
      <c r="O863" s="8"/>
      <c r="P863" s="8"/>
      <c r="Q863" s="8"/>
      <c r="R863" s="8"/>
      <c r="S863" s="8"/>
      <c r="T863" s="8"/>
      <c r="U863" s="8"/>
      <c r="V863" s="8"/>
    </row>
    <row r="864">
      <c r="A864" s="8"/>
      <c r="B864" s="11"/>
      <c r="C864" s="8"/>
      <c r="D864" s="8"/>
      <c r="E864" s="8"/>
      <c r="F864" s="8"/>
      <c r="G864" s="10"/>
      <c r="H864" s="8"/>
      <c r="I864" s="8"/>
      <c r="J864" s="8"/>
      <c r="K864" s="8"/>
      <c r="L864" s="8"/>
      <c r="M864" s="8"/>
      <c r="N864" s="8"/>
      <c r="O864" s="8"/>
      <c r="P864" s="8"/>
      <c r="Q864" s="8"/>
      <c r="R864" s="8"/>
      <c r="S864" s="8"/>
      <c r="T864" s="8"/>
      <c r="U864" s="8"/>
      <c r="V864" s="8"/>
    </row>
    <row r="865">
      <c r="A865" s="8"/>
      <c r="B865" s="11"/>
      <c r="C865" s="8"/>
      <c r="D865" s="8"/>
      <c r="E865" s="8"/>
      <c r="F865" s="8"/>
      <c r="G865" s="10"/>
      <c r="H865" s="8"/>
      <c r="I865" s="8"/>
      <c r="J865" s="8"/>
      <c r="K865" s="8"/>
      <c r="L865" s="8"/>
      <c r="M865" s="8"/>
      <c r="N865" s="8"/>
      <c r="O865" s="8"/>
      <c r="P865" s="8"/>
      <c r="Q865" s="8"/>
      <c r="R865" s="8"/>
      <c r="S865" s="8"/>
      <c r="T865" s="8"/>
      <c r="U865" s="8"/>
      <c r="V865" s="8"/>
    </row>
    <row r="866">
      <c r="A866" s="8"/>
      <c r="B866" s="11"/>
      <c r="C866" s="8"/>
      <c r="D866" s="8"/>
      <c r="E866" s="8"/>
      <c r="F866" s="8"/>
      <c r="G866" s="10"/>
      <c r="H866" s="8"/>
      <c r="I866" s="8"/>
      <c r="J866" s="8"/>
      <c r="K866" s="8"/>
      <c r="L866" s="8"/>
      <c r="M866" s="8"/>
      <c r="N866" s="8"/>
      <c r="O866" s="8"/>
      <c r="P866" s="8"/>
      <c r="Q866" s="8"/>
      <c r="R866" s="8"/>
      <c r="S866" s="8"/>
      <c r="T866" s="8"/>
      <c r="U866" s="8"/>
      <c r="V866" s="8"/>
    </row>
    <row r="867">
      <c r="A867" s="8"/>
      <c r="B867" s="11"/>
      <c r="C867" s="8"/>
      <c r="D867" s="8"/>
      <c r="E867" s="8"/>
      <c r="F867" s="8"/>
      <c r="G867" s="10"/>
      <c r="H867" s="8"/>
      <c r="I867" s="8"/>
      <c r="J867" s="8"/>
      <c r="K867" s="8"/>
      <c r="L867" s="8"/>
      <c r="M867" s="8"/>
      <c r="N867" s="8"/>
      <c r="O867" s="8"/>
      <c r="P867" s="8"/>
      <c r="Q867" s="8"/>
      <c r="R867" s="8"/>
      <c r="S867" s="8"/>
      <c r="T867" s="8"/>
      <c r="U867" s="8"/>
      <c r="V867" s="8"/>
    </row>
    <row r="868">
      <c r="A868" s="8"/>
      <c r="B868" s="11"/>
      <c r="C868" s="8"/>
      <c r="D868" s="8"/>
      <c r="E868" s="8"/>
      <c r="F868" s="8"/>
      <c r="G868" s="10"/>
      <c r="H868" s="8"/>
      <c r="I868" s="8"/>
      <c r="J868" s="8"/>
      <c r="K868" s="8"/>
      <c r="L868" s="8"/>
      <c r="M868" s="8"/>
      <c r="N868" s="8"/>
      <c r="O868" s="8"/>
      <c r="P868" s="8"/>
      <c r="Q868" s="8"/>
      <c r="R868" s="8"/>
      <c r="S868" s="8"/>
      <c r="T868" s="8"/>
      <c r="U868" s="8"/>
      <c r="V868" s="8"/>
    </row>
    <row r="869">
      <c r="A869" s="8"/>
      <c r="B869" s="11"/>
      <c r="C869" s="8"/>
      <c r="D869" s="8"/>
      <c r="E869" s="8"/>
      <c r="F869" s="8"/>
      <c r="G869" s="10"/>
      <c r="H869" s="8"/>
      <c r="I869" s="8"/>
      <c r="J869" s="8"/>
      <c r="K869" s="8"/>
      <c r="L869" s="8"/>
      <c r="M869" s="8"/>
      <c r="N869" s="8"/>
      <c r="O869" s="8"/>
      <c r="P869" s="8"/>
      <c r="Q869" s="8"/>
      <c r="R869" s="8"/>
      <c r="S869" s="8"/>
      <c r="T869" s="8"/>
      <c r="U869" s="8"/>
      <c r="V869" s="8"/>
    </row>
    <row r="870">
      <c r="A870" s="8"/>
      <c r="B870" s="11"/>
      <c r="C870" s="8"/>
      <c r="D870" s="8"/>
      <c r="E870" s="8"/>
      <c r="F870" s="8"/>
      <c r="G870" s="10"/>
      <c r="H870" s="8"/>
      <c r="I870" s="8"/>
      <c r="J870" s="8"/>
      <c r="K870" s="8"/>
      <c r="L870" s="8"/>
      <c r="M870" s="8"/>
      <c r="N870" s="8"/>
      <c r="O870" s="8"/>
      <c r="P870" s="8"/>
      <c r="Q870" s="8"/>
      <c r="R870" s="8"/>
      <c r="S870" s="8"/>
      <c r="T870" s="8"/>
      <c r="U870" s="8"/>
      <c r="V870" s="8"/>
    </row>
    <row r="871">
      <c r="A871" s="8"/>
      <c r="B871" s="11"/>
      <c r="C871" s="8"/>
      <c r="D871" s="8"/>
      <c r="E871" s="8"/>
      <c r="F871" s="8"/>
      <c r="G871" s="10"/>
      <c r="H871" s="8"/>
      <c r="I871" s="8"/>
      <c r="J871" s="8"/>
      <c r="K871" s="8"/>
      <c r="L871" s="8"/>
      <c r="M871" s="8"/>
      <c r="N871" s="8"/>
      <c r="O871" s="8"/>
      <c r="P871" s="8"/>
      <c r="Q871" s="8"/>
      <c r="R871" s="8"/>
      <c r="S871" s="8"/>
      <c r="T871" s="8"/>
      <c r="U871" s="8"/>
      <c r="V871" s="8"/>
    </row>
    <row r="872">
      <c r="A872" s="8"/>
      <c r="B872" s="11"/>
      <c r="C872" s="8"/>
      <c r="D872" s="8"/>
      <c r="E872" s="8"/>
      <c r="F872" s="8"/>
      <c r="G872" s="10"/>
      <c r="H872" s="8"/>
      <c r="I872" s="8"/>
      <c r="J872" s="8"/>
      <c r="K872" s="8"/>
      <c r="L872" s="8"/>
      <c r="M872" s="8"/>
      <c r="N872" s="8"/>
      <c r="O872" s="8"/>
      <c r="P872" s="8"/>
      <c r="Q872" s="8"/>
      <c r="R872" s="8"/>
      <c r="S872" s="8"/>
      <c r="T872" s="8"/>
      <c r="U872" s="8"/>
      <c r="V872" s="8"/>
    </row>
    <row r="873">
      <c r="A873" s="8"/>
      <c r="B873" s="11"/>
      <c r="C873" s="8"/>
      <c r="D873" s="8"/>
      <c r="E873" s="8"/>
      <c r="F873" s="8"/>
      <c r="G873" s="10"/>
      <c r="H873" s="8"/>
      <c r="I873" s="8"/>
      <c r="J873" s="8"/>
      <c r="K873" s="8"/>
      <c r="L873" s="8"/>
      <c r="M873" s="8"/>
      <c r="N873" s="8"/>
      <c r="O873" s="8"/>
      <c r="P873" s="8"/>
      <c r="Q873" s="8"/>
      <c r="R873" s="8"/>
      <c r="S873" s="8"/>
      <c r="T873" s="8"/>
      <c r="U873" s="8"/>
      <c r="V873" s="8"/>
    </row>
    <row r="874">
      <c r="A874" s="8"/>
      <c r="B874" s="11"/>
      <c r="C874" s="8"/>
      <c r="D874" s="8"/>
      <c r="E874" s="8"/>
      <c r="F874" s="8"/>
      <c r="G874" s="10"/>
      <c r="H874" s="8"/>
      <c r="I874" s="8"/>
      <c r="J874" s="8"/>
      <c r="K874" s="8"/>
      <c r="L874" s="8"/>
      <c r="M874" s="8"/>
      <c r="N874" s="8"/>
      <c r="O874" s="8"/>
      <c r="P874" s="8"/>
      <c r="Q874" s="8"/>
      <c r="R874" s="8"/>
      <c r="S874" s="8"/>
      <c r="T874" s="8"/>
      <c r="U874" s="8"/>
      <c r="V874" s="8"/>
    </row>
    <row r="875">
      <c r="A875" s="8"/>
      <c r="B875" s="11"/>
      <c r="C875" s="8"/>
      <c r="D875" s="8"/>
      <c r="E875" s="8"/>
      <c r="F875" s="8"/>
      <c r="G875" s="10"/>
      <c r="H875" s="8"/>
      <c r="I875" s="8"/>
      <c r="J875" s="8"/>
      <c r="K875" s="8"/>
      <c r="L875" s="8"/>
      <c r="M875" s="8"/>
      <c r="N875" s="8"/>
      <c r="O875" s="8"/>
      <c r="P875" s="8"/>
      <c r="Q875" s="8"/>
      <c r="R875" s="8"/>
      <c r="S875" s="8"/>
      <c r="T875" s="8"/>
      <c r="U875" s="8"/>
      <c r="V875" s="8"/>
    </row>
    <row r="876">
      <c r="A876" s="8"/>
      <c r="B876" s="11"/>
      <c r="C876" s="8"/>
      <c r="D876" s="8"/>
      <c r="E876" s="8"/>
      <c r="F876" s="8"/>
      <c r="G876" s="10"/>
      <c r="H876" s="8"/>
      <c r="I876" s="8"/>
      <c r="J876" s="8"/>
      <c r="K876" s="8"/>
      <c r="L876" s="8"/>
      <c r="M876" s="8"/>
      <c r="N876" s="8"/>
      <c r="O876" s="8"/>
      <c r="P876" s="8"/>
      <c r="Q876" s="8"/>
      <c r="R876" s="8"/>
      <c r="S876" s="8"/>
      <c r="T876" s="8"/>
      <c r="U876" s="8"/>
      <c r="V876" s="8"/>
    </row>
    <row r="877">
      <c r="A877" s="8"/>
      <c r="B877" s="11"/>
      <c r="C877" s="8"/>
      <c r="D877" s="8"/>
      <c r="E877" s="8"/>
      <c r="F877" s="8"/>
      <c r="G877" s="10"/>
      <c r="H877" s="8"/>
      <c r="I877" s="8"/>
      <c r="J877" s="8"/>
      <c r="K877" s="8"/>
      <c r="L877" s="8"/>
      <c r="M877" s="8"/>
      <c r="N877" s="8"/>
      <c r="O877" s="8"/>
      <c r="P877" s="8"/>
      <c r="Q877" s="8"/>
      <c r="R877" s="8"/>
      <c r="S877" s="8"/>
      <c r="T877" s="8"/>
      <c r="U877" s="8"/>
      <c r="V877" s="8"/>
    </row>
    <row r="878">
      <c r="A878" s="8"/>
      <c r="B878" s="11"/>
      <c r="C878" s="8"/>
      <c r="D878" s="8"/>
      <c r="E878" s="8"/>
      <c r="F878" s="8"/>
      <c r="G878" s="10"/>
      <c r="H878" s="8"/>
      <c r="I878" s="8"/>
      <c r="J878" s="8"/>
      <c r="K878" s="8"/>
      <c r="L878" s="8"/>
      <c r="M878" s="8"/>
      <c r="N878" s="8"/>
      <c r="O878" s="8"/>
      <c r="P878" s="8"/>
      <c r="Q878" s="8"/>
      <c r="R878" s="8"/>
      <c r="S878" s="8"/>
      <c r="T878" s="8"/>
      <c r="U878" s="8"/>
      <c r="V878" s="8"/>
    </row>
    <row r="879">
      <c r="A879" s="8"/>
      <c r="B879" s="11"/>
      <c r="C879" s="8"/>
      <c r="D879" s="8"/>
      <c r="E879" s="8"/>
      <c r="F879" s="8"/>
      <c r="G879" s="10"/>
      <c r="H879" s="8"/>
      <c r="I879" s="8"/>
      <c r="J879" s="8"/>
      <c r="K879" s="8"/>
      <c r="L879" s="8"/>
      <c r="M879" s="8"/>
      <c r="N879" s="8"/>
      <c r="O879" s="8"/>
      <c r="P879" s="8"/>
      <c r="Q879" s="8"/>
      <c r="R879" s="8"/>
      <c r="S879" s="8"/>
      <c r="T879" s="8"/>
      <c r="U879" s="8"/>
      <c r="V879" s="8"/>
    </row>
    <row r="880">
      <c r="A880" s="8"/>
      <c r="B880" s="11"/>
      <c r="C880" s="8"/>
      <c r="D880" s="8"/>
      <c r="E880" s="8"/>
      <c r="F880" s="8"/>
      <c r="G880" s="10"/>
      <c r="H880" s="8"/>
      <c r="I880" s="8"/>
      <c r="J880" s="8"/>
      <c r="K880" s="8"/>
      <c r="L880" s="8"/>
      <c r="M880" s="8"/>
      <c r="N880" s="8"/>
      <c r="O880" s="8"/>
      <c r="P880" s="8"/>
      <c r="Q880" s="8"/>
      <c r="R880" s="8"/>
      <c r="S880" s="8"/>
      <c r="T880" s="8"/>
      <c r="U880" s="8"/>
      <c r="V880" s="8"/>
    </row>
    <row r="881">
      <c r="A881" s="8"/>
      <c r="B881" s="11"/>
      <c r="C881" s="8"/>
      <c r="D881" s="8"/>
      <c r="E881" s="8"/>
      <c r="F881" s="8"/>
      <c r="G881" s="10"/>
      <c r="H881" s="8"/>
      <c r="I881" s="8"/>
      <c r="J881" s="8"/>
      <c r="K881" s="8"/>
      <c r="L881" s="8"/>
      <c r="M881" s="8"/>
      <c r="N881" s="8"/>
      <c r="O881" s="8"/>
      <c r="P881" s="8"/>
      <c r="Q881" s="8"/>
      <c r="R881" s="8"/>
      <c r="S881" s="8"/>
      <c r="T881" s="8"/>
      <c r="U881" s="8"/>
      <c r="V881" s="8"/>
    </row>
    <row r="882">
      <c r="A882" s="8"/>
      <c r="B882" s="11"/>
      <c r="C882" s="8"/>
      <c r="D882" s="8"/>
      <c r="E882" s="8"/>
      <c r="F882" s="8"/>
      <c r="G882" s="10"/>
      <c r="H882" s="8"/>
      <c r="I882" s="8"/>
      <c r="J882" s="8"/>
      <c r="K882" s="8"/>
      <c r="L882" s="8"/>
      <c r="M882" s="8"/>
      <c r="N882" s="8"/>
      <c r="O882" s="8"/>
      <c r="P882" s="8"/>
      <c r="Q882" s="8"/>
      <c r="R882" s="8"/>
      <c r="S882" s="8"/>
      <c r="T882" s="8"/>
      <c r="U882" s="8"/>
      <c r="V882" s="8"/>
    </row>
    <row r="883">
      <c r="A883" s="8"/>
      <c r="B883" s="11"/>
      <c r="C883" s="8"/>
      <c r="D883" s="8"/>
      <c r="E883" s="8"/>
      <c r="F883" s="8"/>
      <c r="G883" s="10"/>
      <c r="H883" s="8"/>
      <c r="I883" s="8"/>
      <c r="J883" s="8"/>
      <c r="K883" s="8"/>
      <c r="L883" s="8"/>
      <c r="M883" s="8"/>
      <c r="N883" s="8"/>
      <c r="O883" s="8"/>
      <c r="P883" s="8"/>
      <c r="Q883" s="8"/>
      <c r="R883" s="8"/>
      <c r="S883" s="8"/>
      <c r="T883" s="8"/>
      <c r="U883" s="8"/>
      <c r="V883" s="8"/>
    </row>
    <row r="884">
      <c r="A884" s="8"/>
      <c r="B884" s="11"/>
      <c r="C884" s="8"/>
      <c r="D884" s="8"/>
      <c r="E884" s="8"/>
      <c r="F884" s="8"/>
      <c r="G884" s="10"/>
      <c r="H884" s="8"/>
      <c r="I884" s="8"/>
      <c r="J884" s="8"/>
      <c r="K884" s="8"/>
      <c r="L884" s="8"/>
      <c r="M884" s="8"/>
      <c r="N884" s="8"/>
      <c r="O884" s="8"/>
      <c r="P884" s="8"/>
      <c r="Q884" s="8"/>
      <c r="R884" s="8"/>
      <c r="S884" s="8"/>
      <c r="T884" s="8"/>
      <c r="U884" s="8"/>
      <c r="V884" s="8"/>
    </row>
    <row r="885">
      <c r="A885" s="8"/>
      <c r="B885" s="11"/>
      <c r="C885" s="8"/>
      <c r="D885" s="8"/>
      <c r="E885" s="8"/>
      <c r="F885" s="8"/>
      <c r="G885" s="10"/>
      <c r="H885" s="8"/>
      <c r="I885" s="8"/>
      <c r="J885" s="8"/>
      <c r="K885" s="8"/>
      <c r="L885" s="8"/>
      <c r="M885" s="8"/>
      <c r="N885" s="8"/>
      <c r="O885" s="8"/>
      <c r="P885" s="8"/>
      <c r="Q885" s="8"/>
      <c r="R885" s="8"/>
      <c r="S885" s="8"/>
      <c r="T885" s="8"/>
      <c r="U885" s="8"/>
      <c r="V885" s="8"/>
    </row>
    <row r="886">
      <c r="A886" s="8"/>
      <c r="B886" s="11"/>
      <c r="C886" s="8"/>
      <c r="D886" s="8"/>
      <c r="E886" s="8"/>
      <c r="F886" s="8"/>
      <c r="G886" s="10"/>
      <c r="H886" s="8"/>
      <c r="I886" s="8"/>
      <c r="J886" s="8"/>
      <c r="K886" s="8"/>
      <c r="L886" s="8"/>
      <c r="M886" s="8"/>
      <c r="N886" s="8"/>
      <c r="O886" s="8"/>
      <c r="P886" s="8"/>
      <c r="Q886" s="8"/>
      <c r="R886" s="8"/>
      <c r="S886" s="8"/>
      <c r="T886" s="8"/>
      <c r="U886" s="8"/>
      <c r="V886" s="8"/>
    </row>
    <row r="887">
      <c r="A887" s="8"/>
      <c r="B887" s="11"/>
      <c r="C887" s="8"/>
      <c r="D887" s="8"/>
      <c r="E887" s="8"/>
      <c r="F887" s="8"/>
      <c r="G887" s="10"/>
      <c r="H887" s="8"/>
      <c r="I887" s="8"/>
      <c r="J887" s="8"/>
      <c r="K887" s="8"/>
      <c r="L887" s="8"/>
      <c r="M887" s="8"/>
      <c r="N887" s="8"/>
      <c r="O887" s="8"/>
      <c r="P887" s="8"/>
      <c r="Q887" s="8"/>
      <c r="R887" s="8"/>
      <c r="S887" s="8"/>
      <c r="T887" s="8"/>
      <c r="U887" s="8"/>
      <c r="V887" s="8"/>
    </row>
    <row r="888">
      <c r="A888" s="8"/>
      <c r="B888" s="11"/>
      <c r="C888" s="8"/>
      <c r="D888" s="8"/>
      <c r="E888" s="8"/>
      <c r="F888" s="8"/>
      <c r="G888" s="10"/>
      <c r="H888" s="8"/>
      <c r="I888" s="8"/>
      <c r="J888" s="8"/>
      <c r="K888" s="8"/>
      <c r="L888" s="8"/>
      <c r="M888" s="8"/>
      <c r="N888" s="8"/>
      <c r="O888" s="8"/>
      <c r="P888" s="8"/>
      <c r="Q888" s="8"/>
      <c r="R888" s="8"/>
      <c r="S888" s="8"/>
      <c r="T888" s="8"/>
      <c r="U888" s="8"/>
      <c r="V888" s="8"/>
    </row>
    <row r="889">
      <c r="A889" s="8"/>
      <c r="B889" s="11"/>
      <c r="C889" s="8"/>
      <c r="D889" s="8"/>
      <c r="E889" s="8"/>
      <c r="F889" s="8"/>
      <c r="G889" s="10"/>
      <c r="H889" s="8"/>
      <c r="I889" s="8"/>
      <c r="J889" s="8"/>
      <c r="K889" s="8"/>
      <c r="L889" s="8"/>
      <c r="M889" s="8"/>
      <c r="N889" s="8"/>
      <c r="O889" s="8"/>
      <c r="P889" s="8"/>
      <c r="Q889" s="8"/>
      <c r="R889" s="8"/>
      <c r="S889" s="8"/>
      <c r="T889" s="8"/>
      <c r="U889" s="8"/>
      <c r="V889" s="8"/>
    </row>
    <row r="890">
      <c r="A890" s="8"/>
      <c r="B890" s="11"/>
      <c r="C890" s="8"/>
      <c r="D890" s="8"/>
      <c r="E890" s="8"/>
      <c r="F890" s="8"/>
      <c r="G890" s="10"/>
      <c r="H890" s="8"/>
      <c r="I890" s="8"/>
      <c r="J890" s="8"/>
      <c r="K890" s="8"/>
      <c r="L890" s="8"/>
      <c r="M890" s="8"/>
      <c r="N890" s="8"/>
      <c r="O890" s="8"/>
      <c r="P890" s="8"/>
      <c r="Q890" s="8"/>
      <c r="R890" s="8"/>
      <c r="S890" s="8"/>
      <c r="T890" s="8"/>
      <c r="U890" s="8"/>
      <c r="V890" s="8"/>
    </row>
    <row r="891">
      <c r="A891" s="8"/>
      <c r="B891" s="11"/>
      <c r="C891" s="8"/>
      <c r="D891" s="8"/>
      <c r="E891" s="8"/>
      <c r="F891" s="8"/>
      <c r="G891" s="10"/>
      <c r="H891" s="8"/>
      <c r="I891" s="8"/>
      <c r="J891" s="8"/>
      <c r="K891" s="8"/>
      <c r="L891" s="8"/>
      <c r="M891" s="8"/>
      <c r="N891" s="8"/>
      <c r="O891" s="8"/>
      <c r="P891" s="8"/>
      <c r="Q891" s="8"/>
      <c r="R891" s="8"/>
      <c r="S891" s="8"/>
      <c r="T891" s="8"/>
      <c r="U891" s="8"/>
      <c r="V891" s="8"/>
    </row>
    <row r="892">
      <c r="A892" s="8"/>
      <c r="B892" s="11"/>
      <c r="C892" s="8"/>
      <c r="D892" s="8"/>
      <c r="E892" s="8"/>
      <c r="F892" s="8"/>
      <c r="G892" s="10"/>
      <c r="H892" s="8"/>
      <c r="I892" s="8"/>
      <c r="J892" s="8"/>
      <c r="K892" s="8"/>
      <c r="L892" s="8"/>
      <c r="M892" s="8"/>
      <c r="N892" s="8"/>
      <c r="O892" s="8"/>
      <c r="P892" s="8"/>
      <c r="Q892" s="8"/>
      <c r="R892" s="8"/>
      <c r="S892" s="8"/>
      <c r="T892" s="8"/>
      <c r="U892" s="8"/>
      <c r="V892" s="8"/>
    </row>
    <row r="893">
      <c r="A893" s="8"/>
      <c r="B893" s="11"/>
      <c r="C893" s="8"/>
      <c r="D893" s="8"/>
      <c r="E893" s="8"/>
      <c r="F893" s="8"/>
      <c r="G893" s="10"/>
      <c r="H893" s="8"/>
      <c r="I893" s="8"/>
      <c r="J893" s="8"/>
      <c r="K893" s="8"/>
      <c r="L893" s="8"/>
      <c r="M893" s="8"/>
      <c r="N893" s="8"/>
      <c r="O893" s="8"/>
      <c r="P893" s="8"/>
      <c r="Q893" s="8"/>
      <c r="R893" s="8"/>
      <c r="S893" s="8"/>
      <c r="T893" s="8"/>
      <c r="U893" s="8"/>
      <c r="V893" s="8"/>
    </row>
    <row r="894">
      <c r="A894" s="8"/>
      <c r="B894" s="11"/>
      <c r="C894" s="8"/>
      <c r="D894" s="8"/>
      <c r="E894" s="8"/>
      <c r="F894" s="8"/>
      <c r="G894" s="10"/>
      <c r="H894" s="8"/>
      <c r="I894" s="8"/>
      <c r="J894" s="8"/>
      <c r="K894" s="8"/>
      <c r="L894" s="8"/>
      <c r="M894" s="8"/>
      <c r="N894" s="8"/>
      <c r="O894" s="8"/>
      <c r="P894" s="8"/>
      <c r="Q894" s="8"/>
      <c r="R894" s="8"/>
      <c r="S894" s="8"/>
      <c r="T894" s="8"/>
      <c r="U894" s="8"/>
      <c r="V894" s="8"/>
    </row>
    <row r="895">
      <c r="A895" s="8"/>
      <c r="B895" s="11"/>
      <c r="C895" s="8"/>
      <c r="D895" s="8"/>
      <c r="E895" s="8"/>
      <c r="F895" s="8"/>
      <c r="G895" s="10"/>
      <c r="H895" s="8"/>
      <c r="I895" s="8"/>
      <c r="J895" s="8"/>
      <c r="K895" s="8"/>
      <c r="L895" s="8"/>
      <c r="M895" s="8"/>
      <c r="N895" s="8"/>
      <c r="O895" s="8"/>
      <c r="P895" s="8"/>
      <c r="Q895" s="8"/>
      <c r="R895" s="8"/>
      <c r="S895" s="8"/>
      <c r="T895" s="8"/>
      <c r="U895" s="8"/>
      <c r="V895" s="8"/>
    </row>
    <row r="896">
      <c r="A896" s="8"/>
      <c r="B896" s="11"/>
      <c r="C896" s="8"/>
      <c r="D896" s="8"/>
      <c r="E896" s="8"/>
      <c r="F896" s="8"/>
      <c r="G896" s="10"/>
      <c r="H896" s="8"/>
      <c r="I896" s="8"/>
      <c r="J896" s="8"/>
      <c r="K896" s="8"/>
      <c r="L896" s="8"/>
      <c r="M896" s="8"/>
      <c r="N896" s="8"/>
      <c r="O896" s="8"/>
      <c r="P896" s="8"/>
      <c r="Q896" s="8"/>
      <c r="R896" s="8"/>
      <c r="S896" s="8"/>
      <c r="T896" s="8"/>
      <c r="U896" s="8"/>
      <c r="V896" s="8"/>
    </row>
    <row r="897">
      <c r="A897" s="8"/>
      <c r="B897" s="11"/>
      <c r="C897" s="8"/>
      <c r="D897" s="8"/>
      <c r="E897" s="8"/>
      <c r="F897" s="8"/>
      <c r="G897" s="10"/>
      <c r="H897" s="8"/>
      <c r="I897" s="8"/>
      <c r="J897" s="8"/>
      <c r="K897" s="8"/>
      <c r="L897" s="8"/>
      <c r="M897" s="8"/>
      <c r="N897" s="8"/>
      <c r="O897" s="8"/>
      <c r="P897" s="8"/>
      <c r="Q897" s="8"/>
      <c r="R897" s="8"/>
      <c r="S897" s="8"/>
      <c r="T897" s="8"/>
      <c r="U897" s="8"/>
      <c r="V897" s="8"/>
    </row>
    <row r="898">
      <c r="A898" s="8"/>
      <c r="B898" s="11"/>
      <c r="C898" s="8"/>
      <c r="D898" s="8"/>
      <c r="E898" s="8"/>
      <c r="F898" s="8"/>
      <c r="G898" s="10"/>
      <c r="H898" s="8"/>
      <c r="I898" s="8"/>
      <c r="J898" s="8"/>
      <c r="K898" s="8"/>
      <c r="L898" s="8"/>
      <c r="M898" s="8"/>
      <c r="N898" s="8"/>
      <c r="O898" s="8"/>
      <c r="P898" s="8"/>
      <c r="Q898" s="8"/>
      <c r="R898" s="8"/>
      <c r="S898" s="8"/>
      <c r="T898" s="8"/>
      <c r="U898" s="8"/>
      <c r="V898" s="8"/>
    </row>
    <row r="899">
      <c r="A899" s="8"/>
      <c r="B899" s="11"/>
      <c r="C899" s="8"/>
      <c r="D899" s="8"/>
      <c r="E899" s="8"/>
      <c r="F899" s="8"/>
      <c r="G899" s="10"/>
      <c r="H899" s="8"/>
      <c r="I899" s="8"/>
      <c r="J899" s="8"/>
      <c r="K899" s="8"/>
      <c r="L899" s="8"/>
      <c r="M899" s="8"/>
      <c r="N899" s="8"/>
      <c r="O899" s="8"/>
      <c r="P899" s="8"/>
      <c r="Q899" s="8"/>
      <c r="R899" s="8"/>
      <c r="S899" s="8"/>
      <c r="T899" s="8"/>
      <c r="U899" s="8"/>
      <c r="V899" s="8"/>
    </row>
    <row r="900">
      <c r="A900" s="8"/>
      <c r="B900" s="11"/>
      <c r="C900" s="8"/>
      <c r="D900" s="8"/>
      <c r="E900" s="8"/>
      <c r="F900" s="8"/>
      <c r="G900" s="10"/>
      <c r="H900" s="8"/>
      <c r="I900" s="8"/>
      <c r="J900" s="8"/>
      <c r="K900" s="8"/>
      <c r="L900" s="8"/>
      <c r="M900" s="8"/>
      <c r="N900" s="8"/>
      <c r="O900" s="8"/>
      <c r="P900" s="8"/>
      <c r="Q900" s="8"/>
      <c r="R900" s="8"/>
      <c r="S900" s="8"/>
      <c r="T900" s="8"/>
      <c r="U900" s="8"/>
      <c r="V900" s="8"/>
    </row>
    <row r="901">
      <c r="A901" s="8"/>
      <c r="B901" s="11"/>
      <c r="C901" s="8"/>
      <c r="D901" s="8"/>
      <c r="E901" s="8"/>
      <c r="F901" s="8"/>
      <c r="G901" s="10"/>
      <c r="H901" s="8"/>
      <c r="I901" s="8"/>
      <c r="J901" s="8"/>
      <c r="K901" s="8"/>
      <c r="L901" s="8"/>
      <c r="M901" s="8"/>
      <c r="N901" s="8"/>
      <c r="O901" s="8"/>
      <c r="P901" s="8"/>
      <c r="Q901" s="8"/>
      <c r="R901" s="8"/>
      <c r="S901" s="8"/>
      <c r="T901" s="8"/>
      <c r="U901" s="8"/>
      <c r="V901" s="8"/>
    </row>
    <row r="902">
      <c r="A902" s="8"/>
      <c r="B902" s="11"/>
      <c r="C902" s="8"/>
      <c r="D902" s="8"/>
      <c r="E902" s="8"/>
      <c r="F902" s="8"/>
      <c r="G902" s="10"/>
      <c r="H902" s="8"/>
      <c r="I902" s="8"/>
      <c r="J902" s="8"/>
      <c r="K902" s="8"/>
      <c r="L902" s="8"/>
      <c r="M902" s="8"/>
      <c r="N902" s="8"/>
      <c r="O902" s="8"/>
      <c r="P902" s="8"/>
      <c r="Q902" s="8"/>
      <c r="R902" s="8"/>
      <c r="S902" s="8"/>
      <c r="T902" s="8"/>
      <c r="U902" s="8"/>
      <c r="V902" s="8"/>
    </row>
    <row r="903">
      <c r="A903" s="8"/>
      <c r="B903" s="11"/>
      <c r="C903" s="8"/>
      <c r="D903" s="8"/>
      <c r="E903" s="8"/>
      <c r="F903" s="8"/>
      <c r="G903" s="10"/>
      <c r="H903" s="8"/>
      <c r="I903" s="8"/>
      <c r="J903" s="8"/>
      <c r="K903" s="8"/>
      <c r="L903" s="8"/>
      <c r="M903" s="8"/>
      <c r="N903" s="8"/>
      <c r="O903" s="8"/>
      <c r="P903" s="8"/>
      <c r="Q903" s="8"/>
      <c r="R903" s="8"/>
      <c r="S903" s="8"/>
      <c r="T903" s="8"/>
      <c r="U903" s="8"/>
      <c r="V903" s="8"/>
    </row>
    <row r="904">
      <c r="A904" s="8"/>
      <c r="B904" s="11"/>
      <c r="C904" s="8"/>
      <c r="D904" s="8"/>
      <c r="E904" s="8"/>
      <c r="F904" s="8"/>
      <c r="G904" s="10"/>
      <c r="H904" s="8"/>
      <c r="I904" s="8"/>
      <c r="J904" s="8"/>
      <c r="K904" s="8"/>
      <c r="L904" s="8"/>
      <c r="M904" s="8"/>
      <c r="N904" s="8"/>
      <c r="O904" s="8"/>
      <c r="P904" s="8"/>
      <c r="Q904" s="8"/>
      <c r="R904" s="8"/>
      <c r="S904" s="8"/>
      <c r="T904" s="8"/>
      <c r="U904" s="8"/>
      <c r="V904" s="8"/>
    </row>
    <row r="905">
      <c r="A905" s="8"/>
      <c r="B905" s="11"/>
      <c r="C905" s="8"/>
      <c r="D905" s="8"/>
      <c r="E905" s="8"/>
      <c r="F905" s="8"/>
      <c r="G905" s="10"/>
      <c r="H905" s="8"/>
      <c r="I905" s="8"/>
      <c r="J905" s="8"/>
      <c r="K905" s="8"/>
      <c r="L905" s="8"/>
      <c r="M905" s="8"/>
      <c r="N905" s="8"/>
      <c r="O905" s="8"/>
      <c r="P905" s="8"/>
      <c r="Q905" s="8"/>
      <c r="R905" s="8"/>
      <c r="S905" s="8"/>
      <c r="T905" s="8"/>
      <c r="U905" s="8"/>
      <c r="V905" s="8"/>
    </row>
    <row r="906">
      <c r="A906" s="8"/>
      <c r="B906" s="11"/>
      <c r="C906" s="8"/>
      <c r="D906" s="8"/>
      <c r="E906" s="8"/>
      <c r="F906" s="8"/>
      <c r="G906" s="10"/>
      <c r="H906" s="8"/>
      <c r="I906" s="8"/>
      <c r="J906" s="8"/>
      <c r="K906" s="8"/>
      <c r="L906" s="8"/>
      <c r="M906" s="8"/>
      <c r="N906" s="8"/>
      <c r="O906" s="8"/>
      <c r="P906" s="8"/>
      <c r="Q906" s="8"/>
      <c r="R906" s="8"/>
      <c r="S906" s="8"/>
      <c r="T906" s="8"/>
      <c r="U906" s="8"/>
      <c r="V906" s="8"/>
    </row>
    <row r="907">
      <c r="A907" s="8"/>
      <c r="B907" s="11"/>
      <c r="C907" s="8"/>
      <c r="D907" s="8"/>
      <c r="E907" s="8"/>
      <c r="F907" s="8"/>
      <c r="G907" s="10"/>
      <c r="H907" s="8"/>
      <c r="I907" s="8"/>
      <c r="J907" s="8"/>
      <c r="K907" s="8"/>
      <c r="L907" s="8"/>
      <c r="M907" s="8"/>
      <c r="N907" s="8"/>
      <c r="O907" s="8"/>
      <c r="P907" s="8"/>
      <c r="Q907" s="8"/>
      <c r="R907" s="8"/>
      <c r="S907" s="8"/>
      <c r="T907" s="8"/>
      <c r="U907" s="8"/>
      <c r="V907" s="8"/>
    </row>
    <row r="908">
      <c r="A908" s="8"/>
      <c r="B908" s="11"/>
      <c r="C908" s="8"/>
      <c r="D908" s="8"/>
      <c r="E908" s="8"/>
      <c r="F908" s="8"/>
      <c r="G908" s="10"/>
      <c r="H908" s="8"/>
      <c r="I908" s="8"/>
      <c r="J908" s="8"/>
      <c r="K908" s="8"/>
      <c r="L908" s="8"/>
      <c r="M908" s="8"/>
      <c r="N908" s="8"/>
      <c r="O908" s="8"/>
      <c r="P908" s="8"/>
      <c r="Q908" s="8"/>
      <c r="R908" s="8"/>
      <c r="S908" s="8"/>
      <c r="T908" s="8"/>
      <c r="U908" s="8"/>
      <c r="V908" s="8"/>
    </row>
    <row r="909">
      <c r="A909" s="8"/>
      <c r="B909" s="11"/>
      <c r="C909" s="8"/>
      <c r="D909" s="8"/>
      <c r="E909" s="8"/>
      <c r="F909" s="8"/>
      <c r="G909" s="10"/>
      <c r="H909" s="8"/>
      <c r="I909" s="8"/>
      <c r="J909" s="8"/>
      <c r="K909" s="8"/>
      <c r="L909" s="8"/>
      <c r="M909" s="8"/>
      <c r="N909" s="8"/>
      <c r="O909" s="8"/>
      <c r="P909" s="8"/>
      <c r="Q909" s="8"/>
      <c r="R909" s="8"/>
      <c r="S909" s="8"/>
      <c r="T909" s="8"/>
      <c r="U909" s="8"/>
      <c r="V909" s="8"/>
    </row>
    <row r="910">
      <c r="A910" s="8"/>
      <c r="B910" s="11"/>
      <c r="C910" s="8"/>
      <c r="D910" s="8"/>
      <c r="E910" s="8"/>
      <c r="F910" s="8"/>
      <c r="G910" s="10"/>
      <c r="H910" s="8"/>
      <c r="I910" s="8"/>
      <c r="J910" s="8"/>
      <c r="K910" s="8"/>
      <c r="L910" s="8"/>
      <c r="M910" s="8"/>
      <c r="N910" s="8"/>
      <c r="O910" s="8"/>
      <c r="P910" s="8"/>
      <c r="Q910" s="8"/>
      <c r="R910" s="8"/>
      <c r="S910" s="8"/>
      <c r="T910" s="8"/>
      <c r="U910" s="8"/>
      <c r="V910" s="8"/>
    </row>
    <row r="911">
      <c r="A911" s="8"/>
      <c r="B911" s="11"/>
      <c r="C911" s="8"/>
      <c r="D911" s="8"/>
      <c r="E911" s="8"/>
      <c r="F911" s="8"/>
      <c r="G911" s="10"/>
      <c r="H911" s="8"/>
      <c r="I911" s="8"/>
      <c r="J911" s="8"/>
      <c r="K911" s="8"/>
      <c r="L911" s="8"/>
      <c r="M911" s="8"/>
      <c r="N911" s="8"/>
      <c r="O911" s="8"/>
      <c r="P911" s="8"/>
      <c r="Q911" s="8"/>
      <c r="R911" s="8"/>
      <c r="S911" s="8"/>
      <c r="T911" s="8"/>
      <c r="U911" s="8"/>
      <c r="V911" s="8"/>
    </row>
    <row r="912">
      <c r="A912" s="8"/>
      <c r="B912" s="11"/>
      <c r="C912" s="8"/>
      <c r="D912" s="8"/>
      <c r="E912" s="8"/>
      <c r="F912" s="8"/>
      <c r="G912" s="10"/>
      <c r="H912" s="8"/>
      <c r="I912" s="8"/>
      <c r="J912" s="8"/>
      <c r="K912" s="8"/>
      <c r="L912" s="8"/>
      <c r="M912" s="8"/>
      <c r="N912" s="8"/>
      <c r="O912" s="8"/>
      <c r="P912" s="8"/>
      <c r="Q912" s="8"/>
      <c r="R912" s="8"/>
      <c r="S912" s="8"/>
      <c r="T912" s="8"/>
      <c r="U912" s="8"/>
      <c r="V912" s="8"/>
    </row>
    <row r="913">
      <c r="A913" s="8"/>
      <c r="B913" s="11"/>
      <c r="C913" s="8"/>
      <c r="D913" s="8"/>
      <c r="E913" s="8"/>
      <c r="F913" s="8"/>
      <c r="G913" s="10"/>
      <c r="H913" s="8"/>
      <c r="I913" s="8"/>
      <c r="J913" s="8"/>
      <c r="K913" s="8"/>
      <c r="L913" s="8"/>
      <c r="M913" s="8"/>
      <c r="N913" s="8"/>
      <c r="O913" s="8"/>
      <c r="P913" s="8"/>
      <c r="Q913" s="8"/>
      <c r="R913" s="8"/>
      <c r="S913" s="8"/>
      <c r="T913" s="8"/>
      <c r="U913" s="8"/>
      <c r="V913" s="8"/>
    </row>
    <row r="914">
      <c r="A914" s="8"/>
      <c r="B914" s="11"/>
      <c r="C914" s="8"/>
      <c r="D914" s="8"/>
      <c r="E914" s="8"/>
      <c r="F914" s="8"/>
      <c r="G914" s="10"/>
      <c r="H914" s="8"/>
      <c r="I914" s="8"/>
      <c r="J914" s="8"/>
      <c r="K914" s="8"/>
      <c r="L914" s="8"/>
      <c r="M914" s="8"/>
      <c r="N914" s="8"/>
      <c r="O914" s="8"/>
      <c r="P914" s="8"/>
      <c r="Q914" s="8"/>
      <c r="R914" s="8"/>
      <c r="S914" s="8"/>
      <c r="T914" s="8"/>
      <c r="U914" s="8"/>
      <c r="V914" s="8"/>
    </row>
    <row r="915">
      <c r="A915" s="8"/>
      <c r="B915" s="11"/>
      <c r="C915" s="8"/>
      <c r="D915" s="8"/>
      <c r="E915" s="8"/>
      <c r="F915" s="8"/>
      <c r="G915" s="10"/>
      <c r="H915" s="8"/>
      <c r="I915" s="8"/>
      <c r="J915" s="8"/>
      <c r="K915" s="8"/>
      <c r="L915" s="8"/>
      <c r="M915" s="8"/>
      <c r="N915" s="8"/>
      <c r="O915" s="8"/>
      <c r="P915" s="8"/>
      <c r="Q915" s="8"/>
      <c r="R915" s="8"/>
      <c r="S915" s="8"/>
      <c r="T915" s="8"/>
      <c r="U915" s="8"/>
      <c r="V915" s="8"/>
    </row>
    <row r="916">
      <c r="A916" s="8"/>
      <c r="B916" s="11"/>
      <c r="C916" s="8"/>
      <c r="D916" s="8"/>
      <c r="E916" s="8"/>
      <c r="F916" s="8"/>
      <c r="G916" s="10"/>
      <c r="H916" s="8"/>
      <c r="I916" s="8"/>
      <c r="J916" s="8"/>
      <c r="K916" s="8"/>
      <c r="L916" s="8"/>
      <c r="M916" s="8"/>
      <c r="N916" s="8"/>
      <c r="O916" s="8"/>
      <c r="P916" s="8"/>
      <c r="Q916" s="8"/>
      <c r="R916" s="8"/>
      <c r="S916" s="8"/>
      <c r="T916" s="8"/>
      <c r="U916" s="8"/>
      <c r="V916" s="8"/>
    </row>
    <row r="917">
      <c r="A917" s="8"/>
      <c r="B917" s="11"/>
      <c r="C917" s="8"/>
      <c r="D917" s="8"/>
      <c r="E917" s="8"/>
      <c r="F917" s="8"/>
      <c r="G917" s="10"/>
      <c r="H917" s="8"/>
      <c r="I917" s="8"/>
      <c r="J917" s="8"/>
      <c r="K917" s="8"/>
      <c r="L917" s="8"/>
      <c r="M917" s="8"/>
      <c r="N917" s="8"/>
      <c r="O917" s="8"/>
      <c r="P917" s="8"/>
      <c r="Q917" s="8"/>
      <c r="R917" s="8"/>
      <c r="S917" s="8"/>
      <c r="T917" s="8"/>
      <c r="U917" s="8"/>
      <c r="V917" s="8"/>
    </row>
    <row r="918">
      <c r="A918" s="8"/>
      <c r="B918" s="11"/>
      <c r="C918" s="8"/>
      <c r="D918" s="8"/>
      <c r="E918" s="8"/>
      <c r="F918" s="8"/>
      <c r="G918" s="10"/>
      <c r="H918" s="8"/>
      <c r="I918" s="8"/>
      <c r="J918" s="8"/>
      <c r="K918" s="8"/>
      <c r="L918" s="8"/>
      <c r="M918" s="8"/>
      <c r="N918" s="8"/>
      <c r="O918" s="8"/>
      <c r="P918" s="8"/>
      <c r="Q918" s="8"/>
      <c r="R918" s="8"/>
      <c r="S918" s="8"/>
      <c r="T918" s="8"/>
      <c r="U918" s="8"/>
      <c r="V918" s="8"/>
    </row>
    <row r="919">
      <c r="A919" s="8"/>
      <c r="B919" s="11"/>
      <c r="C919" s="8"/>
      <c r="D919" s="8"/>
      <c r="E919" s="8"/>
      <c r="F919" s="8"/>
      <c r="G919" s="10"/>
      <c r="H919" s="8"/>
      <c r="I919" s="8"/>
      <c r="J919" s="8"/>
      <c r="K919" s="8"/>
      <c r="L919" s="8"/>
      <c r="M919" s="8"/>
      <c r="N919" s="8"/>
      <c r="O919" s="8"/>
      <c r="P919" s="8"/>
      <c r="Q919" s="8"/>
      <c r="R919" s="8"/>
      <c r="S919" s="8"/>
      <c r="T919" s="8"/>
      <c r="U919" s="8"/>
      <c r="V919" s="8"/>
    </row>
    <row r="920">
      <c r="A920" s="8"/>
      <c r="B920" s="11"/>
      <c r="C920" s="8"/>
      <c r="D920" s="8"/>
      <c r="E920" s="8"/>
      <c r="F920" s="8"/>
      <c r="G920" s="10"/>
      <c r="H920" s="8"/>
      <c r="I920" s="8"/>
      <c r="J920" s="8"/>
      <c r="K920" s="8"/>
      <c r="L920" s="8"/>
      <c r="M920" s="8"/>
      <c r="N920" s="8"/>
      <c r="O920" s="8"/>
      <c r="P920" s="8"/>
      <c r="Q920" s="8"/>
      <c r="R920" s="8"/>
      <c r="S920" s="8"/>
      <c r="T920" s="8"/>
      <c r="U920" s="8"/>
      <c r="V920" s="8"/>
    </row>
    <row r="921">
      <c r="A921" s="8"/>
      <c r="B921" s="11"/>
      <c r="C921" s="8"/>
      <c r="D921" s="8"/>
      <c r="E921" s="8"/>
      <c r="F921" s="8"/>
      <c r="G921" s="10"/>
      <c r="H921" s="8"/>
      <c r="I921" s="8"/>
      <c r="J921" s="8"/>
      <c r="K921" s="8"/>
      <c r="L921" s="8"/>
      <c r="M921" s="8"/>
      <c r="N921" s="8"/>
      <c r="O921" s="8"/>
      <c r="P921" s="8"/>
      <c r="Q921" s="8"/>
      <c r="R921" s="8"/>
      <c r="S921" s="8"/>
      <c r="T921" s="8"/>
      <c r="U921" s="8"/>
      <c r="V921" s="8"/>
    </row>
    <row r="922">
      <c r="A922" s="8"/>
      <c r="B922" s="11"/>
      <c r="C922" s="8"/>
      <c r="D922" s="8"/>
      <c r="E922" s="8"/>
      <c r="F922" s="8"/>
      <c r="G922" s="10"/>
      <c r="H922" s="8"/>
      <c r="I922" s="8"/>
      <c r="J922" s="8"/>
      <c r="K922" s="8"/>
      <c r="L922" s="8"/>
      <c r="M922" s="8"/>
      <c r="N922" s="8"/>
      <c r="O922" s="8"/>
      <c r="P922" s="8"/>
      <c r="Q922" s="8"/>
      <c r="R922" s="8"/>
      <c r="S922" s="8"/>
      <c r="T922" s="8"/>
      <c r="U922" s="8"/>
      <c r="V922" s="8"/>
    </row>
    <row r="923">
      <c r="A923" s="8"/>
      <c r="B923" s="11"/>
      <c r="C923" s="8"/>
      <c r="D923" s="8"/>
      <c r="E923" s="8"/>
      <c r="F923" s="8"/>
      <c r="G923" s="10"/>
      <c r="H923" s="8"/>
      <c r="I923" s="8"/>
      <c r="J923" s="8"/>
      <c r="K923" s="8"/>
      <c r="L923" s="8"/>
      <c r="M923" s="8"/>
      <c r="N923" s="8"/>
      <c r="O923" s="8"/>
      <c r="P923" s="8"/>
      <c r="Q923" s="8"/>
      <c r="R923" s="8"/>
      <c r="S923" s="8"/>
      <c r="T923" s="8"/>
      <c r="U923" s="8"/>
      <c r="V923" s="8"/>
    </row>
    <row r="924">
      <c r="A924" s="8"/>
      <c r="B924" s="11"/>
      <c r="C924" s="8"/>
      <c r="D924" s="8"/>
      <c r="E924" s="8"/>
      <c r="F924" s="8"/>
      <c r="G924" s="10"/>
      <c r="H924" s="8"/>
      <c r="I924" s="8"/>
      <c r="J924" s="8"/>
      <c r="K924" s="8"/>
      <c r="L924" s="8"/>
      <c r="M924" s="8"/>
      <c r="N924" s="8"/>
      <c r="O924" s="8"/>
      <c r="P924" s="8"/>
      <c r="Q924" s="8"/>
      <c r="R924" s="8"/>
      <c r="S924" s="8"/>
      <c r="T924" s="8"/>
      <c r="U924" s="8"/>
      <c r="V924" s="8"/>
    </row>
    <row r="925">
      <c r="A925" s="8"/>
      <c r="B925" s="11"/>
      <c r="C925" s="8"/>
      <c r="D925" s="8"/>
      <c r="E925" s="8"/>
      <c r="F925" s="8"/>
      <c r="G925" s="10"/>
      <c r="H925" s="8"/>
      <c r="I925" s="8"/>
      <c r="J925" s="8"/>
      <c r="K925" s="8"/>
      <c r="L925" s="8"/>
      <c r="M925" s="8"/>
      <c r="N925" s="8"/>
      <c r="O925" s="8"/>
      <c r="P925" s="8"/>
      <c r="Q925" s="8"/>
      <c r="R925" s="8"/>
      <c r="S925" s="8"/>
      <c r="T925" s="8"/>
      <c r="U925" s="8"/>
      <c r="V925" s="8"/>
    </row>
    <row r="926">
      <c r="A926" s="8"/>
      <c r="B926" s="11"/>
      <c r="C926" s="8"/>
      <c r="D926" s="8"/>
      <c r="E926" s="8"/>
      <c r="F926" s="8"/>
      <c r="G926" s="10"/>
      <c r="H926" s="8"/>
      <c r="I926" s="8"/>
      <c r="J926" s="8"/>
      <c r="K926" s="8"/>
      <c r="L926" s="8"/>
      <c r="M926" s="8"/>
      <c r="N926" s="8"/>
      <c r="O926" s="8"/>
      <c r="P926" s="8"/>
      <c r="Q926" s="8"/>
      <c r="R926" s="8"/>
      <c r="S926" s="8"/>
      <c r="T926" s="8"/>
      <c r="U926" s="8"/>
      <c r="V926" s="8"/>
    </row>
    <row r="927">
      <c r="A927" s="8"/>
      <c r="B927" s="11"/>
      <c r="C927" s="8"/>
      <c r="D927" s="8"/>
      <c r="E927" s="8"/>
      <c r="F927" s="8"/>
      <c r="G927" s="10"/>
      <c r="H927" s="8"/>
      <c r="I927" s="8"/>
      <c r="J927" s="8"/>
      <c r="K927" s="8"/>
      <c r="L927" s="8"/>
      <c r="M927" s="8"/>
      <c r="N927" s="8"/>
      <c r="O927" s="8"/>
      <c r="P927" s="8"/>
      <c r="Q927" s="8"/>
      <c r="R927" s="8"/>
      <c r="S927" s="8"/>
      <c r="T927" s="8"/>
      <c r="U927" s="8"/>
      <c r="V927" s="8"/>
    </row>
    <row r="928">
      <c r="A928" s="8"/>
      <c r="B928" s="11"/>
      <c r="C928" s="8"/>
      <c r="D928" s="8"/>
      <c r="E928" s="8"/>
      <c r="F928" s="8"/>
      <c r="G928" s="10"/>
      <c r="H928" s="8"/>
      <c r="I928" s="8"/>
      <c r="J928" s="8"/>
      <c r="K928" s="8"/>
      <c r="L928" s="8"/>
      <c r="M928" s="8"/>
      <c r="N928" s="8"/>
      <c r="O928" s="8"/>
      <c r="P928" s="8"/>
      <c r="Q928" s="8"/>
      <c r="R928" s="8"/>
      <c r="S928" s="8"/>
      <c r="T928" s="8"/>
      <c r="U928" s="8"/>
      <c r="V928" s="8"/>
    </row>
    <row r="929">
      <c r="A929" s="8"/>
      <c r="B929" s="11"/>
      <c r="C929" s="8"/>
      <c r="D929" s="8"/>
      <c r="E929" s="8"/>
      <c r="F929" s="8"/>
      <c r="G929" s="10"/>
      <c r="H929" s="8"/>
      <c r="I929" s="8"/>
      <c r="J929" s="8"/>
      <c r="K929" s="8"/>
      <c r="L929" s="8"/>
      <c r="M929" s="8"/>
      <c r="N929" s="8"/>
      <c r="O929" s="8"/>
      <c r="P929" s="8"/>
      <c r="Q929" s="8"/>
      <c r="R929" s="8"/>
      <c r="S929" s="8"/>
      <c r="T929" s="8"/>
      <c r="U929" s="8"/>
      <c r="V929" s="8"/>
    </row>
    <row r="930">
      <c r="A930" s="8"/>
      <c r="B930" s="11"/>
      <c r="C930" s="8"/>
      <c r="D930" s="8"/>
      <c r="E930" s="8"/>
      <c r="F930" s="8"/>
      <c r="G930" s="10"/>
      <c r="H930" s="8"/>
      <c r="I930" s="8"/>
      <c r="J930" s="8"/>
      <c r="K930" s="8"/>
      <c r="L930" s="8"/>
      <c r="M930" s="8"/>
      <c r="N930" s="8"/>
      <c r="O930" s="8"/>
      <c r="P930" s="8"/>
      <c r="Q930" s="8"/>
      <c r="R930" s="8"/>
      <c r="S930" s="8"/>
      <c r="T930" s="8"/>
      <c r="U930" s="8"/>
      <c r="V930" s="8"/>
    </row>
    <row r="931">
      <c r="A931" s="8"/>
      <c r="B931" s="11"/>
      <c r="C931" s="8"/>
      <c r="D931" s="8"/>
      <c r="E931" s="8"/>
      <c r="F931" s="8"/>
      <c r="G931" s="10"/>
      <c r="H931" s="8"/>
      <c r="I931" s="8"/>
      <c r="J931" s="8"/>
      <c r="K931" s="8"/>
      <c r="L931" s="8"/>
      <c r="M931" s="8"/>
      <c r="N931" s="8"/>
      <c r="O931" s="8"/>
      <c r="P931" s="8"/>
      <c r="Q931" s="8"/>
      <c r="R931" s="8"/>
      <c r="S931" s="8"/>
      <c r="T931" s="8"/>
      <c r="U931" s="8"/>
      <c r="V931" s="8"/>
    </row>
    <row r="932">
      <c r="A932" s="8"/>
      <c r="B932" s="11"/>
      <c r="C932" s="8"/>
      <c r="D932" s="8"/>
      <c r="E932" s="8"/>
      <c r="F932" s="8"/>
      <c r="G932" s="10"/>
      <c r="H932" s="8"/>
      <c r="I932" s="8"/>
      <c r="J932" s="8"/>
      <c r="K932" s="8"/>
      <c r="L932" s="8"/>
      <c r="M932" s="8"/>
      <c r="N932" s="8"/>
      <c r="O932" s="8"/>
      <c r="P932" s="8"/>
      <c r="Q932" s="8"/>
      <c r="R932" s="8"/>
      <c r="S932" s="8"/>
      <c r="T932" s="8"/>
      <c r="U932" s="8"/>
      <c r="V932" s="8"/>
    </row>
    <row r="933">
      <c r="A933" s="8"/>
      <c r="B933" s="11"/>
      <c r="C933" s="8"/>
      <c r="D933" s="8"/>
      <c r="E933" s="8"/>
      <c r="F933" s="8"/>
      <c r="G933" s="10"/>
      <c r="H933" s="8"/>
      <c r="I933" s="8"/>
      <c r="J933" s="8"/>
      <c r="K933" s="8"/>
      <c r="L933" s="8"/>
      <c r="M933" s="8"/>
      <c r="N933" s="8"/>
      <c r="O933" s="8"/>
      <c r="P933" s="8"/>
      <c r="Q933" s="8"/>
      <c r="R933" s="8"/>
      <c r="S933" s="8"/>
      <c r="T933" s="8"/>
      <c r="U933" s="8"/>
      <c r="V933" s="8"/>
    </row>
    <row r="934">
      <c r="A934" s="8"/>
      <c r="B934" s="11"/>
      <c r="C934" s="8"/>
      <c r="D934" s="8"/>
      <c r="E934" s="8"/>
      <c r="F934" s="8"/>
      <c r="G934" s="10"/>
      <c r="H934" s="8"/>
      <c r="I934" s="8"/>
      <c r="J934" s="8"/>
      <c r="K934" s="8"/>
      <c r="L934" s="8"/>
      <c r="M934" s="8"/>
      <c r="N934" s="8"/>
      <c r="O934" s="8"/>
      <c r="P934" s="8"/>
      <c r="Q934" s="8"/>
      <c r="R934" s="8"/>
      <c r="S934" s="8"/>
      <c r="T934" s="8"/>
      <c r="U934" s="8"/>
      <c r="V934" s="8"/>
    </row>
    <row r="935">
      <c r="A935" s="8"/>
      <c r="B935" s="11"/>
      <c r="C935" s="8"/>
      <c r="D935" s="8"/>
      <c r="E935" s="8"/>
      <c r="F935" s="8"/>
      <c r="G935" s="10"/>
      <c r="H935" s="8"/>
      <c r="I935" s="8"/>
      <c r="J935" s="8"/>
      <c r="K935" s="8"/>
      <c r="L935" s="8"/>
      <c r="M935" s="8"/>
      <c r="N935" s="8"/>
      <c r="O935" s="8"/>
      <c r="P935" s="8"/>
      <c r="Q935" s="8"/>
      <c r="R935" s="8"/>
      <c r="S935" s="8"/>
      <c r="T935" s="8"/>
      <c r="U935" s="8"/>
      <c r="V935" s="8"/>
    </row>
    <row r="936">
      <c r="A936" s="8"/>
      <c r="B936" s="11"/>
      <c r="C936" s="8"/>
      <c r="D936" s="8"/>
      <c r="E936" s="8"/>
      <c r="F936" s="8"/>
      <c r="G936" s="10"/>
      <c r="H936" s="8"/>
      <c r="I936" s="8"/>
      <c r="J936" s="8"/>
      <c r="K936" s="8"/>
      <c r="L936" s="8"/>
      <c r="M936" s="8"/>
      <c r="N936" s="8"/>
      <c r="O936" s="8"/>
      <c r="P936" s="8"/>
      <c r="Q936" s="8"/>
      <c r="R936" s="8"/>
      <c r="S936" s="8"/>
      <c r="T936" s="8"/>
      <c r="U936" s="8"/>
      <c r="V936" s="8"/>
    </row>
    <row r="937">
      <c r="A937" s="8"/>
      <c r="B937" s="11"/>
      <c r="C937" s="8"/>
      <c r="D937" s="8"/>
      <c r="E937" s="8"/>
      <c r="F937" s="8"/>
      <c r="G937" s="10"/>
      <c r="H937" s="8"/>
      <c r="I937" s="8"/>
      <c r="J937" s="8"/>
      <c r="K937" s="8"/>
      <c r="L937" s="8"/>
      <c r="M937" s="8"/>
      <c r="N937" s="8"/>
      <c r="O937" s="8"/>
      <c r="P937" s="8"/>
      <c r="Q937" s="8"/>
      <c r="R937" s="8"/>
      <c r="S937" s="8"/>
      <c r="T937" s="8"/>
      <c r="U937" s="8"/>
      <c r="V937" s="8"/>
    </row>
    <row r="938">
      <c r="A938" s="8"/>
      <c r="B938" s="11"/>
      <c r="C938" s="8"/>
      <c r="D938" s="8"/>
      <c r="E938" s="8"/>
      <c r="F938" s="8"/>
      <c r="G938" s="10"/>
      <c r="H938" s="8"/>
      <c r="I938" s="8"/>
      <c r="J938" s="8"/>
      <c r="K938" s="8"/>
      <c r="L938" s="8"/>
      <c r="M938" s="8"/>
      <c r="N938" s="8"/>
      <c r="O938" s="8"/>
      <c r="P938" s="8"/>
      <c r="Q938" s="8"/>
      <c r="R938" s="8"/>
      <c r="S938" s="8"/>
      <c r="T938" s="8"/>
      <c r="U938" s="8"/>
      <c r="V938" s="8"/>
    </row>
    <row r="939">
      <c r="A939" s="8"/>
      <c r="B939" s="11"/>
      <c r="C939" s="8"/>
      <c r="D939" s="8"/>
      <c r="E939" s="8"/>
      <c r="F939" s="8"/>
      <c r="G939" s="10"/>
      <c r="H939" s="8"/>
      <c r="I939" s="8"/>
      <c r="J939" s="8"/>
      <c r="K939" s="8"/>
      <c r="L939" s="8"/>
      <c r="M939" s="8"/>
      <c r="N939" s="8"/>
      <c r="O939" s="8"/>
      <c r="P939" s="8"/>
      <c r="Q939" s="8"/>
      <c r="R939" s="8"/>
      <c r="S939" s="8"/>
      <c r="T939" s="8"/>
      <c r="U939" s="8"/>
      <c r="V939" s="8"/>
    </row>
    <row r="940">
      <c r="A940" s="8"/>
      <c r="B940" s="11"/>
      <c r="C940" s="8"/>
      <c r="D940" s="8"/>
      <c r="E940" s="8"/>
      <c r="F940" s="8"/>
      <c r="G940" s="10"/>
      <c r="H940" s="8"/>
      <c r="I940" s="8"/>
      <c r="J940" s="8"/>
      <c r="K940" s="8"/>
      <c r="L940" s="8"/>
      <c r="M940" s="8"/>
      <c r="N940" s="8"/>
      <c r="O940" s="8"/>
      <c r="P940" s="8"/>
      <c r="Q940" s="8"/>
      <c r="R940" s="8"/>
      <c r="S940" s="8"/>
      <c r="T940" s="8"/>
      <c r="U940" s="8"/>
      <c r="V940" s="8"/>
    </row>
    <row r="941">
      <c r="A941" s="8"/>
      <c r="B941" s="11"/>
      <c r="C941" s="8"/>
      <c r="D941" s="8"/>
      <c r="E941" s="8"/>
      <c r="F941" s="8"/>
      <c r="G941" s="10"/>
      <c r="H941" s="8"/>
      <c r="I941" s="8"/>
      <c r="J941" s="8"/>
      <c r="K941" s="8"/>
      <c r="L941" s="8"/>
      <c r="M941" s="8"/>
      <c r="N941" s="8"/>
      <c r="O941" s="8"/>
      <c r="P941" s="8"/>
      <c r="Q941" s="8"/>
      <c r="R941" s="8"/>
      <c r="S941" s="8"/>
      <c r="T941" s="8"/>
      <c r="U941" s="8"/>
      <c r="V941" s="8"/>
    </row>
    <row r="942">
      <c r="A942" s="8"/>
      <c r="B942" s="11"/>
      <c r="C942" s="8"/>
      <c r="D942" s="8"/>
      <c r="E942" s="8"/>
      <c r="F942" s="8"/>
      <c r="G942" s="10"/>
      <c r="H942" s="8"/>
      <c r="I942" s="8"/>
      <c r="J942" s="8"/>
      <c r="K942" s="8"/>
      <c r="L942" s="8"/>
      <c r="M942" s="8"/>
      <c r="N942" s="8"/>
      <c r="O942" s="8"/>
      <c r="P942" s="8"/>
      <c r="Q942" s="8"/>
      <c r="R942" s="8"/>
      <c r="S942" s="8"/>
      <c r="T942" s="8"/>
      <c r="U942" s="8"/>
      <c r="V942" s="8"/>
    </row>
    <row r="943">
      <c r="A943" s="8"/>
      <c r="B943" s="11"/>
      <c r="C943" s="8"/>
      <c r="D943" s="8"/>
      <c r="E943" s="8"/>
      <c r="F943" s="8"/>
      <c r="G943" s="10"/>
      <c r="H943" s="8"/>
      <c r="I943" s="8"/>
      <c r="J943" s="8"/>
      <c r="K943" s="8"/>
      <c r="L943" s="8"/>
      <c r="M943" s="8"/>
      <c r="N943" s="8"/>
      <c r="O943" s="8"/>
      <c r="P943" s="8"/>
      <c r="Q943" s="8"/>
      <c r="R943" s="8"/>
      <c r="S943" s="8"/>
      <c r="T943" s="8"/>
      <c r="U943" s="8"/>
      <c r="V943" s="8"/>
    </row>
    <row r="944">
      <c r="A944" s="8"/>
      <c r="B944" s="11"/>
      <c r="C944" s="8"/>
      <c r="D944" s="8"/>
      <c r="E944" s="8"/>
      <c r="F944" s="8"/>
      <c r="G944" s="10"/>
      <c r="H944" s="8"/>
      <c r="I944" s="8"/>
      <c r="J944" s="8"/>
      <c r="K944" s="8"/>
      <c r="L944" s="8"/>
      <c r="M944" s="8"/>
      <c r="N944" s="8"/>
      <c r="O944" s="8"/>
      <c r="P944" s="8"/>
      <c r="Q944" s="8"/>
      <c r="R944" s="8"/>
      <c r="S944" s="8"/>
      <c r="T944" s="8"/>
      <c r="U944" s="8"/>
      <c r="V944" s="8"/>
    </row>
    <row r="945">
      <c r="A945" s="8"/>
      <c r="B945" s="11"/>
      <c r="C945" s="8"/>
      <c r="D945" s="8"/>
      <c r="E945" s="8"/>
      <c r="F945" s="8"/>
      <c r="G945" s="10"/>
      <c r="H945" s="8"/>
      <c r="I945" s="8"/>
      <c r="J945" s="8"/>
      <c r="K945" s="8"/>
      <c r="L945" s="8"/>
      <c r="M945" s="8"/>
      <c r="N945" s="8"/>
      <c r="O945" s="8"/>
      <c r="P945" s="8"/>
      <c r="Q945" s="8"/>
      <c r="R945" s="8"/>
      <c r="S945" s="8"/>
      <c r="T945" s="8"/>
      <c r="U945" s="8"/>
      <c r="V945" s="8"/>
    </row>
    <row r="946">
      <c r="A946" s="8"/>
      <c r="B946" s="11"/>
      <c r="C946" s="8"/>
      <c r="D946" s="8"/>
      <c r="E946" s="8"/>
      <c r="F946" s="8"/>
      <c r="G946" s="10"/>
      <c r="H946" s="8"/>
      <c r="I946" s="8"/>
      <c r="J946" s="8"/>
      <c r="K946" s="8"/>
      <c r="L946" s="8"/>
      <c r="M946" s="8"/>
      <c r="N946" s="8"/>
      <c r="O946" s="8"/>
      <c r="P946" s="8"/>
      <c r="Q946" s="8"/>
      <c r="R946" s="8"/>
      <c r="S946" s="8"/>
      <c r="T946" s="8"/>
      <c r="U946" s="8"/>
      <c r="V946" s="8"/>
    </row>
    <row r="947">
      <c r="A947" s="8"/>
      <c r="B947" s="11"/>
      <c r="C947" s="8"/>
      <c r="D947" s="8"/>
      <c r="E947" s="8"/>
      <c r="F947" s="8"/>
      <c r="G947" s="10"/>
      <c r="H947" s="8"/>
      <c r="I947" s="8"/>
      <c r="J947" s="8"/>
      <c r="K947" s="8"/>
      <c r="L947" s="8"/>
      <c r="M947" s="8"/>
      <c r="N947" s="8"/>
      <c r="O947" s="8"/>
      <c r="P947" s="8"/>
      <c r="Q947" s="8"/>
      <c r="R947" s="8"/>
      <c r="S947" s="8"/>
      <c r="T947" s="8"/>
      <c r="U947" s="8"/>
      <c r="V947" s="8"/>
    </row>
    <row r="948">
      <c r="A948" s="8"/>
      <c r="B948" s="11"/>
      <c r="C948" s="8"/>
      <c r="D948" s="8"/>
      <c r="E948" s="8"/>
      <c r="F948" s="8"/>
      <c r="G948" s="10"/>
      <c r="H948" s="8"/>
      <c r="I948" s="8"/>
      <c r="J948" s="8"/>
      <c r="K948" s="8"/>
      <c r="L948" s="8"/>
      <c r="M948" s="8"/>
      <c r="N948" s="8"/>
      <c r="O948" s="8"/>
      <c r="P948" s="8"/>
      <c r="Q948" s="8"/>
      <c r="R948" s="8"/>
      <c r="S948" s="8"/>
      <c r="T948" s="8"/>
      <c r="U948" s="8"/>
      <c r="V948" s="8"/>
    </row>
    <row r="949">
      <c r="A949" s="8"/>
      <c r="B949" s="11"/>
      <c r="C949" s="8"/>
      <c r="D949" s="8"/>
      <c r="E949" s="8"/>
      <c r="F949" s="8"/>
      <c r="G949" s="10"/>
      <c r="H949" s="8"/>
      <c r="I949" s="8"/>
      <c r="J949" s="8"/>
      <c r="K949" s="8"/>
      <c r="L949" s="8"/>
      <c r="M949" s="8"/>
      <c r="N949" s="8"/>
      <c r="O949" s="8"/>
      <c r="P949" s="8"/>
      <c r="Q949" s="8"/>
      <c r="R949" s="8"/>
      <c r="S949" s="8"/>
      <c r="T949" s="8"/>
      <c r="U949" s="8"/>
      <c r="V949" s="8"/>
    </row>
    <row r="950">
      <c r="A950" s="8"/>
      <c r="B950" s="11"/>
      <c r="C950" s="8"/>
      <c r="D950" s="8"/>
      <c r="E950" s="8"/>
      <c r="F950" s="8"/>
      <c r="G950" s="10"/>
      <c r="H950" s="8"/>
      <c r="I950" s="8"/>
      <c r="J950" s="8"/>
      <c r="K950" s="8"/>
      <c r="L950" s="8"/>
      <c r="M950" s="8"/>
      <c r="N950" s="8"/>
      <c r="O950" s="8"/>
      <c r="P950" s="8"/>
      <c r="Q950" s="8"/>
      <c r="R950" s="8"/>
      <c r="S950" s="8"/>
      <c r="T950" s="8"/>
      <c r="U950" s="8"/>
      <c r="V950" s="8"/>
    </row>
    <row r="951">
      <c r="A951" s="8"/>
      <c r="B951" s="11"/>
      <c r="C951" s="8"/>
      <c r="D951" s="8"/>
      <c r="E951" s="8"/>
      <c r="F951" s="8"/>
      <c r="G951" s="10"/>
      <c r="H951" s="8"/>
      <c r="I951" s="8"/>
      <c r="J951" s="8"/>
      <c r="K951" s="8"/>
      <c r="L951" s="8"/>
      <c r="M951" s="8"/>
      <c r="N951" s="8"/>
      <c r="O951" s="8"/>
      <c r="P951" s="8"/>
      <c r="Q951" s="8"/>
      <c r="R951" s="8"/>
      <c r="S951" s="8"/>
      <c r="T951" s="8"/>
      <c r="U951" s="8"/>
      <c r="V951" s="8"/>
    </row>
    <row r="952">
      <c r="A952" s="8"/>
      <c r="B952" s="11"/>
      <c r="C952" s="8"/>
      <c r="D952" s="8"/>
      <c r="E952" s="8"/>
      <c r="F952" s="8"/>
      <c r="G952" s="10"/>
      <c r="H952" s="8"/>
      <c r="I952" s="8"/>
      <c r="J952" s="8"/>
      <c r="K952" s="8"/>
      <c r="L952" s="8"/>
      <c r="M952" s="8"/>
      <c r="N952" s="8"/>
      <c r="O952" s="8"/>
      <c r="P952" s="8"/>
      <c r="Q952" s="8"/>
      <c r="R952" s="8"/>
      <c r="S952" s="8"/>
      <c r="T952" s="8"/>
      <c r="U952" s="8"/>
      <c r="V952" s="8"/>
    </row>
    <row r="953">
      <c r="A953" s="8"/>
      <c r="B953" s="11"/>
      <c r="C953" s="8"/>
      <c r="D953" s="8"/>
      <c r="E953" s="8"/>
      <c r="F953" s="8"/>
      <c r="G953" s="10"/>
      <c r="H953" s="8"/>
      <c r="I953" s="8"/>
      <c r="J953" s="8"/>
      <c r="K953" s="8"/>
      <c r="L953" s="8"/>
      <c r="M953" s="8"/>
      <c r="N953" s="8"/>
      <c r="O953" s="8"/>
      <c r="P953" s="8"/>
      <c r="Q953" s="8"/>
      <c r="R953" s="8"/>
      <c r="S953" s="8"/>
      <c r="T953" s="8"/>
      <c r="U953" s="8"/>
      <c r="V953" s="8"/>
    </row>
    <row r="954">
      <c r="A954" s="8"/>
      <c r="B954" s="11"/>
      <c r="C954" s="8"/>
      <c r="D954" s="8"/>
      <c r="E954" s="8"/>
      <c r="F954" s="8"/>
      <c r="G954" s="10"/>
      <c r="H954" s="8"/>
      <c r="I954" s="8"/>
      <c r="J954" s="8"/>
      <c r="K954" s="8"/>
      <c r="L954" s="8"/>
      <c r="M954" s="8"/>
      <c r="N954" s="8"/>
      <c r="O954" s="8"/>
      <c r="P954" s="8"/>
      <c r="Q954" s="8"/>
      <c r="R954" s="8"/>
      <c r="S954" s="8"/>
      <c r="T954" s="8"/>
      <c r="U954" s="8"/>
      <c r="V954" s="8"/>
    </row>
    <row r="955">
      <c r="A955" s="8"/>
      <c r="B955" s="11"/>
      <c r="C955" s="8"/>
      <c r="D955" s="8"/>
      <c r="E955" s="8"/>
      <c r="F955" s="8"/>
      <c r="G955" s="10"/>
      <c r="H955" s="8"/>
      <c r="I955" s="8"/>
      <c r="J955" s="8"/>
      <c r="K955" s="8"/>
      <c r="L955" s="8"/>
      <c r="M955" s="8"/>
      <c r="N955" s="8"/>
      <c r="O955" s="8"/>
      <c r="P955" s="8"/>
      <c r="Q955" s="8"/>
      <c r="R955" s="8"/>
      <c r="S955" s="8"/>
      <c r="T955" s="8"/>
      <c r="U955" s="8"/>
      <c r="V955" s="8"/>
    </row>
    <row r="956">
      <c r="A956" s="8"/>
      <c r="B956" s="11"/>
      <c r="C956" s="8"/>
      <c r="D956" s="8"/>
      <c r="E956" s="8"/>
      <c r="F956" s="8"/>
      <c r="G956" s="10"/>
      <c r="H956" s="8"/>
      <c r="I956" s="8"/>
      <c r="J956" s="8"/>
      <c r="K956" s="8"/>
      <c r="L956" s="8"/>
      <c r="M956" s="8"/>
      <c r="N956" s="8"/>
      <c r="O956" s="8"/>
      <c r="P956" s="8"/>
      <c r="Q956" s="8"/>
      <c r="R956" s="8"/>
      <c r="S956" s="8"/>
      <c r="T956" s="8"/>
      <c r="U956" s="8"/>
      <c r="V956" s="8"/>
    </row>
    <row r="957">
      <c r="A957" s="8"/>
      <c r="B957" s="11"/>
      <c r="C957" s="8"/>
      <c r="D957" s="8"/>
      <c r="E957" s="8"/>
      <c r="F957" s="8"/>
      <c r="G957" s="10"/>
      <c r="H957" s="8"/>
      <c r="I957" s="8"/>
      <c r="J957" s="8"/>
      <c r="K957" s="8"/>
      <c r="L957" s="8"/>
      <c r="M957" s="8"/>
      <c r="N957" s="8"/>
      <c r="O957" s="8"/>
      <c r="P957" s="8"/>
      <c r="Q957" s="8"/>
      <c r="R957" s="8"/>
      <c r="S957" s="8"/>
      <c r="T957" s="8"/>
      <c r="U957" s="8"/>
      <c r="V957" s="8"/>
    </row>
    <row r="958">
      <c r="A958" s="8"/>
      <c r="B958" s="11"/>
      <c r="C958" s="8"/>
      <c r="D958" s="8"/>
      <c r="E958" s="8"/>
      <c r="F958" s="8"/>
      <c r="G958" s="10"/>
      <c r="H958" s="8"/>
      <c r="I958" s="8"/>
      <c r="J958" s="8"/>
      <c r="K958" s="8"/>
      <c r="L958" s="8"/>
      <c r="M958" s="8"/>
      <c r="N958" s="8"/>
      <c r="O958" s="8"/>
      <c r="P958" s="8"/>
      <c r="Q958" s="8"/>
      <c r="R958" s="8"/>
      <c r="S958" s="8"/>
      <c r="T958" s="8"/>
      <c r="U958" s="8"/>
      <c r="V958" s="8"/>
    </row>
    <row r="959">
      <c r="A959" s="8"/>
      <c r="B959" s="11"/>
      <c r="C959" s="8"/>
      <c r="D959" s="8"/>
      <c r="E959" s="8"/>
      <c r="F959" s="8"/>
      <c r="G959" s="10"/>
      <c r="H959" s="8"/>
      <c r="I959" s="8"/>
      <c r="J959" s="8"/>
      <c r="K959" s="8"/>
      <c r="L959" s="8"/>
      <c r="M959" s="8"/>
      <c r="N959" s="8"/>
      <c r="O959" s="8"/>
      <c r="P959" s="8"/>
      <c r="Q959" s="8"/>
      <c r="R959" s="8"/>
      <c r="S959" s="8"/>
      <c r="T959" s="8"/>
      <c r="U959" s="8"/>
      <c r="V959" s="8"/>
    </row>
    <row r="960">
      <c r="A960" s="8"/>
      <c r="B960" s="11"/>
      <c r="C960" s="8"/>
      <c r="D960" s="8"/>
      <c r="E960" s="8"/>
      <c r="F960" s="8"/>
      <c r="G960" s="10"/>
      <c r="H960" s="8"/>
      <c r="I960" s="8"/>
      <c r="J960" s="8"/>
      <c r="K960" s="8"/>
      <c r="L960" s="8"/>
      <c r="M960" s="8"/>
      <c r="N960" s="8"/>
      <c r="O960" s="8"/>
      <c r="P960" s="8"/>
      <c r="Q960" s="8"/>
      <c r="R960" s="8"/>
      <c r="S960" s="8"/>
      <c r="T960" s="8"/>
      <c r="U960" s="8"/>
      <c r="V960" s="8"/>
    </row>
    <row r="961">
      <c r="A961" s="8"/>
      <c r="B961" s="11"/>
      <c r="C961" s="8"/>
      <c r="D961" s="8"/>
      <c r="E961" s="8"/>
      <c r="F961" s="8"/>
      <c r="G961" s="10"/>
      <c r="H961" s="8"/>
      <c r="I961" s="8"/>
      <c r="J961" s="8"/>
      <c r="K961" s="8"/>
      <c r="L961" s="8"/>
      <c r="M961" s="8"/>
      <c r="N961" s="8"/>
      <c r="O961" s="8"/>
      <c r="P961" s="8"/>
      <c r="Q961" s="8"/>
      <c r="R961" s="8"/>
      <c r="S961" s="8"/>
      <c r="T961" s="8"/>
      <c r="U961" s="8"/>
      <c r="V961" s="8"/>
    </row>
    <row r="962">
      <c r="A962" s="8"/>
      <c r="B962" s="11"/>
      <c r="C962" s="8"/>
      <c r="D962" s="8"/>
      <c r="E962" s="8"/>
      <c r="F962" s="8"/>
      <c r="G962" s="10"/>
      <c r="H962" s="8"/>
      <c r="I962" s="8"/>
      <c r="J962" s="8"/>
      <c r="K962" s="8"/>
      <c r="L962" s="8"/>
      <c r="M962" s="8"/>
      <c r="N962" s="8"/>
      <c r="O962" s="8"/>
      <c r="P962" s="8"/>
      <c r="Q962" s="8"/>
      <c r="R962" s="8"/>
      <c r="S962" s="8"/>
      <c r="T962" s="8"/>
      <c r="U962" s="8"/>
      <c r="V962" s="8"/>
    </row>
    <row r="963">
      <c r="A963" s="8"/>
      <c r="B963" s="11"/>
      <c r="C963" s="8"/>
      <c r="D963" s="8"/>
      <c r="E963" s="8"/>
      <c r="F963" s="8"/>
      <c r="G963" s="10"/>
      <c r="H963" s="8"/>
      <c r="I963" s="8"/>
      <c r="J963" s="8"/>
      <c r="K963" s="8"/>
      <c r="L963" s="8"/>
      <c r="M963" s="8"/>
      <c r="N963" s="8"/>
      <c r="O963" s="8"/>
      <c r="P963" s="8"/>
      <c r="Q963" s="8"/>
      <c r="R963" s="8"/>
      <c r="S963" s="8"/>
      <c r="T963" s="8"/>
      <c r="U963" s="8"/>
      <c r="V963" s="8"/>
    </row>
    <row r="964">
      <c r="A964" s="8"/>
      <c r="B964" s="11"/>
      <c r="C964" s="8"/>
      <c r="D964" s="8"/>
      <c r="E964" s="8"/>
      <c r="F964" s="8"/>
      <c r="G964" s="10"/>
      <c r="H964" s="8"/>
      <c r="I964" s="8"/>
      <c r="J964" s="8"/>
      <c r="K964" s="8"/>
      <c r="L964" s="8"/>
      <c r="M964" s="8"/>
      <c r="N964" s="8"/>
      <c r="O964" s="8"/>
      <c r="P964" s="8"/>
      <c r="Q964" s="8"/>
      <c r="R964" s="8"/>
      <c r="S964" s="8"/>
      <c r="T964" s="8"/>
      <c r="U964" s="8"/>
      <c r="V964" s="8"/>
    </row>
    <row r="965">
      <c r="A965" s="8"/>
      <c r="B965" s="11"/>
      <c r="C965" s="8"/>
      <c r="D965" s="8"/>
      <c r="E965" s="8"/>
      <c r="F965" s="8"/>
      <c r="G965" s="10"/>
      <c r="H965" s="8"/>
      <c r="I965" s="8"/>
      <c r="J965" s="8"/>
      <c r="K965" s="8"/>
      <c r="L965" s="8"/>
      <c r="M965" s="8"/>
      <c r="N965" s="8"/>
      <c r="O965" s="8"/>
      <c r="P965" s="8"/>
      <c r="Q965" s="8"/>
      <c r="R965" s="8"/>
      <c r="S965" s="8"/>
      <c r="T965" s="8"/>
      <c r="U965" s="8"/>
      <c r="V965" s="8"/>
    </row>
    <row r="966">
      <c r="A966" s="8"/>
      <c r="B966" s="11"/>
      <c r="C966" s="8"/>
      <c r="D966" s="8"/>
      <c r="E966" s="8"/>
      <c r="F966" s="8"/>
      <c r="G966" s="10"/>
      <c r="H966" s="8"/>
      <c r="I966" s="8"/>
      <c r="J966" s="8"/>
      <c r="K966" s="8"/>
      <c r="L966" s="8"/>
      <c r="M966" s="8"/>
      <c r="N966" s="8"/>
      <c r="O966" s="8"/>
      <c r="P966" s="8"/>
      <c r="Q966" s="8"/>
      <c r="R966" s="8"/>
      <c r="S966" s="8"/>
      <c r="T966" s="8"/>
      <c r="U966" s="8"/>
      <c r="V966" s="8"/>
    </row>
    <row r="967">
      <c r="A967" s="8"/>
      <c r="B967" s="11"/>
      <c r="C967" s="8"/>
      <c r="D967" s="8"/>
      <c r="E967" s="8"/>
      <c r="F967" s="8"/>
      <c r="G967" s="10"/>
      <c r="H967" s="8"/>
      <c r="I967" s="8"/>
      <c r="J967" s="8"/>
      <c r="K967" s="8"/>
      <c r="L967" s="8"/>
      <c r="M967" s="8"/>
      <c r="N967" s="8"/>
      <c r="O967" s="8"/>
      <c r="P967" s="8"/>
      <c r="Q967" s="8"/>
      <c r="R967" s="8"/>
      <c r="S967" s="8"/>
      <c r="T967" s="8"/>
      <c r="U967" s="8"/>
      <c r="V967" s="8"/>
    </row>
    <row r="968">
      <c r="A968" s="8"/>
      <c r="B968" s="11"/>
      <c r="C968" s="8"/>
      <c r="D968" s="8"/>
      <c r="E968" s="8"/>
      <c r="F968" s="8"/>
      <c r="G968" s="10"/>
      <c r="H968" s="8"/>
      <c r="I968" s="8"/>
      <c r="J968" s="8"/>
      <c r="K968" s="8"/>
      <c r="L968" s="8"/>
      <c r="M968" s="8"/>
      <c r="N968" s="8"/>
      <c r="O968" s="8"/>
      <c r="P968" s="8"/>
      <c r="Q968" s="8"/>
      <c r="R968" s="8"/>
      <c r="S968" s="8"/>
      <c r="T968" s="8"/>
      <c r="U968" s="8"/>
      <c r="V968" s="8"/>
    </row>
    <row r="969">
      <c r="A969" s="8"/>
      <c r="B969" s="11"/>
      <c r="C969" s="8"/>
      <c r="D969" s="8"/>
      <c r="E969" s="8"/>
      <c r="F969" s="8"/>
      <c r="G969" s="10"/>
      <c r="H969" s="8"/>
      <c r="I969" s="8"/>
      <c r="J969" s="8"/>
      <c r="K969" s="8"/>
      <c r="L969" s="8"/>
      <c r="M969" s="8"/>
      <c r="N969" s="8"/>
      <c r="O969" s="8"/>
      <c r="P969" s="8"/>
      <c r="Q969" s="8"/>
      <c r="R969" s="8"/>
      <c r="S969" s="8"/>
      <c r="T969" s="8"/>
      <c r="U969" s="8"/>
      <c r="V969" s="8"/>
    </row>
    <row r="970">
      <c r="A970" s="8"/>
      <c r="B970" s="11"/>
      <c r="C970" s="8"/>
      <c r="D970" s="8"/>
      <c r="E970" s="8"/>
      <c r="F970" s="8"/>
      <c r="G970" s="10"/>
      <c r="H970" s="8"/>
      <c r="I970" s="8"/>
      <c r="J970" s="8"/>
      <c r="K970" s="8"/>
      <c r="L970" s="8"/>
      <c r="M970" s="8"/>
      <c r="N970" s="8"/>
      <c r="O970" s="8"/>
      <c r="P970" s="8"/>
      <c r="Q970" s="8"/>
      <c r="R970" s="8"/>
      <c r="S970" s="8"/>
      <c r="T970" s="8"/>
      <c r="U970" s="8"/>
      <c r="V970" s="8"/>
    </row>
    <row r="971">
      <c r="A971" s="8"/>
      <c r="B971" s="11"/>
      <c r="C971" s="8"/>
      <c r="D971" s="8"/>
      <c r="E971" s="8"/>
      <c r="F971" s="8"/>
      <c r="G971" s="10"/>
      <c r="H971" s="8"/>
      <c r="I971" s="8"/>
      <c r="J971" s="8"/>
      <c r="K971" s="8"/>
      <c r="L971" s="8"/>
      <c r="M971" s="8"/>
      <c r="N971" s="8"/>
      <c r="O971" s="8"/>
      <c r="P971" s="8"/>
      <c r="Q971" s="8"/>
      <c r="R971" s="8"/>
      <c r="S971" s="8"/>
      <c r="T971" s="8"/>
      <c r="U971" s="8"/>
      <c r="V971" s="8"/>
    </row>
    <row r="972">
      <c r="A972" s="8"/>
      <c r="B972" s="11"/>
      <c r="C972" s="8"/>
      <c r="D972" s="8"/>
      <c r="E972" s="8"/>
      <c r="F972" s="8"/>
      <c r="G972" s="10"/>
      <c r="H972" s="8"/>
      <c r="I972" s="8"/>
      <c r="J972" s="8"/>
      <c r="K972" s="8"/>
      <c r="L972" s="8"/>
      <c r="M972" s="8"/>
      <c r="N972" s="8"/>
      <c r="O972" s="8"/>
      <c r="P972" s="8"/>
      <c r="Q972" s="8"/>
      <c r="R972" s="8"/>
      <c r="S972" s="8"/>
      <c r="T972" s="8"/>
      <c r="U972" s="8"/>
      <c r="V972" s="8"/>
    </row>
    <row r="973">
      <c r="A973" s="8"/>
      <c r="B973" s="11"/>
      <c r="C973" s="8"/>
      <c r="D973" s="8"/>
      <c r="E973" s="8"/>
      <c r="F973" s="8"/>
      <c r="G973" s="10"/>
      <c r="H973" s="8"/>
      <c r="I973" s="8"/>
      <c r="J973" s="8"/>
      <c r="K973" s="8"/>
      <c r="L973" s="8"/>
      <c r="M973" s="8"/>
      <c r="N973" s="8"/>
      <c r="O973" s="8"/>
      <c r="P973" s="8"/>
      <c r="Q973" s="8"/>
      <c r="R973" s="8"/>
      <c r="S973" s="8"/>
      <c r="T973" s="8"/>
      <c r="U973" s="8"/>
      <c r="V973" s="8"/>
    </row>
    <row r="974">
      <c r="A974" s="8"/>
      <c r="B974" s="11"/>
      <c r="C974" s="8"/>
      <c r="D974" s="8"/>
      <c r="E974" s="8"/>
      <c r="F974" s="8"/>
      <c r="G974" s="10"/>
      <c r="H974" s="8"/>
      <c r="I974" s="8"/>
      <c r="J974" s="8"/>
      <c r="K974" s="8"/>
      <c r="L974" s="8"/>
      <c r="M974" s="8"/>
      <c r="N974" s="8"/>
      <c r="O974" s="8"/>
      <c r="P974" s="8"/>
      <c r="Q974" s="8"/>
      <c r="R974" s="8"/>
      <c r="S974" s="8"/>
      <c r="T974" s="8"/>
      <c r="U974" s="8"/>
      <c r="V974" s="8"/>
    </row>
    <row r="975">
      <c r="A975" s="8"/>
      <c r="B975" s="11"/>
      <c r="C975" s="8"/>
      <c r="D975" s="8"/>
      <c r="E975" s="8"/>
      <c r="F975" s="8"/>
      <c r="G975" s="10"/>
      <c r="H975" s="8"/>
      <c r="I975" s="8"/>
      <c r="J975" s="8"/>
      <c r="K975" s="8"/>
      <c r="L975" s="8"/>
      <c r="M975" s="8"/>
      <c r="N975" s="8"/>
      <c r="O975" s="8"/>
      <c r="P975" s="8"/>
      <c r="Q975" s="8"/>
      <c r="R975" s="8"/>
      <c r="S975" s="8"/>
      <c r="T975" s="8"/>
      <c r="U975" s="8"/>
      <c r="V975" s="8"/>
    </row>
    <row r="976">
      <c r="A976" s="8"/>
      <c r="B976" s="11"/>
      <c r="C976" s="8"/>
      <c r="D976" s="8"/>
      <c r="E976" s="8"/>
      <c r="F976" s="8"/>
      <c r="G976" s="10"/>
      <c r="H976" s="8"/>
      <c r="I976" s="8"/>
      <c r="J976" s="8"/>
      <c r="K976" s="8"/>
      <c r="L976" s="8"/>
      <c r="M976" s="8"/>
      <c r="N976" s="8"/>
      <c r="O976" s="8"/>
      <c r="P976" s="8"/>
      <c r="Q976" s="8"/>
      <c r="R976" s="8"/>
      <c r="S976" s="8"/>
      <c r="T976" s="8"/>
      <c r="U976" s="8"/>
      <c r="V976" s="8"/>
    </row>
    <row r="977">
      <c r="A977" s="8"/>
      <c r="B977" s="11"/>
      <c r="C977" s="8"/>
      <c r="D977" s="8"/>
      <c r="E977" s="8"/>
      <c r="F977" s="8"/>
      <c r="G977" s="10"/>
      <c r="H977" s="8"/>
      <c r="I977" s="8"/>
      <c r="J977" s="8"/>
      <c r="K977" s="8"/>
      <c r="L977" s="8"/>
      <c r="M977" s="8"/>
      <c r="N977" s="8"/>
      <c r="O977" s="8"/>
      <c r="P977" s="8"/>
      <c r="Q977" s="8"/>
      <c r="R977" s="8"/>
      <c r="S977" s="8"/>
      <c r="T977" s="8"/>
      <c r="U977" s="8"/>
      <c r="V977" s="8"/>
    </row>
    <row r="978">
      <c r="A978" s="8"/>
      <c r="B978" s="11"/>
      <c r="C978" s="8"/>
      <c r="D978" s="8"/>
      <c r="E978" s="8"/>
      <c r="F978" s="8"/>
      <c r="G978" s="10"/>
      <c r="H978" s="8"/>
      <c r="I978" s="8"/>
      <c r="J978" s="8"/>
      <c r="K978" s="8"/>
      <c r="L978" s="8"/>
      <c r="M978" s="8"/>
      <c r="N978" s="8"/>
      <c r="O978" s="8"/>
      <c r="P978" s="8"/>
      <c r="Q978" s="8"/>
      <c r="R978" s="8"/>
      <c r="S978" s="8"/>
      <c r="T978" s="8"/>
      <c r="U978" s="8"/>
      <c r="V978" s="8"/>
    </row>
    <row r="979">
      <c r="A979" s="8"/>
      <c r="B979" s="11"/>
      <c r="C979" s="8"/>
      <c r="D979" s="8"/>
      <c r="E979" s="8"/>
      <c r="F979" s="8"/>
      <c r="G979" s="10"/>
      <c r="H979" s="8"/>
      <c r="I979" s="8"/>
      <c r="J979" s="8"/>
      <c r="K979" s="8"/>
      <c r="L979" s="8"/>
      <c r="M979" s="8"/>
      <c r="N979" s="8"/>
      <c r="O979" s="8"/>
      <c r="P979" s="8"/>
      <c r="Q979" s="8"/>
      <c r="R979" s="8"/>
      <c r="S979" s="8"/>
      <c r="T979" s="8"/>
      <c r="U979" s="8"/>
      <c r="V979" s="8"/>
    </row>
    <row r="980">
      <c r="A980" s="8"/>
      <c r="B980" s="11"/>
      <c r="C980" s="8"/>
      <c r="D980" s="8"/>
      <c r="E980" s="8"/>
      <c r="F980" s="8"/>
      <c r="G980" s="10"/>
      <c r="H980" s="8"/>
      <c r="I980" s="8"/>
      <c r="J980" s="8"/>
      <c r="K980" s="8"/>
      <c r="L980" s="8"/>
      <c r="M980" s="8"/>
      <c r="N980" s="8"/>
      <c r="O980" s="8"/>
      <c r="P980" s="8"/>
      <c r="Q980" s="8"/>
      <c r="R980" s="8"/>
      <c r="S980" s="8"/>
      <c r="T980" s="8"/>
      <c r="U980" s="8"/>
      <c r="V980" s="8"/>
    </row>
    <row r="981">
      <c r="A981" s="8"/>
      <c r="B981" s="11"/>
      <c r="C981" s="8"/>
      <c r="D981" s="8"/>
      <c r="E981" s="8"/>
      <c r="F981" s="8"/>
      <c r="G981" s="10"/>
      <c r="H981" s="8"/>
      <c r="I981" s="8"/>
      <c r="J981" s="8"/>
      <c r="K981" s="8"/>
      <c r="L981" s="8"/>
      <c r="M981" s="8"/>
      <c r="N981" s="8"/>
      <c r="O981" s="8"/>
      <c r="P981" s="8"/>
      <c r="Q981" s="8"/>
      <c r="R981" s="8"/>
      <c r="S981" s="8"/>
      <c r="T981" s="8"/>
      <c r="U981" s="8"/>
      <c r="V981" s="8"/>
    </row>
    <row r="982">
      <c r="A982" s="8"/>
      <c r="B982" s="11"/>
      <c r="C982" s="8"/>
      <c r="D982" s="8"/>
      <c r="E982" s="8"/>
      <c r="F982" s="8"/>
      <c r="G982" s="10"/>
      <c r="H982" s="8"/>
      <c r="I982" s="8"/>
      <c r="J982" s="8"/>
      <c r="K982" s="8"/>
      <c r="L982" s="8"/>
      <c r="M982" s="8"/>
      <c r="N982" s="8"/>
      <c r="O982" s="8"/>
      <c r="P982" s="8"/>
      <c r="Q982" s="8"/>
      <c r="R982" s="8"/>
      <c r="S982" s="8"/>
      <c r="T982" s="8"/>
      <c r="U982" s="8"/>
      <c r="V982" s="8"/>
    </row>
    <row r="983">
      <c r="A983" s="8"/>
      <c r="B983" s="11"/>
      <c r="C983" s="8"/>
      <c r="D983" s="8"/>
      <c r="E983" s="8"/>
      <c r="F983" s="8"/>
      <c r="G983" s="10"/>
      <c r="H983" s="8"/>
      <c r="I983" s="8"/>
      <c r="J983" s="8"/>
      <c r="K983" s="8"/>
      <c r="L983" s="8"/>
      <c r="M983" s="8"/>
      <c r="N983" s="8"/>
      <c r="O983" s="8"/>
      <c r="P983" s="8"/>
      <c r="Q983" s="8"/>
      <c r="R983" s="8"/>
      <c r="S983" s="8"/>
      <c r="T983" s="8"/>
      <c r="U983" s="8"/>
      <c r="V983" s="8"/>
    </row>
    <row r="984">
      <c r="A984" s="8"/>
      <c r="B984" s="11"/>
      <c r="C984" s="8"/>
      <c r="D984" s="8"/>
      <c r="E984" s="8"/>
      <c r="F984" s="8"/>
      <c r="G984" s="10"/>
      <c r="H984" s="8"/>
      <c r="I984" s="8"/>
      <c r="J984" s="8"/>
      <c r="K984" s="8"/>
      <c r="L984" s="8"/>
      <c r="M984" s="8"/>
      <c r="N984" s="8"/>
      <c r="O984" s="8"/>
      <c r="P984" s="8"/>
      <c r="Q984" s="8"/>
      <c r="R984" s="8"/>
      <c r="S984" s="8"/>
      <c r="T984" s="8"/>
      <c r="U984" s="8"/>
      <c r="V984" s="8"/>
    </row>
    <row r="985">
      <c r="A985" s="8"/>
      <c r="B985" s="11"/>
      <c r="C985" s="8"/>
      <c r="D985" s="8"/>
      <c r="E985" s="8"/>
      <c r="F985" s="8"/>
      <c r="G985" s="10"/>
      <c r="H985" s="8"/>
      <c r="I985" s="8"/>
      <c r="J985" s="8"/>
      <c r="K985" s="8"/>
      <c r="L985" s="8"/>
      <c r="M985" s="8"/>
      <c r="N985" s="8"/>
      <c r="O985" s="8"/>
      <c r="P985" s="8"/>
      <c r="Q985" s="8"/>
      <c r="R985" s="8"/>
      <c r="S985" s="8"/>
      <c r="T985" s="8"/>
      <c r="U985" s="8"/>
      <c r="V985" s="8"/>
    </row>
    <row r="986">
      <c r="A986" s="8"/>
      <c r="B986" s="11"/>
      <c r="C986" s="8"/>
      <c r="D986" s="8"/>
      <c r="E986" s="8"/>
      <c r="F986" s="8"/>
      <c r="G986" s="10"/>
      <c r="H986" s="8"/>
      <c r="I986" s="8"/>
      <c r="J986" s="8"/>
      <c r="K986" s="8"/>
      <c r="L986" s="8"/>
      <c r="M986" s="8"/>
      <c r="N986" s="8"/>
      <c r="O986" s="8"/>
      <c r="P986" s="8"/>
      <c r="Q986" s="8"/>
      <c r="R986" s="8"/>
      <c r="S986" s="8"/>
      <c r="T986" s="8"/>
      <c r="U986" s="8"/>
      <c r="V986" s="8"/>
    </row>
    <row r="987">
      <c r="A987" s="8"/>
      <c r="B987" s="11"/>
      <c r="C987" s="8"/>
      <c r="D987" s="8"/>
      <c r="E987" s="8"/>
      <c r="F987" s="8"/>
      <c r="G987" s="10"/>
      <c r="H987" s="8"/>
      <c r="I987" s="8"/>
      <c r="J987" s="8"/>
      <c r="K987" s="8"/>
      <c r="L987" s="8"/>
      <c r="M987" s="8"/>
      <c r="N987" s="8"/>
      <c r="O987" s="8"/>
      <c r="P987" s="8"/>
      <c r="Q987" s="8"/>
      <c r="R987" s="8"/>
      <c r="S987" s="8"/>
      <c r="T987" s="8"/>
      <c r="U987" s="8"/>
      <c r="V987" s="8"/>
    </row>
    <row r="988">
      <c r="A988" s="8"/>
      <c r="B988" s="11"/>
      <c r="C988" s="8"/>
      <c r="D988" s="8"/>
      <c r="E988" s="8"/>
      <c r="F988" s="8"/>
      <c r="G988" s="10"/>
      <c r="H988" s="8"/>
      <c r="I988" s="8"/>
      <c r="J988" s="8"/>
      <c r="K988" s="8"/>
      <c r="L988" s="8"/>
      <c r="M988" s="8"/>
      <c r="N988" s="8"/>
      <c r="O988" s="8"/>
      <c r="P988" s="8"/>
      <c r="Q988" s="8"/>
      <c r="R988" s="8"/>
      <c r="S988" s="8"/>
      <c r="T988" s="8"/>
      <c r="U988" s="8"/>
      <c r="V988" s="8"/>
    </row>
    <row r="989">
      <c r="A989" s="8"/>
      <c r="B989" s="11"/>
      <c r="C989" s="8"/>
      <c r="D989" s="8"/>
      <c r="E989" s="8"/>
      <c r="F989" s="8"/>
      <c r="G989" s="10"/>
      <c r="H989" s="8"/>
      <c r="I989" s="8"/>
      <c r="J989" s="8"/>
      <c r="K989" s="8"/>
      <c r="L989" s="8"/>
      <c r="M989" s="8"/>
      <c r="N989" s="8"/>
      <c r="O989" s="8"/>
      <c r="P989" s="8"/>
      <c r="Q989" s="8"/>
      <c r="R989" s="8"/>
      <c r="S989" s="8"/>
      <c r="T989" s="8"/>
      <c r="U989" s="8"/>
      <c r="V989" s="8"/>
    </row>
    <row r="990">
      <c r="A990" s="8"/>
      <c r="B990" s="11"/>
      <c r="C990" s="8"/>
      <c r="D990" s="8"/>
      <c r="E990" s="8"/>
      <c r="F990" s="8"/>
      <c r="G990" s="10"/>
      <c r="H990" s="8"/>
      <c r="I990" s="8"/>
      <c r="J990" s="8"/>
      <c r="K990" s="8"/>
      <c r="L990" s="8"/>
      <c r="M990" s="8"/>
      <c r="N990" s="8"/>
      <c r="O990" s="8"/>
      <c r="P990" s="8"/>
      <c r="Q990" s="8"/>
      <c r="R990" s="8"/>
      <c r="S990" s="8"/>
      <c r="T990" s="8"/>
      <c r="U990" s="8"/>
      <c r="V990" s="8"/>
    </row>
    <row r="991">
      <c r="A991" s="8"/>
      <c r="B991" s="11"/>
      <c r="C991" s="8"/>
      <c r="D991" s="8"/>
      <c r="E991" s="8"/>
      <c r="F991" s="8"/>
      <c r="G991" s="10"/>
      <c r="H991" s="8"/>
      <c r="I991" s="8"/>
      <c r="J991" s="8"/>
      <c r="K991" s="8"/>
      <c r="L991" s="8"/>
      <c r="M991" s="8"/>
      <c r="N991" s="8"/>
      <c r="O991" s="8"/>
      <c r="P991" s="8"/>
      <c r="Q991" s="8"/>
      <c r="R991" s="8"/>
      <c r="S991" s="8"/>
      <c r="T991" s="8"/>
      <c r="U991" s="8"/>
      <c r="V991" s="8"/>
    </row>
    <row r="992">
      <c r="A992" s="8"/>
      <c r="B992" s="11"/>
      <c r="C992" s="8"/>
      <c r="D992" s="8"/>
      <c r="E992" s="8"/>
      <c r="F992" s="8"/>
      <c r="G992" s="10"/>
      <c r="H992" s="8"/>
      <c r="I992" s="8"/>
      <c r="J992" s="8"/>
      <c r="K992" s="8"/>
      <c r="L992" s="8"/>
      <c r="M992" s="8"/>
      <c r="N992" s="8"/>
      <c r="O992" s="8"/>
      <c r="P992" s="8"/>
      <c r="Q992" s="8"/>
      <c r="R992" s="8"/>
      <c r="S992" s="8"/>
      <c r="T992" s="8"/>
      <c r="U992" s="8"/>
      <c r="V992" s="8"/>
    </row>
    <row r="993">
      <c r="A993" s="8"/>
      <c r="B993" s="11"/>
      <c r="C993" s="8"/>
      <c r="D993" s="8"/>
      <c r="E993" s="8"/>
      <c r="F993" s="8"/>
      <c r="G993" s="10"/>
      <c r="H993" s="8"/>
      <c r="I993" s="8"/>
      <c r="J993" s="8"/>
      <c r="K993" s="8"/>
      <c r="L993" s="8"/>
      <c r="M993" s="8"/>
      <c r="N993" s="8"/>
      <c r="O993" s="8"/>
      <c r="P993" s="8"/>
      <c r="Q993" s="8"/>
      <c r="R993" s="8"/>
      <c r="S993" s="8"/>
      <c r="T993" s="8"/>
      <c r="U993" s="8"/>
      <c r="V993" s="8"/>
    </row>
    <row r="994">
      <c r="A994" s="8"/>
      <c r="B994" s="11"/>
      <c r="C994" s="8"/>
      <c r="D994" s="8"/>
      <c r="E994" s="8"/>
      <c r="F994" s="8"/>
      <c r="G994" s="10"/>
      <c r="H994" s="8"/>
      <c r="I994" s="8"/>
      <c r="J994" s="8"/>
      <c r="K994" s="8"/>
      <c r="L994" s="8"/>
      <c r="M994" s="8"/>
      <c r="N994" s="8"/>
      <c r="O994" s="8"/>
      <c r="P994" s="8"/>
      <c r="Q994" s="8"/>
      <c r="R994" s="8"/>
      <c r="S994" s="8"/>
      <c r="T994" s="8"/>
      <c r="U994" s="8"/>
      <c r="V994" s="8"/>
    </row>
    <row r="995">
      <c r="A995" s="8"/>
      <c r="B995" s="11"/>
      <c r="C995" s="8"/>
      <c r="D995" s="8"/>
      <c r="E995" s="8"/>
      <c r="F995" s="8"/>
      <c r="G995" s="10"/>
      <c r="H995" s="8"/>
      <c r="I995" s="8"/>
      <c r="J995" s="8"/>
      <c r="K995" s="8"/>
      <c r="L995" s="8"/>
      <c r="M995" s="8"/>
      <c r="N995" s="8"/>
      <c r="O995" s="8"/>
      <c r="P995" s="8"/>
      <c r="Q995" s="8"/>
      <c r="R995" s="8"/>
      <c r="S995" s="8"/>
      <c r="T995" s="8"/>
      <c r="U995" s="8"/>
      <c r="V995" s="8"/>
    </row>
    <row r="996">
      <c r="A996" s="8"/>
      <c r="B996" s="11"/>
      <c r="C996" s="8"/>
      <c r="D996" s="8"/>
      <c r="E996" s="8"/>
      <c r="F996" s="8"/>
      <c r="G996" s="10"/>
      <c r="H996" s="8"/>
      <c r="I996" s="8"/>
      <c r="J996" s="8"/>
      <c r="K996" s="8"/>
      <c r="L996" s="8"/>
      <c r="M996" s="8"/>
      <c r="N996" s="8"/>
      <c r="O996" s="8"/>
      <c r="P996" s="8"/>
      <c r="Q996" s="8"/>
      <c r="R996" s="8"/>
      <c r="S996" s="8"/>
      <c r="T996" s="8"/>
      <c r="U996" s="8"/>
      <c r="V996" s="8"/>
    </row>
    <row r="997">
      <c r="A997" s="8"/>
      <c r="B997" s="11"/>
      <c r="C997" s="8"/>
      <c r="D997" s="8"/>
      <c r="E997" s="8"/>
      <c r="F997" s="8"/>
      <c r="G997" s="10"/>
      <c r="H997" s="8"/>
      <c r="I997" s="8"/>
      <c r="J997" s="8"/>
      <c r="K997" s="8"/>
      <c r="L997" s="8"/>
      <c r="M997" s="8"/>
      <c r="N997" s="8"/>
      <c r="O997" s="8"/>
      <c r="P997" s="8"/>
      <c r="Q997" s="8"/>
      <c r="R997" s="8"/>
      <c r="S997" s="8"/>
      <c r="T997" s="8"/>
      <c r="U997" s="8"/>
      <c r="V997" s="8"/>
    </row>
    <row r="998">
      <c r="A998" s="8"/>
      <c r="B998" s="11"/>
      <c r="C998" s="8"/>
      <c r="D998" s="8"/>
      <c r="E998" s="8"/>
      <c r="F998" s="8"/>
      <c r="G998" s="10"/>
      <c r="H998" s="8"/>
      <c r="I998" s="8"/>
      <c r="J998" s="8"/>
      <c r="K998" s="8"/>
      <c r="L998" s="8"/>
      <c r="M998" s="8"/>
      <c r="N998" s="8"/>
      <c r="O998" s="8"/>
      <c r="P998" s="8"/>
      <c r="Q998" s="8"/>
      <c r="R998" s="8"/>
      <c r="S998" s="8"/>
      <c r="T998" s="8"/>
      <c r="U998" s="8"/>
      <c r="V998" s="8"/>
    </row>
    <row r="999">
      <c r="A999" s="8"/>
      <c r="B999" s="11"/>
      <c r="C999" s="8"/>
      <c r="D999" s="8"/>
      <c r="E999" s="8"/>
      <c r="F999" s="8"/>
      <c r="G999" s="10"/>
      <c r="H999" s="8"/>
      <c r="I999" s="8"/>
      <c r="J999" s="8"/>
      <c r="K999" s="8"/>
      <c r="L999" s="8"/>
      <c r="M999" s="8"/>
      <c r="N999" s="8"/>
      <c r="O999" s="8"/>
      <c r="P999" s="8"/>
      <c r="Q999" s="8"/>
      <c r="R999" s="8"/>
      <c r="S999" s="8"/>
      <c r="T999" s="8"/>
      <c r="U999" s="8"/>
      <c r="V999" s="8"/>
    </row>
    <row r="1000">
      <c r="A1000" s="8"/>
      <c r="B1000" s="11"/>
      <c r="C1000" s="8"/>
      <c r="D1000" s="8"/>
      <c r="E1000" s="8"/>
      <c r="F1000" s="8"/>
      <c r="G1000" s="10"/>
      <c r="H1000" s="8"/>
      <c r="I1000" s="8"/>
      <c r="J1000" s="8"/>
      <c r="K1000" s="8"/>
      <c r="L1000" s="8"/>
      <c r="M1000" s="8"/>
      <c r="N1000" s="8"/>
      <c r="O1000" s="8"/>
      <c r="P1000" s="8"/>
      <c r="Q1000" s="8"/>
      <c r="R1000" s="8"/>
      <c r="S1000" s="8"/>
      <c r="T1000" s="8"/>
      <c r="U1000" s="8"/>
      <c r="V1000" s="8"/>
    </row>
    <row r="1001">
      <c r="A1001" s="8"/>
      <c r="B1001" s="11"/>
      <c r="C1001" s="8"/>
      <c r="D1001" s="8"/>
      <c r="E1001" s="8"/>
      <c r="F1001" s="8"/>
      <c r="G1001" s="10"/>
      <c r="H1001" s="8"/>
      <c r="I1001" s="8"/>
      <c r="J1001" s="8"/>
      <c r="K1001" s="8"/>
      <c r="L1001" s="8"/>
      <c r="M1001" s="8"/>
      <c r="N1001" s="8"/>
      <c r="O1001" s="8"/>
      <c r="P1001" s="8"/>
      <c r="Q1001" s="8"/>
      <c r="R1001" s="8"/>
      <c r="S1001" s="8"/>
      <c r="T1001" s="8"/>
      <c r="U1001" s="8"/>
      <c r="V1001" s="8"/>
    </row>
    <row r="1002">
      <c r="A1002" s="8"/>
      <c r="B1002" s="11"/>
      <c r="C1002" s="8"/>
      <c r="D1002" s="8"/>
      <c r="E1002" s="8"/>
      <c r="F1002" s="8"/>
      <c r="G1002" s="10"/>
      <c r="H1002" s="8"/>
      <c r="I1002" s="8"/>
      <c r="J1002" s="8"/>
      <c r="K1002" s="8"/>
      <c r="L1002" s="8"/>
      <c r="M1002" s="8"/>
      <c r="N1002" s="8"/>
      <c r="O1002" s="8"/>
      <c r="P1002" s="8"/>
      <c r="Q1002" s="8"/>
      <c r="R1002" s="8"/>
      <c r="S1002" s="8"/>
      <c r="T1002" s="8"/>
      <c r="U1002" s="8"/>
      <c r="V1002" s="8"/>
    </row>
    <row r="1003">
      <c r="A1003" s="8"/>
      <c r="B1003" s="11"/>
      <c r="C1003" s="8"/>
      <c r="D1003" s="8"/>
      <c r="E1003" s="8"/>
      <c r="F1003" s="8"/>
      <c r="G1003" s="10"/>
      <c r="H1003" s="8"/>
      <c r="I1003" s="8"/>
      <c r="J1003" s="8"/>
      <c r="K1003" s="8"/>
      <c r="L1003" s="8"/>
      <c r="M1003" s="8"/>
      <c r="N1003" s="8"/>
      <c r="O1003" s="8"/>
      <c r="P1003" s="8"/>
      <c r="Q1003" s="8"/>
      <c r="R1003" s="8"/>
      <c r="S1003" s="8"/>
      <c r="T1003" s="8"/>
      <c r="U1003" s="8"/>
      <c r="V1003" s="8"/>
    </row>
    <row r="1004">
      <c r="A1004" s="8"/>
      <c r="B1004" s="11"/>
      <c r="C1004" s="8"/>
      <c r="D1004" s="8"/>
      <c r="E1004" s="8"/>
      <c r="F1004" s="8"/>
      <c r="G1004" s="10"/>
      <c r="H1004" s="8"/>
      <c r="I1004" s="8"/>
      <c r="J1004" s="8"/>
      <c r="K1004" s="8"/>
      <c r="L1004" s="8"/>
      <c r="M1004" s="8"/>
      <c r="N1004" s="8"/>
      <c r="O1004" s="8"/>
      <c r="P1004" s="8"/>
      <c r="Q1004" s="8"/>
      <c r="R1004" s="8"/>
      <c r="S1004" s="8"/>
      <c r="T1004" s="8"/>
      <c r="U1004" s="8"/>
      <c r="V1004" s="8"/>
    </row>
    <row r="1005">
      <c r="A1005" s="8"/>
      <c r="B1005" s="11"/>
      <c r="C1005" s="8"/>
      <c r="D1005" s="8"/>
      <c r="E1005" s="8"/>
      <c r="F1005" s="8"/>
      <c r="G1005" s="10"/>
      <c r="H1005" s="8"/>
      <c r="I1005" s="8"/>
      <c r="J1005" s="8"/>
      <c r="K1005" s="8"/>
      <c r="L1005" s="8"/>
      <c r="M1005" s="8"/>
      <c r="N1005" s="8"/>
      <c r="O1005" s="8"/>
      <c r="P1005" s="8"/>
      <c r="Q1005" s="8"/>
      <c r="R1005" s="8"/>
      <c r="S1005" s="8"/>
      <c r="T1005" s="8"/>
      <c r="U1005" s="8"/>
      <c r="V1005" s="8"/>
    </row>
    <row r="1006">
      <c r="A1006" s="8"/>
      <c r="B1006" s="11"/>
      <c r="C1006" s="8"/>
      <c r="D1006" s="8"/>
      <c r="E1006" s="8"/>
      <c r="F1006" s="8"/>
      <c r="G1006" s="10"/>
      <c r="H1006" s="8"/>
      <c r="I1006" s="8"/>
      <c r="J1006" s="8"/>
      <c r="K1006" s="8"/>
      <c r="L1006" s="8"/>
      <c r="M1006" s="8"/>
      <c r="N1006" s="8"/>
      <c r="O1006" s="8"/>
      <c r="P1006" s="8"/>
      <c r="Q1006" s="8"/>
      <c r="R1006" s="8"/>
      <c r="S1006" s="8"/>
      <c r="T1006" s="8"/>
      <c r="U1006" s="8"/>
      <c r="V1006" s="8"/>
    </row>
    <row r="1007">
      <c r="A1007" s="8"/>
      <c r="B1007" s="11"/>
      <c r="C1007" s="8"/>
      <c r="D1007" s="8"/>
      <c r="E1007" s="8"/>
      <c r="F1007" s="8"/>
      <c r="G1007" s="10"/>
      <c r="H1007" s="8"/>
      <c r="I1007" s="8"/>
      <c r="J1007" s="8"/>
      <c r="K1007" s="8"/>
      <c r="L1007" s="8"/>
      <c r="M1007" s="8"/>
      <c r="N1007" s="8"/>
      <c r="O1007" s="8"/>
      <c r="P1007" s="8"/>
      <c r="Q1007" s="8"/>
      <c r="R1007" s="8"/>
      <c r="S1007" s="8"/>
      <c r="T1007" s="8"/>
      <c r="U1007" s="8"/>
      <c r="V1007" s="8"/>
    </row>
    <row r="1008">
      <c r="A1008" s="8"/>
      <c r="B1008" s="11"/>
      <c r="C1008" s="8"/>
      <c r="D1008" s="8"/>
      <c r="E1008" s="8"/>
      <c r="F1008" s="8"/>
      <c r="G1008" s="10"/>
      <c r="H1008" s="8"/>
      <c r="I1008" s="8"/>
      <c r="J1008" s="8"/>
      <c r="K1008" s="8"/>
      <c r="L1008" s="8"/>
      <c r="M1008" s="8"/>
      <c r="N1008" s="8"/>
      <c r="O1008" s="8"/>
      <c r="P1008" s="8"/>
      <c r="Q1008" s="8"/>
      <c r="R1008" s="8"/>
      <c r="S1008" s="8"/>
      <c r="T1008" s="8"/>
      <c r="U1008" s="8"/>
      <c r="V1008" s="8"/>
    </row>
    <row r="1009">
      <c r="A1009" s="8"/>
      <c r="B1009" s="11"/>
      <c r="C1009" s="8"/>
      <c r="D1009" s="8"/>
      <c r="E1009" s="8"/>
      <c r="F1009" s="8"/>
      <c r="G1009" s="10"/>
      <c r="H1009" s="8"/>
      <c r="I1009" s="8"/>
      <c r="J1009" s="8"/>
      <c r="K1009" s="8"/>
      <c r="L1009" s="8"/>
      <c r="M1009" s="8"/>
      <c r="N1009" s="8"/>
      <c r="O1009" s="8"/>
      <c r="P1009" s="8"/>
      <c r="Q1009" s="8"/>
      <c r="R1009" s="8"/>
      <c r="S1009" s="8"/>
      <c r="T1009" s="8"/>
      <c r="U1009" s="8"/>
      <c r="V1009" s="8"/>
    </row>
    <row r="1010">
      <c r="A1010" s="8"/>
      <c r="B1010" s="11"/>
      <c r="C1010" s="8"/>
      <c r="D1010" s="8"/>
      <c r="E1010" s="8"/>
      <c r="F1010" s="8"/>
      <c r="G1010" s="10"/>
      <c r="H1010" s="8"/>
      <c r="I1010" s="8"/>
      <c r="J1010" s="8"/>
      <c r="K1010" s="8"/>
      <c r="L1010" s="8"/>
      <c r="M1010" s="8"/>
      <c r="N1010" s="8"/>
      <c r="O1010" s="8"/>
      <c r="P1010" s="8"/>
      <c r="Q1010" s="8"/>
      <c r="R1010" s="8"/>
      <c r="S1010" s="8"/>
      <c r="T1010" s="8"/>
      <c r="U1010" s="8"/>
      <c r="V1010" s="8"/>
    </row>
    <row r="1011">
      <c r="A1011" s="8"/>
      <c r="B1011" s="11"/>
      <c r="C1011" s="8"/>
      <c r="D1011" s="8"/>
      <c r="E1011" s="8"/>
      <c r="F1011" s="8"/>
      <c r="G1011" s="10"/>
      <c r="H1011" s="8"/>
      <c r="I1011" s="8"/>
      <c r="J1011" s="8"/>
      <c r="K1011" s="8"/>
      <c r="L1011" s="8"/>
      <c r="M1011" s="8"/>
      <c r="N1011" s="8"/>
      <c r="O1011" s="8"/>
      <c r="P1011" s="8"/>
      <c r="Q1011" s="8"/>
      <c r="R1011" s="8"/>
      <c r="S1011" s="8"/>
      <c r="T1011" s="8"/>
      <c r="U1011" s="8"/>
      <c r="V1011" s="8"/>
    </row>
    <row r="1012">
      <c r="A1012" s="8"/>
      <c r="B1012" s="11"/>
      <c r="C1012" s="8"/>
      <c r="D1012" s="8"/>
      <c r="E1012" s="8"/>
      <c r="F1012" s="8"/>
      <c r="G1012" s="10"/>
      <c r="H1012" s="8"/>
      <c r="I1012" s="8"/>
      <c r="J1012" s="8"/>
      <c r="K1012" s="8"/>
      <c r="L1012" s="8"/>
      <c r="M1012" s="8"/>
      <c r="N1012" s="8"/>
      <c r="O1012" s="8"/>
      <c r="P1012" s="8"/>
      <c r="Q1012" s="8"/>
      <c r="R1012" s="8"/>
      <c r="S1012" s="8"/>
      <c r="T1012" s="8"/>
      <c r="U1012" s="8"/>
      <c r="V1012" s="8"/>
    </row>
    <row r="1013">
      <c r="A1013" s="8"/>
      <c r="B1013" s="11"/>
      <c r="C1013" s="8"/>
      <c r="D1013" s="8"/>
      <c r="E1013" s="8"/>
      <c r="F1013" s="8"/>
      <c r="G1013" s="10"/>
      <c r="H1013" s="8"/>
      <c r="I1013" s="8"/>
      <c r="J1013" s="8"/>
      <c r="K1013" s="8"/>
      <c r="L1013" s="8"/>
      <c r="M1013" s="8"/>
      <c r="N1013" s="8"/>
      <c r="O1013" s="8"/>
      <c r="P1013" s="8"/>
      <c r="Q1013" s="8"/>
      <c r="R1013" s="8"/>
      <c r="S1013" s="8"/>
      <c r="T1013" s="8"/>
      <c r="U1013" s="8"/>
      <c r="V1013" s="8"/>
    </row>
    <row r="1014">
      <c r="A1014" s="8"/>
      <c r="B1014" s="11"/>
      <c r="C1014" s="8"/>
      <c r="D1014" s="8"/>
      <c r="E1014" s="8"/>
      <c r="F1014" s="8"/>
      <c r="G1014" s="10"/>
      <c r="H1014" s="8"/>
      <c r="I1014" s="8"/>
      <c r="J1014" s="8"/>
      <c r="K1014" s="8"/>
      <c r="L1014" s="8"/>
      <c r="M1014" s="8"/>
      <c r="N1014" s="8"/>
      <c r="O1014" s="8"/>
      <c r="P1014" s="8"/>
      <c r="Q1014" s="8"/>
      <c r="R1014" s="8"/>
      <c r="S1014" s="8"/>
      <c r="T1014" s="8"/>
      <c r="U1014" s="8"/>
      <c r="V1014" s="8"/>
    </row>
    <row r="1015">
      <c r="A1015" s="8"/>
      <c r="B1015" s="11"/>
      <c r="C1015" s="8"/>
      <c r="D1015" s="8"/>
      <c r="E1015" s="8"/>
      <c r="F1015" s="8"/>
      <c r="G1015" s="10"/>
      <c r="H1015" s="8"/>
      <c r="I1015" s="8"/>
      <c r="J1015" s="8"/>
      <c r="K1015" s="8"/>
      <c r="L1015" s="8"/>
      <c r="M1015" s="8"/>
      <c r="N1015" s="8"/>
      <c r="O1015" s="8"/>
      <c r="P1015" s="8"/>
      <c r="Q1015" s="8"/>
      <c r="R1015" s="8"/>
      <c r="S1015" s="8"/>
      <c r="T1015" s="8"/>
      <c r="U1015" s="8"/>
      <c r="V1015" s="8"/>
    </row>
    <row r="1016">
      <c r="A1016" s="8"/>
      <c r="B1016" s="11"/>
      <c r="C1016" s="8"/>
      <c r="D1016" s="8"/>
      <c r="E1016" s="8"/>
      <c r="F1016" s="8"/>
      <c r="G1016" s="10"/>
      <c r="H1016" s="8"/>
      <c r="I1016" s="8"/>
      <c r="J1016" s="8"/>
      <c r="K1016" s="8"/>
      <c r="L1016" s="8"/>
      <c r="M1016" s="8"/>
      <c r="N1016" s="8"/>
      <c r="O1016" s="8"/>
      <c r="P1016" s="8"/>
      <c r="Q1016" s="8"/>
      <c r="R1016" s="8"/>
      <c r="S1016" s="8"/>
      <c r="T1016" s="8"/>
      <c r="U1016" s="8"/>
      <c r="V1016" s="8"/>
    </row>
    <row r="1017">
      <c r="A1017" s="8"/>
      <c r="B1017" s="11"/>
      <c r="C1017" s="8"/>
      <c r="D1017" s="8"/>
      <c r="E1017" s="8"/>
      <c r="F1017" s="8"/>
      <c r="G1017" s="10"/>
      <c r="H1017" s="8"/>
      <c r="I1017" s="8"/>
      <c r="J1017" s="8"/>
      <c r="K1017" s="8"/>
      <c r="L1017" s="8"/>
      <c r="M1017" s="8"/>
      <c r="N1017" s="8"/>
      <c r="O1017" s="8"/>
      <c r="P1017" s="8"/>
      <c r="Q1017" s="8"/>
      <c r="R1017" s="8"/>
      <c r="S1017" s="8"/>
      <c r="T1017" s="8"/>
      <c r="U1017" s="8"/>
      <c r="V1017" s="8"/>
    </row>
    <row r="1018">
      <c r="A1018" s="8"/>
      <c r="B1018" s="11"/>
      <c r="C1018" s="8"/>
      <c r="D1018" s="8"/>
      <c r="E1018" s="8"/>
      <c r="F1018" s="8"/>
      <c r="G1018" s="10"/>
      <c r="H1018" s="8"/>
      <c r="I1018" s="8"/>
      <c r="J1018" s="8"/>
      <c r="K1018" s="8"/>
      <c r="L1018" s="8"/>
      <c r="M1018" s="8"/>
      <c r="N1018" s="8"/>
      <c r="O1018" s="8"/>
      <c r="P1018" s="8"/>
      <c r="Q1018" s="8"/>
      <c r="R1018" s="8"/>
      <c r="S1018" s="8"/>
      <c r="T1018" s="8"/>
      <c r="U1018" s="8"/>
      <c r="V1018" s="8"/>
    </row>
    <row r="1019">
      <c r="A1019" s="8"/>
      <c r="B1019" s="11"/>
      <c r="C1019" s="8"/>
      <c r="D1019" s="8"/>
      <c r="E1019" s="8"/>
      <c r="F1019" s="8"/>
      <c r="G1019" s="10"/>
      <c r="H1019" s="8"/>
      <c r="I1019" s="8"/>
      <c r="J1019" s="8"/>
      <c r="K1019" s="8"/>
      <c r="L1019" s="8"/>
      <c r="M1019" s="8"/>
      <c r="N1019" s="8"/>
      <c r="O1019" s="8"/>
      <c r="P1019" s="8"/>
      <c r="Q1019" s="8"/>
      <c r="R1019" s="8"/>
      <c r="S1019" s="8"/>
      <c r="T1019" s="8"/>
      <c r="U1019" s="8"/>
      <c r="V1019" s="8"/>
    </row>
    <row r="1020">
      <c r="A1020" s="8"/>
      <c r="B1020" s="11"/>
      <c r="C1020" s="8"/>
      <c r="D1020" s="8"/>
      <c r="E1020" s="8"/>
      <c r="F1020" s="8"/>
      <c r="G1020" s="10"/>
      <c r="H1020" s="8"/>
      <c r="I1020" s="8"/>
      <c r="J1020" s="8"/>
      <c r="K1020" s="8"/>
      <c r="L1020" s="8"/>
      <c r="M1020" s="8"/>
      <c r="N1020" s="8"/>
      <c r="O1020" s="8"/>
      <c r="P1020" s="8"/>
      <c r="Q1020" s="8"/>
      <c r="R1020" s="8"/>
      <c r="S1020" s="8"/>
      <c r="T1020" s="8"/>
      <c r="U1020" s="8"/>
      <c r="V1020" s="8"/>
    </row>
    <row r="1021">
      <c r="A1021" s="8"/>
      <c r="B1021" s="11"/>
      <c r="C1021" s="8"/>
      <c r="D1021" s="8"/>
      <c r="E1021" s="8"/>
      <c r="F1021" s="8"/>
      <c r="G1021" s="10"/>
      <c r="H1021" s="8"/>
      <c r="I1021" s="8"/>
      <c r="J1021" s="8"/>
      <c r="K1021" s="8"/>
      <c r="L1021" s="8"/>
      <c r="M1021" s="8"/>
      <c r="N1021" s="8"/>
      <c r="O1021" s="8"/>
      <c r="P1021" s="8"/>
      <c r="Q1021" s="8"/>
      <c r="R1021" s="8"/>
      <c r="S1021" s="8"/>
      <c r="T1021" s="8"/>
      <c r="U1021" s="8"/>
      <c r="V1021" s="8"/>
    </row>
    <row r="1022">
      <c r="A1022" s="8"/>
      <c r="B1022" s="11"/>
      <c r="C1022" s="8"/>
      <c r="D1022" s="8"/>
      <c r="E1022" s="8"/>
      <c r="F1022" s="8"/>
      <c r="G1022" s="10"/>
      <c r="H1022" s="8"/>
      <c r="I1022" s="8"/>
      <c r="J1022" s="8"/>
      <c r="K1022" s="8"/>
      <c r="L1022" s="8"/>
      <c r="M1022" s="8"/>
      <c r="N1022" s="8"/>
      <c r="O1022" s="8"/>
      <c r="P1022" s="8"/>
      <c r="Q1022" s="8"/>
      <c r="R1022" s="8"/>
      <c r="S1022" s="8"/>
      <c r="T1022" s="8"/>
      <c r="U1022" s="8"/>
      <c r="V1022" s="8"/>
    </row>
    <row r="1023">
      <c r="A1023" s="8"/>
      <c r="B1023" s="11"/>
      <c r="C1023" s="8"/>
      <c r="D1023" s="8"/>
      <c r="E1023" s="8"/>
      <c r="F1023" s="8"/>
      <c r="G1023" s="10"/>
      <c r="H1023" s="8"/>
      <c r="I1023" s="8"/>
      <c r="J1023" s="8"/>
      <c r="K1023" s="8"/>
      <c r="L1023" s="8"/>
      <c r="M1023" s="8"/>
      <c r="N1023" s="8"/>
      <c r="O1023" s="8"/>
      <c r="P1023" s="8"/>
      <c r="Q1023" s="8"/>
      <c r="R1023" s="8"/>
      <c r="S1023" s="8"/>
      <c r="T1023" s="8"/>
      <c r="U1023" s="8"/>
      <c r="V1023" s="8"/>
    </row>
    <row r="1024">
      <c r="A1024" s="8"/>
      <c r="B1024" s="11"/>
      <c r="C1024" s="8"/>
      <c r="D1024" s="8"/>
      <c r="E1024" s="8"/>
      <c r="F1024" s="8"/>
      <c r="G1024" s="10"/>
      <c r="H1024" s="8"/>
      <c r="I1024" s="8"/>
      <c r="J1024" s="8"/>
      <c r="K1024" s="8"/>
      <c r="L1024" s="8"/>
      <c r="M1024" s="8"/>
      <c r="N1024" s="8"/>
      <c r="O1024" s="8"/>
      <c r="P1024" s="8"/>
      <c r="Q1024" s="8"/>
      <c r="R1024" s="8"/>
      <c r="S1024" s="8"/>
      <c r="T1024" s="8"/>
      <c r="U1024" s="8"/>
      <c r="V1024" s="8"/>
    </row>
    <row r="1025">
      <c r="A1025" s="8"/>
      <c r="B1025" s="11"/>
      <c r="C1025" s="8"/>
      <c r="D1025" s="8"/>
      <c r="E1025" s="8"/>
      <c r="F1025" s="8"/>
      <c r="G1025" s="10"/>
      <c r="H1025" s="8"/>
      <c r="I1025" s="8"/>
      <c r="J1025" s="8"/>
      <c r="K1025" s="8"/>
      <c r="L1025" s="8"/>
      <c r="M1025" s="8"/>
      <c r="N1025" s="8"/>
      <c r="O1025" s="8"/>
      <c r="P1025" s="8"/>
      <c r="Q1025" s="8"/>
      <c r="R1025" s="8"/>
      <c r="S1025" s="8"/>
      <c r="T1025" s="8"/>
      <c r="U1025" s="8"/>
      <c r="V1025" s="8"/>
    </row>
    <row r="1026">
      <c r="A1026" s="8"/>
      <c r="B1026" s="11"/>
      <c r="C1026" s="8"/>
      <c r="D1026" s="8"/>
      <c r="E1026" s="8"/>
      <c r="F1026" s="8"/>
      <c r="G1026" s="10"/>
      <c r="H1026" s="8"/>
      <c r="I1026" s="8"/>
      <c r="J1026" s="8"/>
      <c r="K1026" s="8"/>
      <c r="L1026" s="8"/>
      <c r="M1026" s="8"/>
      <c r="N1026" s="8"/>
      <c r="O1026" s="8"/>
      <c r="P1026" s="8"/>
      <c r="Q1026" s="8"/>
      <c r="R1026" s="8"/>
      <c r="S1026" s="8"/>
      <c r="T1026" s="8"/>
      <c r="U1026" s="8"/>
      <c r="V1026" s="8"/>
    </row>
    <row r="1027">
      <c r="A1027" s="8"/>
      <c r="B1027" s="11"/>
      <c r="C1027" s="8"/>
      <c r="D1027" s="8"/>
      <c r="E1027" s="8"/>
      <c r="F1027" s="8"/>
      <c r="G1027" s="10"/>
      <c r="H1027" s="8"/>
      <c r="I1027" s="8"/>
      <c r="J1027" s="8"/>
      <c r="K1027" s="8"/>
      <c r="L1027" s="8"/>
      <c r="M1027" s="8"/>
      <c r="N1027" s="8"/>
      <c r="O1027" s="8"/>
      <c r="P1027" s="8"/>
      <c r="Q1027" s="8"/>
      <c r="R1027" s="8"/>
      <c r="S1027" s="8"/>
      <c r="T1027" s="8"/>
      <c r="U1027" s="8"/>
      <c r="V1027" s="8"/>
    </row>
    <row r="1028">
      <c r="A1028" s="8"/>
      <c r="B1028" s="11"/>
      <c r="C1028" s="8"/>
      <c r="D1028" s="8"/>
      <c r="E1028" s="8"/>
      <c r="F1028" s="8"/>
      <c r="G1028" s="10"/>
      <c r="H1028" s="8"/>
      <c r="I1028" s="8"/>
      <c r="J1028" s="8"/>
      <c r="K1028" s="8"/>
      <c r="L1028" s="8"/>
      <c r="M1028" s="8"/>
      <c r="N1028" s="8"/>
      <c r="O1028" s="8"/>
      <c r="P1028" s="8"/>
      <c r="Q1028" s="8"/>
      <c r="R1028" s="8"/>
      <c r="S1028" s="8"/>
      <c r="T1028" s="8"/>
      <c r="U1028" s="8"/>
      <c r="V1028" s="8"/>
    </row>
    <row r="1029">
      <c r="A1029" s="8"/>
      <c r="B1029" s="11"/>
      <c r="C1029" s="8"/>
      <c r="D1029" s="8"/>
      <c r="E1029" s="8"/>
      <c r="F1029" s="8"/>
      <c r="G1029" s="10"/>
      <c r="H1029" s="8"/>
      <c r="I1029" s="8"/>
      <c r="J1029" s="8"/>
      <c r="K1029" s="8"/>
      <c r="L1029" s="8"/>
      <c r="M1029" s="8"/>
      <c r="N1029" s="8"/>
      <c r="O1029" s="8"/>
      <c r="P1029" s="8"/>
      <c r="Q1029" s="8"/>
      <c r="R1029" s="8"/>
      <c r="S1029" s="8"/>
      <c r="T1029" s="8"/>
      <c r="U1029" s="8"/>
      <c r="V1029" s="8"/>
    </row>
    <row r="1030">
      <c r="A1030" s="8"/>
      <c r="B1030" s="11"/>
      <c r="C1030" s="8"/>
      <c r="D1030" s="8"/>
      <c r="E1030" s="8"/>
      <c r="F1030" s="8"/>
      <c r="G1030" s="10"/>
      <c r="H1030" s="8"/>
      <c r="I1030" s="8"/>
      <c r="J1030" s="8"/>
      <c r="K1030" s="8"/>
      <c r="L1030" s="8"/>
      <c r="M1030" s="8"/>
      <c r="N1030" s="8"/>
      <c r="O1030" s="8"/>
      <c r="P1030" s="8"/>
      <c r="Q1030" s="8"/>
      <c r="R1030" s="8"/>
      <c r="S1030" s="8"/>
      <c r="T1030" s="8"/>
      <c r="U1030" s="8"/>
      <c r="V1030" s="8"/>
    </row>
    <row r="1031">
      <c r="A1031" s="8"/>
      <c r="B1031" s="11"/>
      <c r="C1031" s="8"/>
      <c r="D1031" s="8"/>
      <c r="E1031" s="8"/>
      <c r="F1031" s="8"/>
      <c r="G1031" s="10"/>
      <c r="H1031" s="8"/>
      <c r="I1031" s="8"/>
      <c r="J1031" s="8"/>
      <c r="K1031" s="8"/>
      <c r="L1031" s="8"/>
      <c r="M1031" s="8"/>
      <c r="N1031" s="8"/>
      <c r="O1031" s="8"/>
      <c r="P1031" s="8"/>
      <c r="Q1031" s="8"/>
      <c r="R1031" s="8"/>
      <c r="S1031" s="8"/>
      <c r="T1031" s="8"/>
      <c r="U1031" s="8"/>
      <c r="V1031" s="8"/>
    </row>
    <row r="1032">
      <c r="A1032" s="8"/>
      <c r="B1032" s="11"/>
      <c r="C1032" s="8"/>
      <c r="D1032" s="8"/>
      <c r="E1032" s="8"/>
      <c r="F1032" s="8"/>
      <c r="G1032" s="10"/>
      <c r="H1032" s="8"/>
      <c r="I1032" s="8"/>
      <c r="J1032" s="8"/>
      <c r="K1032" s="8"/>
      <c r="L1032" s="8"/>
      <c r="M1032" s="8"/>
      <c r="N1032" s="8"/>
      <c r="O1032" s="8"/>
      <c r="P1032" s="8"/>
      <c r="Q1032" s="8"/>
      <c r="R1032" s="8"/>
      <c r="S1032" s="8"/>
      <c r="T1032" s="8"/>
      <c r="U1032" s="8"/>
      <c r="V1032" s="8"/>
    </row>
    <row r="1033">
      <c r="A1033" s="8"/>
      <c r="B1033" s="11"/>
      <c r="C1033" s="8"/>
      <c r="D1033" s="8"/>
      <c r="E1033" s="8"/>
      <c r="F1033" s="8"/>
      <c r="G1033" s="10"/>
      <c r="H1033" s="8"/>
      <c r="I1033" s="8"/>
      <c r="J1033" s="8"/>
      <c r="K1033" s="8"/>
      <c r="L1033" s="8"/>
      <c r="M1033" s="8"/>
      <c r="N1033" s="8"/>
      <c r="O1033" s="8"/>
      <c r="P1033" s="8"/>
      <c r="Q1033" s="8"/>
      <c r="R1033" s="8"/>
      <c r="S1033" s="8"/>
      <c r="T1033" s="8"/>
      <c r="U1033" s="8"/>
      <c r="V1033" s="8"/>
    </row>
    <row r="1034">
      <c r="A1034" s="8"/>
      <c r="B1034" s="11"/>
      <c r="C1034" s="8"/>
      <c r="D1034" s="8"/>
      <c r="E1034" s="8"/>
      <c r="F1034" s="8"/>
      <c r="G1034" s="10"/>
      <c r="H1034" s="8"/>
      <c r="I1034" s="8"/>
      <c r="J1034" s="8"/>
      <c r="K1034" s="8"/>
      <c r="L1034" s="8"/>
      <c r="M1034" s="8"/>
      <c r="N1034" s="8"/>
      <c r="O1034" s="8"/>
      <c r="P1034" s="8"/>
      <c r="Q1034" s="8"/>
      <c r="R1034" s="8"/>
      <c r="S1034" s="8"/>
      <c r="T1034" s="8"/>
      <c r="U1034" s="8"/>
      <c r="V1034" s="8"/>
    </row>
    <row r="1035">
      <c r="A1035" s="8"/>
      <c r="B1035" s="11"/>
      <c r="C1035" s="8"/>
      <c r="D1035" s="8"/>
      <c r="E1035" s="8"/>
      <c r="F1035" s="8"/>
      <c r="G1035" s="10"/>
      <c r="H1035" s="8"/>
      <c r="I1035" s="8"/>
      <c r="J1035" s="8"/>
      <c r="K1035" s="8"/>
      <c r="L1035" s="8"/>
      <c r="M1035" s="8"/>
      <c r="N1035" s="8"/>
      <c r="O1035" s="8"/>
      <c r="P1035" s="8"/>
      <c r="Q1035" s="8"/>
      <c r="R1035" s="8"/>
      <c r="S1035" s="8"/>
      <c r="T1035" s="8"/>
      <c r="U1035" s="8"/>
      <c r="V1035" s="8"/>
    </row>
    <row r="1036">
      <c r="A1036" s="8"/>
      <c r="B1036" s="11"/>
      <c r="C1036" s="8"/>
      <c r="D1036" s="8"/>
      <c r="E1036" s="8"/>
      <c r="F1036" s="8"/>
      <c r="G1036" s="10"/>
      <c r="H1036" s="8"/>
      <c r="I1036" s="8"/>
      <c r="J1036" s="8"/>
      <c r="K1036" s="8"/>
      <c r="L1036" s="8"/>
      <c r="M1036" s="8"/>
      <c r="N1036" s="8"/>
      <c r="O1036" s="8"/>
      <c r="P1036" s="8"/>
      <c r="Q1036" s="8"/>
      <c r="R1036" s="8"/>
      <c r="S1036" s="8"/>
      <c r="T1036" s="8"/>
      <c r="U1036" s="8"/>
      <c r="V1036" s="8"/>
    </row>
    <row r="1037">
      <c r="A1037" s="8"/>
      <c r="B1037" s="11"/>
      <c r="C1037" s="8"/>
      <c r="D1037" s="8"/>
      <c r="E1037" s="8"/>
      <c r="F1037" s="8"/>
      <c r="G1037" s="10"/>
      <c r="H1037" s="8"/>
      <c r="I1037" s="8"/>
      <c r="J1037" s="8"/>
      <c r="K1037" s="8"/>
      <c r="L1037" s="8"/>
      <c r="M1037" s="8"/>
      <c r="N1037" s="8"/>
      <c r="O1037" s="8"/>
      <c r="P1037" s="8"/>
      <c r="Q1037" s="8"/>
      <c r="R1037" s="8"/>
      <c r="S1037" s="8"/>
      <c r="T1037" s="8"/>
      <c r="U1037" s="8"/>
      <c r="V1037" s="8"/>
    </row>
    <row r="1038">
      <c r="A1038" s="8"/>
      <c r="B1038" s="11"/>
      <c r="C1038" s="8"/>
      <c r="D1038" s="8"/>
      <c r="E1038" s="8"/>
      <c r="F1038" s="8"/>
      <c r="G1038" s="10"/>
      <c r="H1038" s="8"/>
      <c r="I1038" s="8"/>
      <c r="J1038" s="8"/>
      <c r="K1038" s="8"/>
      <c r="L1038" s="8"/>
      <c r="M1038" s="8"/>
      <c r="N1038" s="8"/>
      <c r="O1038" s="8"/>
      <c r="P1038" s="8"/>
      <c r="Q1038" s="8"/>
      <c r="R1038" s="8"/>
      <c r="S1038" s="8"/>
      <c r="T1038" s="8"/>
      <c r="U1038" s="8"/>
      <c r="V1038" s="8"/>
    </row>
    <row r="1039">
      <c r="A1039" s="8"/>
      <c r="B1039" s="11"/>
      <c r="C1039" s="8"/>
      <c r="D1039" s="8"/>
      <c r="E1039" s="8"/>
      <c r="F1039" s="8"/>
      <c r="G1039" s="10"/>
      <c r="H1039" s="8"/>
      <c r="I1039" s="8"/>
      <c r="J1039" s="8"/>
      <c r="K1039" s="8"/>
      <c r="L1039" s="8"/>
      <c r="M1039" s="8"/>
      <c r="N1039" s="8"/>
      <c r="O1039" s="8"/>
      <c r="P1039" s="8"/>
      <c r="Q1039" s="8"/>
      <c r="R1039" s="8"/>
      <c r="S1039" s="8"/>
      <c r="T1039" s="8"/>
      <c r="U1039" s="8"/>
      <c r="V1039" s="8"/>
    </row>
    <row r="1040">
      <c r="A1040" s="8"/>
      <c r="B1040" s="11"/>
      <c r="C1040" s="8"/>
      <c r="D1040" s="8"/>
      <c r="E1040" s="8"/>
      <c r="F1040" s="8"/>
      <c r="G1040" s="10"/>
      <c r="H1040" s="8"/>
      <c r="I1040" s="8"/>
      <c r="J1040" s="8"/>
      <c r="K1040" s="8"/>
      <c r="L1040" s="8"/>
      <c r="M1040" s="8"/>
      <c r="N1040" s="8"/>
      <c r="O1040" s="8"/>
      <c r="P1040" s="8"/>
      <c r="Q1040" s="8"/>
      <c r="R1040" s="8"/>
      <c r="S1040" s="8"/>
      <c r="T1040" s="8"/>
      <c r="U1040" s="8"/>
      <c r="V1040" s="8"/>
    </row>
    <row r="1041">
      <c r="A1041" s="8"/>
      <c r="B1041" s="11"/>
      <c r="C1041" s="8"/>
      <c r="D1041" s="8"/>
      <c r="E1041" s="8"/>
      <c r="F1041" s="8"/>
      <c r="G1041" s="10"/>
      <c r="H1041" s="8"/>
      <c r="I1041" s="8"/>
      <c r="J1041" s="8"/>
      <c r="K1041" s="8"/>
      <c r="L1041" s="8"/>
      <c r="M1041" s="8"/>
      <c r="N1041" s="8"/>
      <c r="O1041" s="8"/>
      <c r="P1041" s="8"/>
      <c r="Q1041" s="8"/>
      <c r="R1041" s="8"/>
      <c r="S1041" s="8"/>
      <c r="T1041" s="8"/>
      <c r="U1041" s="8"/>
      <c r="V1041" s="8"/>
    </row>
    <row r="1042">
      <c r="A1042" s="8"/>
      <c r="B1042" s="11"/>
      <c r="C1042" s="8"/>
      <c r="D1042" s="8"/>
      <c r="E1042" s="8"/>
      <c r="F1042" s="8"/>
      <c r="G1042" s="10"/>
      <c r="H1042" s="8"/>
      <c r="I1042" s="8"/>
      <c r="J1042" s="8"/>
      <c r="K1042" s="8"/>
      <c r="L1042" s="8"/>
      <c r="M1042" s="8"/>
      <c r="N1042" s="8"/>
      <c r="O1042" s="8"/>
      <c r="P1042" s="8"/>
      <c r="Q1042" s="8"/>
      <c r="R1042" s="8"/>
      <c r="S1042" s="8"/>
      <c r="T1042" s="8"/>
      <c r="U1042" s="8"/>
      <c r="V1042" s="8"/>
    </row>
    <row r="1043">
      <c r="A1043" s="8"/>
      <c r="B1043" s="11"/>
      <c r="C1043" s="8"/>
      <c r="D1043" s="8"/>
      <c r="E1043" s="8"/>
      <c r="F1043" s="8"/>
      <c r="G1043" s="10"/>
      <c r="H1043" s="8"/>
      <c r="I1043" s="8"/>
      <c r="J1043" s="8"/>
      <c r="K1043" s="8"/>
      <c r="L1043" s="8"/>
      <c r="M1043" s="8"/>
      <c r="N1043" s="8"/>
      <c r="O1043" s="8"/>
      <c r="P1043" s="8"/>
      <c r="Q1043" s="8"/>
      <c r="R1043" s="8"/>
      <c r="S1043" s="8"/>
      <c r="T1043" s="8"/>
      <c r="U1043" s="8"/>
      <c r="V1043" s="8"/>
    </row>
    <row r="1044">
      <c r="A1044" s="8"/>
      <c r="B1044" s="11"/>
      <c r="C1044" s="8"/>
      <c r="D1044" s="8"/>
      <c r="E1044" s="8"/>
      <c r="F1044" s="8"/>
      <c r="G1044" s="10"/>
      <c r="H1044" s="8"/>
      <c r="I1044" s="8"/>
      <c r="J1044" s="8"/>
      <c r="K1044" s="8"/>
      <c r="L1044" s="8"/>
      <c r="M1044" s="8"/>
      <c r="N1044" s="8"/>
      <c r="O1044" s="8"/>
      <c r="P1044" s="8"/>
      <c r="Q1044" s="8"/>
      <c r="R1044" s="8"/>
      <c r="S1044" s="8"/>
      <c r="T1044" s="8"/>
      <c r="U1044" s="8"/>
      <c r="V1044" s="8"/>
    </row>
    <row r="1045">
      <c r="A1045" s="8"/>
      <c r="B1045" s="11"/>
      <c r="C1045" s="8"/>
      <c r="D1045" s="8"/>
      <c r="E1045" s="8"/>
      <c r="F1045" s="8"/>
      <c r="G1045" s="10"/>
      <c r="H1045" s="8"/>
      <c r="I1045" s="8"/>
      <c r="J1045" s="8"/>
      <c r="K1045" s="8"/>
      <c r="L1045" s="8"/>
      <c r="M1045" s="8"/>
      <c r="N1045" s="8"/>
      <c r="O1045" s="8"/>
      <c r="P1045" s="8"/>
      <c r="Q1045" s="8"/>
      <c r="R1045" s="8"/>
      <c r="S1045" s="8"/>
      <c r="T1045" s="8"/>
      <c r="U1045" s="8"/>
      <c r="V1045" s="8"/>
    </row>
    <row r="1046">
      <c r="A1046" s="8"/>
      <c r="B1046" s="11"/>
      <c r="C1046" s="8"/>
      <c r="D1046" s="8"/>
      <c r="E1046" s="8"/>
      <c r="F1046" s="8"/>
      <c r="G1046" s="10"/>
      <c r="H1046" s="8"/>
      <c r="I1046" s="8"/>
      <c r="J1046" s="8"/>
      <c r="K1046" s="8"/>
      <c r="L1046" s="8"/>
      <c r="M1046" s="8"/>
      <c r="N1046" s="8"/>
      <c r="O1046" s="8"/>
      <c r="P1046" s="8"/>
      <c r="Q1046" s="8"/>
      <c r="R1046" s="8"/>
      <c r="S1046" s="8"/>
      <c r="T1046" s="8"/>
      <c r="U1046" s="8"/>
      <c r="V1046" s="8"/>
    </row>
    <row r="1047">
      <c r="A1047" s="8"/>
      <c r="B1047" s="11"/>
      <c r="C1047" s="8"/>
      <c r="D1047" s="8"/>
      <c r="E1047" s="8"/>
      <c r="F1047" s="8"/>
      <c r="G1047" s="10"/>
      <c r="H1047" s="8"/>
      <c r="I1047" s="8"/>
      <c r="J1047" s="8"/>
      <c r="K1047" s="8"/>
      <c r="L1047" s="8"/>
      <c r="M1047" s="8"/>
      <c r="N1047" s="8"/>
      <c r="O1047" s="8"/>
      <c r="P1047" s="8"/>
      <c r="Q1047" s="8"/>
      <c r="R1047" s="8"/>
      <c r="S1047" s="8"/>
      <c r="T1047" s="8"/>
      <c r="U1047" s="8"/>
      <c r="V1047" s="8"/>
    </row>
    <row r="1048">
      <c r="A1048" s="8"/>
      <c r="B1048" s="11"/>
      <c r="C1048" s="8"/>
      <c r="D1048" s="8"/>
      <c r="E1048" s="8"/>
      <c r="F1048" s="8"/>
      <c r="G1048" s="10"/>
      <c r="H1048" s="8"/>
      <c r="I1048" s="8"/>
      <c r="J1048" s="8"/>
      <c r="K1048" s="8"/>
      <c r="L1048" s="8"/>
      <c r="M1048" s="8"/>
      <c r="N1048" s="8"/>
      <c r="O1048" s="8"/>
      <c r="P1048" s="8"/>
      <c r="Q1048" s="8"/>
      <c r="R1048" s="8"/>
      <c r="S1048" s="8"/>
      <c r="T1048" s="8"/>
      <c r="U1048" s="8"/>
      <c r="V1048" s="8"/>
    </row>
    <row r="1049">
      <c r="A1049" s="8"/>
      <c r="B1049" s="11"/>
      <c r="C1049" s="8"/>
      <c r="D1049" s="8"/>
      <c r="E1049" s="8"/>
      <c r="F1049" s="8"/>
      <c r="G1049" s="10"/>
      <c r="H1049" s="8"/>
      <c r="I1049" s="8"/>
      <c r="J1049" s="8"/>
      <c r="K1049" s="8"/>
      <c r="L1049" s="8"/>
      <c r="M1049" s="8"/>
      <c r="N1049" s="8"/>
      <c r="O1049" s="8"/>
      <c r="P1049" s="8"/>
      <c r="Q1049" s="8"/>
      <c r="R1049" s="8"/>
      <c r="S1049" s="8"/>
      <c r="T1049" s="8"/>
      <c r="U1049" s="8"/>
      <c r="V1049" s="8"/>
    </row>
    <row r="1050">
      <c r="A1050" s="8"/>
      <c r="B1050" s="11"/>
      <c r="C1050" s="8"/>
      <c r="D1050" s="8"/>
      <c r="E1050" s="8"/>
      <c r="F1050" s="8"/>
      <c r="G1050" s="10"/>
      <c r="H1050" s="8"/>
      <c r="I1050" s="8"/>
      <c r="J1050" s="8"/>
      <c r="K1050" s="8"/>
      <c r="L1050" s="8"/>
      <c r="M1050" s="8"/>
      <c r="N1050" s="8"/>
      <c r="O1050" s="8"/>
      <c r="P1050" s="8"/>
      <c r="Q1050" s="8"/>
      <c r="R1050" s="8"/>
      <c r="S1050" s="8"/>
      <c r="T1050" s="8"/>
      <c r="U1050" s="8"/>
      <c r="V1050" s="8"/>
    </row>
    <row r="1051">
      <c r="A1051" s="8"/>
      <c r="B1051" s="11"/>
      <c r="C1051" s="8"/>
      <c r="D1051" s="8"/>
      <c r="E1051" s="8"/>
      <c r="F1051" s="8"/>
      <c r="G1051" s="10"/>
      <c r="H1051" s="8"/>
      <c r="I1051" s="8"/>
      <c r="J1051" s="8"/>
      <c r="K1051" s="8"/>
      <c r="L1051" s="8"/>
      <c r="M1051" s="8"/>
      <c r="N1051" s="8"/>
      <c r="O1051" s="8"/>
      <c r="P1051" s="8"/>
      <c r="Q1051" s="8"/>
      <c r="R1051" s="8"/>
      <c r="S1051" s="8"/>
      <c r="T1051" s="8"/>
      <c r="U1051" s="8"/>
      <c r="V1051" s="8"/>
    </row>
    <row r="1052">
      <c r="A1052" s="8"/>
      <c r="B1052" s="11"/>
      <c r="C1052" s="8"/>
      <c r="D1052" s="8"/>
      <c r="E1052" s="8"/>
      <c r="F1052" s="8"/>
      <c r="G1052" s="10"/>
      <c r="H1052" s="8"/>
      <c r="I1052" s="8"/>
      <c r="J1052" s="8"/>
      <c r="K1052" s="8"/>
      <c r="L1052" s="8"/>
      <c r="M1052" s="8"/>
      <c r="N1052" s="8"/>
      <c r="O1052" s="8"/>
      <c r="P1052" s="8"/>
      <c r="Q1052" s="8"/>
      <c r="R1052" s="8"/>
      <c r="S1052" s="8"/>
      <c r="T1052" s="8"/>
      <c r="U1052" s="8"/>
      <c r="V1052" s="8"/>
    </row>
    <row r="1053">
      <c r="A1053" s="8"/>
      <c r="B1053" s="11"/>
      <c r="C1053" s="8"/>
      <c r="D1053" s="8"/>
      <c r="E1053" s="8"/>
      <c r="F1053" s="8"/>
      <c r="G1053" s="10"/>
      <c r="H1053" s="8"/>
      <c r="I1053" s="8"/>
      <c r="J1053" s="8"/>
      <c r="K1053" s="8"/>
      <c r="L1053" s="8"/>
      <c r="M1053" s="8"/>
      <c r="N1053" s="8"/>
      <c r="O1053" s="8"/>
      <c r="P1053" s="8"/>
      <c r="Q1053" s="8"/>
      <c r="R1053" s="8"/>
      <c r="S1053" s="8"/>
      <c r="T1053" s="8"/>
      <c r="U1053" s="8"/>
      <c r="V1053" s="8"/>
    </row>
    <row r="1054">
      <c r="A1054" s="8"/>
      <c r="B1054" s="11"/>
      <c r="C1054" s="8"/>
      <c r="D1054" s="8"/>
      <c r="E1054" s="8"/>
      <c r="F1054" s="8"/>
      <c r="G1054" s="10"/>
      <c r="H1054" s="8"/>
      <c r="I1054" s="8"/>
      <c r="J1054" s="8"/>
      <c r="K1054" s="8"/>
      <c r="L1054" s="8"/>
      <c r="M1054" s="8"/>
      <c r="N1054" s="8"/>
      <c r="O1054" s="8"/>
      <c r="P1054" s="8"/>
      <c r="Q1054" s="8"/>
      <c r="R1054" s="8"/>
      <c r="S1054" s="8"/>
      <c r="T1054" s="8"/>
      <c r="U1054" s="8"/>
      <c r="V1054" s="8"/>
    </row>
    <row r="1055">
      <c r="A1055" s="8"/>
      <c r="B1055" s="11"/>
      <c r="C1055" s="8"/>
      <c r="D1055" s="8"/>
      <c r="E1055" s="8"/>
      <c r="F1055" s="8"/>
      <c r="G1055" s="10"/>
      <c r="H1055" s="8"/>
      <c r="I1055" s="8"/>
      <c r="J1055" s="8"/>
      <c r="K1055" s="8"/>
      <c r="L1055" s="8"/>
      <c r="M1055" s="8"/>
      <c r="N1055" s="8"/>
      <c r="O1055" s="8"/>
      <c r="P1055" s="8"/>
      <c r="Q1055" s="8"/>
      <c r="R1055" s="8"/>
      <c r="S1055" s="8"/>
      <c r="T1055" s="8"/>
      <c r="U1055" s="8"/>
      <c r="V1055" s="8"/>
    </row>
    <row r="1056">
      <c r="A1056" s="8"/>
      <c r="B1056" s="11"/>
      <c r="C1056" s="8"/>
      <c r="D1056" s="8"/>
      <c r="E1056" s="8"/>
      <c r="F1056" s="8"/>
      <c r="G1056" s="10"/>
      <c r="H1056" s="8"/>
      <c r="I1056" s="8"/>
      <c r="J1056" s="8"/>
      <c r="K1056" s="8"/>
      <c r="L1056" s="8"/>
      <c r="M1056" s="8"/>
      <c r="N1056" s="8"/>
      <c r="O1056" s="8"/>
      <c r="P1056" s="8"/>
      <c r="Q1056" s="8"/>
      <c r="R1056" s="8"/>
      <c r="S1056" s="8"/>
      <c r="T1056" s="8"/>
      <c r="U1056" s="8"/>
      <c r="V1056" s="8"/>
    </row>
    <row r="1057">
      <c r="A1057" s="8"/>
      <c r="B1057" s="11"/>
      <c r="C1057" s="8"/>
      <c r="D1057" s="8"/>
      <c r="E1057" s="8"/>
      <c r="F1057" s="8"/>
      <c r="G1057" s="10"/>
      <c r="H1057" s="8"/>
      <c r="I1057" s="8"/>
      <c r="J1057" s="8"/>
      <c r="K1057" s="8"/>
      <c r="L1057" s="8"/>
      <c r="M1057" s="8"/>
      <c r="N1057" s="8"/>
      <c r="O1057" s="8"/>
      <c r="P1057" s="8"/>
      <c r="Q1057" s="8"/>
      <c r="R1057" s="8"/>
      <c r="S1057" s="8"/>
      <c r="T1057" s="8"/>
      <c r="U1057" s="8"/>
      <c r="V1057" s="8"/>
    </row>
    <row r="1058">
      <c r="A1058" s="8"/>
      <c r="B1058" s="11"/>
      <c r="C1058" s="8"/>
      <c r="D1058" s="8"/>
      <c r="E1058" s="8"/>
      <c r="F1058" s="8"/>
      <c r="G1058" s="10"/>
      <c r="H1058" s="8"/>
      <c r="I1058" s="8"/>
      <c r="J1058" s="8"/>
      <c r="K1058" s="8"/>
      <c r="L1058" s="8"/>
      <c r="M1058" s="8"/>
      <c r="N1058" s="8"/>
      <c r="O1058" s="8"/>
      <c r="P1058" s="8"/>
      <c r="Q1058" s="8"/>
      <c r="R1058" s="8"/>
      <c r="S1058" s="8"/>
      <c r="T1058" s="8"/>
      <c r="U1058" s="8"/>
      <c r="V1058" s="8"/>
    </row>
    <row r="1059">
      <c r="A1059" s="8"/>
      <c r="B1059" s="11"/>
      <c r="C1059" s="8"/>
      <c r="D1059" s="8"/>
      <c r="E1059" s="8"/>
      <c r="F1059" s="8"/>
      <c r="G1059" s="10"/>
      <c r="H1059" s="8"/>
      <c r="I1059" s="8"/>
      <c r="J1059" s="8"/>
      <c r="K1059" s="8"/>
      <c r="L1059" s="8"/>
      <c r="M1059" s="8"/>
      <c r="N1059" s="8"/>
      <c r="O1059" s="8"/>
      <c r="P1059" s="8"/>
      <c r="Q1059" s="8"/>
      <c r="R1059" s="8"/>
      <c r="S1059" s="8"/>
      <c r="T1059" s="8"/>
      <c r="U1059" s="8"/>
      <c r="V1059" s="8"/>
    </row>
    <row r="1060">
      <c r="A1060" s="8"/>
      <c r="B1060" s="11"/>
      <c r="C1060" s="8"/>
      <c r="D1060" s="8"/>
      <c r="E1060" s="8"/>
      <c r="F1060" s="8"/>
      <c r="G1060" s="10"/>
      <c r="H1060" s="8"/>
      <c r="I1060" s="8"/>
      <c r="J1060" s="8"/>
      <c r="K1060" s="8"/>
      <c r="L1060" s="8"/>
      <c r="M1060" s="8"/>
      <c r="N1060" s="8"/>
      <c r="O1060" s="8"/>
      <c r="P1060" s="8"/>
      <c r="Q1060" s="8"/>
      <c r="R1060" s="8"/>
      <c r="S1060" s="8"/>
      <c r="T1060" s="8"/>
      <c r="U1060" s="8"/>
      <c r="V1060" s="8"/>
    </row>
    <row r="1061">
      <c r="A1061" s="8"/>
      <c r="B1061" s="11"/>
      <c r="C1061" s="8"/>
      <c r="D1061" s="8"/>
      <c r="E1061" s="8"/>
      <c r="F1061" s="8"/>
      <c r="G1061" s="10"/>
      <c r="H1061" s="8"/>
      <c r="I1061" s="8"/>
      <c r="J1061" s="8"/>
      <c r="K1061" s="8"/>
      <c r="L1061" s="8"/>
      <c r="M1061" s="8"/>
      <c r="N1061" s="8"/>
      <c r="O1061" s="8"/>
      <c r="P1061" s="8"/>
      <c r="Q1061" s="8"/>
      <c r="R1061" s="8"/>
      <c r="S1061" s="8"/>
      <c r="T1061" s="8"/>
      <c r="U1061" s="8"/>
      <c r="V1061" s="8"/>
    </row>
    <row r="1062">
      <c r="A1062" s="8"/>
      <c r="B1062" s="11"/>
      <c r="C1062" s="8"/>
      <c r="D1062" s="8"/>
      <c r="E1062" s="8"/>
      <c r="F1062" s="8"/>
      <c r="G1062" s="10"/>
      <c r="H1062" s="8"/>
      <c r="I1062" s="8"/>
      <c r="J1062" s="8"/>
      <c r="K1062" s="8"/>
      <c r="L1062" s="8"/>
      <c r="M1062" s="8"/>
      <c r="N1062" s="8"/>
      <c r="O1062" s="8"/>
      <c r="P1062" s="8"/>
      <c r="Q1062" s="8"/>
      <c r="R1062" s="8"/>
      <c r="S1062" s="8"/>
      <c r="T1062" s="8"/>
      <c r="U1062" s="8"/>
      <c r="V1062" s="8"/>
    </row>
    <row r="1063">
      <c r="A1063" s="8"/>
      <c r="B1063" s="11"/>
      <c r="C1063" s="8"/>
      <c r="D1063" s="8"/>
      <c r="E1063" s="8"/>
      <c r="F1063" s="8"/>
      <c r="G1063" s="10"/>
      <c r="H1063" s="8"/>
      <c r="I1063" s="8"/>
      <c r="J1063" s="8"/>
      <c r="K1063" s="8"/>
      <c r="L1063" s="8"/>
      <c r="M1063" s="8"/>
      <c r="N1063" s="8"/>
      <c r="O1063" s="8"/>
      <c r="P1063" s="8"/>
      <c r="Q1063" s="8"/>
      <c r="R1063" s="8"/>
      <c r="S1063" s="8"/>
      <c r="T1063" s="8"/>
      <c r="U1063" s="8"/>
      <c r="V1063" s="8"/>
    </row>
    <row r="1064">
      <c r="A1064" s="8"/>
      <c r="B1064" s="11"/>
      <c r="C1064" s="8"/>
      <c r="D1064" s="8"/>
      <c r="E1064" s="8"/>
      <c r="F1064" s="8"/>
      <c r="G1064" s="10"/>
      <c r="H1064" s="8"/>
      <c r="I1064" s="8"/>
      <c r="J1064" s="8"/>
      <c r="K1064" s="8"/>
      <c r="L1064" s="8"/>
      <c r="M1064" s="8"/>
      <c r="N1064" s="8"/>
      <c r="O1064" s="8"/>
      <c r="P1064" s="8"/>
      <c r="Q1064" s="8"/>
      <c r="R1064" s="8"/>
      <c r="S1064" s="8"/>
      <c r="T1064" s="8"/>
      <c r="U1064" s="8"/>
      <c r="V1064" s="8"/>
    </row>
    <row r="1065">
      <c r="A1065" s="8"/>
      <c r="B1065" s="11"/>
      <c r="C1065" s="8"/>
      <c r="D1065" s="8"/>
      <c r="E1065" s="8"/>
      <c r="F1065" s="8"/>
      <c r="G1065" s="10"/>
      <c r="H1065" s="8"/>
      <c r="I1065" s="8"/>
      <c r="J1065" s="8"/>
      <c r="K1065" s="8"/>
      <c r="L1065" s="8"/>
      <c r="M1065" s="8"/>
      <c r="N1065" s="8"/>
      <c r="O1065" s="8"/>
      <c r="P1065" s="8"/>
      <c r="Q1065" s="8"/>
      <c r="R1065" s="8"/>
      <c r="S1065" s="8"/>
      <c r="T1065" s="8"/>
      <c r="U1065" s="8"/>
      <c r="V1065" s="8"/>
    </row>
    <row r="1066">
      <c r="A1066" s="8"/>
      <c r="B1066" s="11"/>
      <c r="C1066" s="8"/>
      <c r="D1066" s="8"/>
      <c r="E1066" s="8"/>
      <c r="F1066" s="8"/>
      <c r="G1066" s="10"/>
      <c r="H1066" s="8"/>
      <c r="I1066" s="8"/>
      <c r="J1066" s="8"/>
      <c r="K1066" s="8"/>
      <c r="L1066" s="8"/>
      <c r="M1066" s="8"/>
      <c r="N1066" s="8"/>
      <c r="O1066" s="8"/>
      <c r="P1066" s="8"/>
      <c r="Q1066" s="8"/>
      <c r="R1066" s="8"/>
      <c r="S1066" s="8"/>
      <c r="T1066" s="8"/>
      <c r="U1066" s="8"/>
      <c r="V1066" s="8"/>
    </row>
    <row r="1067">
      <c r="A1067" s="8"/>
      <c r="B1067" s="11"/>
      <c r="C1067" s="8"/>
      <c r="D1067" s="8"/>
      <c r="E1067" s="8"/>
      <c r="F1067" s="8"/>
      <c r="G1067" s="10"/>
      <c r="H1067" s="8"/>
      <c r="I1067" s="8"/>
      <c r="J1067" s="8"/>
      <c r="K1067" s="8"/>
      <c r="L1067" s="8"/>
      <c r="M1067" s="8"/>
      <c r="N1067" s="8"/>
      <c r="O1067" s="8"/>
      <c r="P1067" s="8"/>
      <c r="Q1067" s="8"/>
      <c r="R1067" s="8"/>
      <c r="S1067" s="8"/>
      <c r="T1067" s="8"/>
      <c r="U1067" s="8"/>
      <c r="V1067" s="8"/>
    </row>
    <row r="1068">
      <c r="A1068" s="8"/>
      <c r="B1068" s="11"/>
      <c r="C1068" s="8"/>
      <c r="D1068" s="8"/>
      <c r="E1068" s="8"/>
      <c r="F1068" s="8"/>
      <c r="G1068" s="10"/>
      <c r="H1068" s="8"/>
      <c r="I1068" s="8"/>
      <c r="J1068" s="8"/>
      <c r="K1068" s="8"/>
      <c r="L1068" s="8"/>
      <c r="M1068" s="8"/>
      <c r="N1068" s="8"/>
      <c r="O1068" s="8"/>
      <c r="P1068" s="8"/>
      <c r="Q1068" s="8"/>
      <c r="R1068" s="8"/>
      <c r="S1068" s="8"/>
      <c r="T1068" s="8"/>
      <c r="U1068" s="8"/>
      <c r="V1068" s="8"/>
    </row>
    <row r="1069">
      <c r="A1069" s="8"/>
      <c r="B1069" s="11"/>
      <c r="C1069" s="8"/>
      <c r="D1069" s="8"/>
      <c r="E1069" s="8"/>
      <c r="F1069" s="8"/>
      <c r="G1069" s="10"/>
      <c r="H1069" s="8"/>
      <c r="I1069" s="8"/>
      <c r="J1069" s="8"/>
      <c r="K1069" s="8"/>
      <c r="L1069" s="8"/>
      <c r="M1069" s="8"/>
      <c r="N1069" s="8"/>
      <c r="O1069" s="8"/>
      <c r="P1069" s="8"/>
      <c r="Q1069" s="8"/>
      <c r="R1069" s="8"/>
      <c r="S1069" s="8"/>
      <c r="T1069" s="8"/>
      <c r="U1069" s="8"/>
      <c r="V1069" s="8"/>
    </row>
    <row r="1070">
      <c r="A1070" s="8"/>
      <c r="B1070" s="11"/>
      <c r="C1070" s="8"/>
      <c r="D1070" s="8"/>
      <c r="E1070" s="8"/>
      <c r="F1070" s="8"/>
      <c r="G1070" s="10"/>
      <c r="H1070" s="8"/>
      <c r="I1070" s="8"/>
      <c r="J1070" s="8"/>
      <c r="K1070" s="8"/>
      <c r="L1070" s="8"/>
      <c r="M1070" s="8"/>
      <c r="N1070" s="8"/>
      <c r="O1070" s="8"/>
      <c r="P1070" s="8"/>
      <c r="Q1070" s="8"/>
      <c r="R1070" s="8"/>
      <c r="S1070" s="8"/>
      <c r="T1070" s="8"/>
      <c r="U1070" s="8"/>
      <c r="V1070" s="8"/>
    </row>
    <row r="1071">
      <c r="A1071" s="8"/>
      <c r="B1071" s="11"/>
      <c r="C1071" s="8"/>
      <c r="D1071" s="8"/>
      <c r="E1071" s="8"/>
      <c r="F1071" s="8"/>
      <c r="G1071" s="10"/>
      <c r="H1071" s="8"/>
      <c r="I1071" s="8"/>
      <c r="J1071" s="8"/>
      <c r="K1071" s="8"/>
      <c r="L1071" s="8"/>
      <c r="M1071" s="8"/>
      <c r="N1071" s="8"/>
      <c r="O1071" s="8"/>
      <c r="P1071" s="8"/>
      <c r="Q1071" s="8"/>
      <c r="R1071" s="8"/>
      <c r="S1071" s="8"/>
      <c r="T1071" s="8"/>
      <c r="U1071" s="8"/>
      <c r="V1071" s="8"/>
    </row>
    <row r="1072">
      <c r="A1072" s="8"/>
      <c r="B1072" s="11"/>
      <c r="C1072" s="8"/>
      <c r="D1072" s="8"/>
      <c r="E1072" s="8"/>
      <c r="F1072" s="8"/>
      <c r="G1072" s="10"/>
      <c r="H1072" s="8"/>
      <c r="I1072" s="8"/>
      <c r="J1072" s="8"/>
      <c r="K1072" s="8"/>
      <c r="L1072" s="8"/>
      <c r="M1072" s="8"/>
      <c r="N1072" s="8"/>
      <c r="O1072" s="8"/>
      <c r="P1072" s="8"/>
      <c r="Q1072" s="8"/>
      <c r="R1072" s="8"/>
      <c r="S1072" s="8"/>
      <c r="T1072" s="8"/>
      <c r="U1072" s="8"/>
      <c r="V1072" s="8"/>
    </row>
    <row r="1073">
      <c r="A1073" s="8"/>
      <c r="B1073" s="11"/>
      <c r="C1073" s="8"/>
      <c r="D1073" s="8"/>
      <c r="E1073" s="8"/>
      <c r="F1073" s="8"/>
      <c r="G1073" s="10"/>
      <c r="H1073" s="8"/>
      <c r="I1073" s="8"/>
      <c r="J1073" s="8"/>
      <c r="K1073" s="8"/>
      <c r="L1073" s="8"/>
      <c r="M1073" s="8"/>
      <c r="N1073" s="8"/>
      <c r="O1073" s="8"/>
      <c r="P1073" s="8"/>
      <c r="Q1073" s="8"/>
      <c r="R1073" s="8"/>
      <c r="S1073" s="8"/>
      <c r="T1073" s="8"/>
      <c r="U1073" s="8"/>
      <c r="V1073" s="8"/>
    </row>
    <row r="1074">
      <c r="A1074" s="8"/>
      <c r="B1074" s="11"/>
      <c r="C1074" s="8"/>
      <c r="D1074" s="8"/>
      <c r="E1074" s="8"/>
      <c r="F1074" s="8"/>
      <c r="G1074" s="10"/>
      <c r="H1074" s="8"/>
      <c r="I1074" s="8"/>
      <c r="J1074" s="8"/>
      <c r="K1074" s="8"/>
      <c r="L1074" s="8"/>
      <c r="M1074" s="8"/>
      <c r="N1074" s="8"/>
      <c r="O1074" s="8"/>
      <c r="P1074" s="8"/>
      <c r="Q1074" s="8"/>
      <c r="R1074" s="8"/>
      <c r="S1074" s="8"/>
      <c r="T1074" s="8"/>
      <c r="U1074" s="8"/>
      <c r="V1074" s="8"/>
    </row>
    <row r="1075">
      <c r="A1075" s="8"/>
      <c r="B1075" s="11"/>
      <c r="C1075" s="8"/>
      <c r="D1075" s="8"/>
      <c r="E1075" s="8"/>
      <c r="F1075" s="8"/>
      <c r="G1075" s="10"/>
      <c r="H1075" s="8"/>
      <c r="I1075" s="8"/>
      <c r="J1075" s="8"/>
      <c r="K1075" s="8"/>
      <c r="L1075" s="8"/>
      <c r="M1075" s="8"/>
      <c r="N1075" s="8"/>
      <c r="O1075" s="8"/>
      <c r="P1075" s="8"/>
      <c r="Q1075" s="8"/>
      <c r="R1075" s="8"/>
      <c r="S1075" s="8"/>
      <c r="T1075" s="8"/>
      <c r="U1075" s="8"/>
      <c r="V1075" s="8"/>
    </row>
    <row r="1076">
      <c r="A1076" s="8"/>
      <c r="B1076" s="11"/>
      <c r="C1076" s="8"/>
      <c r="D1076" s="8"/>
      <c r="E1076" s="8"/>
      <c r="F1076" s="8"/>
      <c r="G1076" s="10"/>
      <c r="H1076" s="8"/>
      <c r="I1076" s="8"/>
      <c r="J1076" s="8"/>
      <c r="K1076" s="8"/>
      <c r="L1076" s="8"/>
      <c r="M1076" s="8"/>
      <c r="N1076" s="8"/>
      <c r="O1076" s="8"/>
      <c r="P1076" s="8"/>
      <c r="Q1076" s="8"/>
      <c r="R1076" s="8"/>
      <c r="S1076" s="8"/>
      <c r="T1076" s="8"/>
      <c r="U1076" s="8"/>
      <c r="V1076" s="8"/>
    </row>
    <row r="1077">
      <c r="A1077" s="8"/>
      <c r="B1077" s="11"/>
      <c r="C1077" s="8"/>
      <c r="D1077" s="8"/>
      <c r="E1077" s="8"/>
      <c r="F1077" s="8"/>
      <c r="G1077" s="10"/>
      <c r="H1077" s="8"/>
      <c r="I1077" s="8"/>
      <c r="J1077" s="8"/>
      <c r="K1077" s="8"/>
      <c r="L1077" s="8"/>
      <c r="M1077" s="8"/>
      <c r="N1077" s="8"/>
      <c r="O1077" s="8"/>
      <c r="P1077" s="8"/>
      <c r="Q1077" s="8"/>
      <c r="R1077" s="8"/>
      <c r="S1077" s="8"/>
      <c r="T1077" s="8"/>
      <c r="U1077" s="8"/>
      <c r="V1077" s="8"/>
    </row>
    <row r="1078">
      <c r="A1078" s="8"/>
      <c r="B1078" s="11"/>
      <c r="C1078" s="8"/>
      <c r="D1078" s="8"/>
      <c r="E1078" s="8"/>
      <c r="F1078" s="8"/>
      <c r="G1078" s="10"/>
      <c r="H1078" s="8"/>
      <c r="I1078" s="8"/>
      <c r="J1078" s="8"/>
      <c r="K1078" s="8"/>
      <c r="L1078" s="8"/>
      <c r="M1078" s="8"/>
      <c r="N1078" s="8"/>
      <c r="O1078" s="8"/>
      <c r="P1078" s="8"/>
      <c r="Q1078" s="8"/>
      <c r="R1078" s="8"/>
      <c r="S1078" s="8"/>
      <c r="T1078" s="8"/>
      <c r="U1078" s="8"/>
      <c r="V1078" s="8"/>
    </row>
    <row r="1079">
      <c r="A1079" s="8"/>
      <c r="B1079" s="11"/>
      <c r="C1079" s="8"/>
      <c r="D1079" s="8"/>
      <c r="E1079" s="8"/>
      <c r="F1079" s="8"/>
      <c r="G1079" s="10"/>
      <c r="H1079" s="8"/>
      <c r="I1079" s="8"/>
      <c r="J1079" s="8"/>
      <c r="K1079" s="8"/>
      <c r="L1079" s="8"/>
      <c r="M1079" s="8"/>
      <c r="N1079" s="8"/>
      <c r="O1079" s="8"/>
      <c r="P1079" s="8"/>
      <c r="Q1079" s="8"/>
      <c r="R1079" s="8"/>
      <c r="S1079" s="8"/>
      <c r="T1079" s="8"/>
      <c r="U1079" s="8"/>
      <c r="V1079" s="8"/>
    </row>
    <row r="1080">
      <c r="A1080" s="8"/>
      <c r="B1080" s="11"/>
      <c r="C1080" s="8"/>
      <c r="D1080" s="8"/>
      <c r="E1080" s="8"/>
      <c r="F1080" s="8"/>
      <c r="G1080" s="10"/>
      <c r="H1080" s="8"/>
      <c r="I1080" s="8"/>
      <c r="J1080" s="8"/>
      <c r="K1080" s="8"/>
      <c r="L1080" s="8"/>
      <c r="M1080" s="8"/>
      <c r="N1080" s="8"/>
      <c r="O1080" s="8"/>
      <c r="P1080" s="8"/>
      <c r="Q1080" s="8"/>
      <c r="R1080" s="8"/>
      <c r="S1080" s="8"/>
      <c r="T1080" s="8"/>
      <c r="U1080" s="8"/>
      <c r="V1080" s="8"/>
    </row>
    <row r="1081">
      <c r="A1081" s="8"/>
      <c r="B1081" s="11"/>
      <c r="C1081" s="8"/>
      <c r="D1081" s="8"/>
      <c r="E1081" s="8"/>
      <c r="F1081" s="8"/>
      <c r="G1081" s="10"/>
      <c r="H1081" s="8"/>
      <c r="I1081" s="8"/>
      <c r="J1081" s="8"/>
      <c r="K1081" s="8"/>
      <c r="L1081" s="8"/>
      <c r="M1081" s="8"/>
      <c r="N1081" s="8"/>
      <c r="O1081" s="8"/>
      <c r="P1081" s="8"/>
      <c r="Q1081" s="8"/>
      <c r="R1081" s="8"/>
      <c r="S1081" s="8"/>
      <c r="T1081" s="8"/>
      <c r="U1081" s="8"/>
      <c r="V1081" s="8"/>
    </row>
    <row r="1082">
      <c r="A1082" s="8"/>
      <c r="B1082" s="11"/>
      <c r="C1082" s="8"/>
      <c r="D1082" s="8"/>
      <c r="E1082" s="8"/>
      <c r="F1082" s="8"/>
      <c r="G1082" s="10"/>
      <c r="H1082" s="8"/>
      <c r="I1082" s="8"/>
      <c r="J1082" s="8"/>
      <c r="K1082" s="8"/>
      <c r="L1082" s="8"/>
      <c r="M1082" s="8"/>
      <c r="N1082" s="8"/>
      <c r="O1082" s="8"/>
      <c r="P1082" s="8"/>
      <c r="Q1082" s="8"/>
      <c r="R1082" s="8"/>
      <c r="S1082" s="8"/>
      <c r="T1082" s="8"/>
      <c r="U1082" s="8"/>
      <c r="V1082" s="8"/>
    </row>
    <row r="1083">
      <c r="A1083" s="8"/>
      <c r="B1083" s="11"/>
      <c r="C1083" s="8"/>
      <c r="D1083" s="8"/>
      <c r="E1083" s="8"/>
      <c r="F1083" s="8"/>
      <c r="G1083" s="10"/>
      <c r="H1083" s="8"/>
      <c r="I1083" s="8"/>
      <c r="J1083" s="8"/>
      <c r="K1083" s="8"/>
      <c r="L1083" s="8"/>
      <c r="M1083" s="8"/>
      <c r="N1083" s="8"/>
      <c r="O1083" s="8"/>
      <c r="P1083" s="8"/>
      <c r="Q1083" s="8"/>
      <c r="R1083" s="8"/>
      <c r="S1083" s="8"/>
      <c r="T1083" s="8"/>
      <c r="U1083" s="8"/>
      <c r="V1083" s="8"/>
    </row>
    <row r="1084">
      <c r="A1084" s="8"/>
      <c r="B1084" s="11"/>
      <c r="C1084" s="8"/>
      <c r="D1084" s="8"/>
      <c r="E1084" s="8"/>
      <c r="F1084" s="8"/>
      <c r="G1084" s="10"/>
      <c r="H1084" s="8"/>
      <c r="I1084" s="8"/>
      <c r="J1084" s="8"/>
      <c r="K1084" s="8"/>
      <c r="L1084" s="8"/>
      <c r="M1084" s="8"/>
      <c r="N1084" s="8"/>
      <c r="O1084" s="8"/>
      <c r="P1084" s="8"/>
      <c r="Q1084" s="8"/>
      <c r="R1084" s="8"/>
      <c r="S1084" s="8"/>
      <c r="T1084" s="8"/>
      <c r="U1084" s="8"/>
      <c r="V1084" s="8"/>
    </row>
    <row r="1085">
      <c r="A1085" s="8"/>
      <c r="B1085" s="11"/>
      <c r="C1085" s="8"/>
      <c r="D1085" s="8"/>
      <c r="E1085" s="8"/>
      <c r="F1085" s="8"/>
      <c r="G1085" s="10"/>
      <c r="H1085" s="8"/>
      <c r="I1085" s="8"/>
      <c r="J1085" s="8"/>
      <c r="K1085" s="8"/>
      <c r="L1085" s="8"/>
      <c r="M1085" s="8"/>
      <c r="N1085" s="8"/>
      <c r="O1085" s="8"/>
      <c r="P1085" s="8"/>
      <c r="Q1085" s="8"/>
      <c r="R1085" s="8"/>
      <c r="S1085" s="8"/>
      <c r="T1085" s="8"/>
      <c r="U1085" s="8"/>
      <c r="V1085" s="8"/>
    </row>
    <row r="1086">
      <c r="A1086" s="8"/>
      <c r="B1086" s="11"/>
      <c r="C1086" s="8"/>
      <c r="D1086" s="8"/>
      <c r="E1086" s="8"/>
      <c r="F1086" s="8"/>
      <c r="G1086" s="10"/>
      <c r="H1086" s="8"/>
      <c r="I1086" s="8"/>
      <c r="J1086" s="8"/>
      <c r="K1086" s="8"/>
      <c r="L1086" s="8"/>
      <c r="M1086" s="8"/>
      <c r="N1086" s="8"/>
      <c r="O1086" s="8"/>
      <c r="P1086" s="8"/>
      <c r="Q1086" s="8"/>
      <c r="R1086" s="8"/>
      <c r="S1086" s="8"/>
      <c r="T1086" s="8"/>
      <c r="U1086" s="8"/>
      <c r="V1086" s="8"/>
    </row>
    <row r="1087">
      <c r="A1087" s="8"/>
      <c r="B1087" s="11"/>
      <c r="C1087" s="8"/>
      <c r="D1087" s="8"/>
      <c r="E1087" s="8"/>
      <c r="F1087" s="8"/>
      <c r="G1087" s="10"/>
      <c r="H1087" s="8"/>
      <c r="I1087" s="8"/>
      <c r="J1087" s="8"/>
      <c r="K1087" s="8"/>
      <c r="L1087" s="8"/>
      <c r="M1087" s="8"/>
      <c r="N1087" s="8"/>
      <c r="O1087" s="8"/>
      <c r="P1087" s="8"/>
      <c r="Q1087" s="8"/>
      <c r="R1087" s="8"/>
      <c r="S1087" s="8"/>
      <c r="T1087" s="8"/>
      <c r="U1087" s="8"/>
      <c r="V1087" s="8"/>
    </row>
    <row r="1088">
      <c r="A1088" s="8"/>
      <c r="B1088" s="11"/>
      <c r="C1088" s="8"/>
      <c r="D1088" s="8"/>
      <c r="E1088" s="8"/>
      <c r="F1088" s="8"/>
      <c r="G1088" s="10"/>
      <c r="H1088" s="8"/>
      <c r="I1088" s="8"/>
      <c r="J1088" s="8"/>
      <c r="K1088" s="8"/>
      <c r="L1088" s="8"/>
      <c r="M1088" s="8"/>
      <c r="N1088" s="8"/>
      <c r="O1088" s="8"/>
      <c r="P1088" s="8"/>
      <c r="Q1088" s="8"/>
      <c r="R1088" s="8"/>
      <c r="S1088" s="8"/>
      <c r="T1088" s="8"/>
      <c r="U1088" s="8"/>
      <c r="V1088" s="8"/>
    </row>
    <row r="1089">
      <c r="A1089" s="8"/>
      <c r="B1089" s="11"/>
      <c r="C1089" s="8"/>
      <c r="D1089" s="8"/>
      <c r="E1089" s="8"/>
      <c r="F1089" s="8"/>
      <c r="G1089" s="10"/>
      <c r="H1089" s="8"/>
      <c r="I1089" s="8"/>
      <c r="J1089" s="8"/>
      <c r="K1089" s="8"/>
      <c r="L1089" s="8"/>
      <c r="M1089" s="8"/>
      <c r="N1089" s="8"/>
      <c r="O1089" s="8"/>
      <c r="P1089" s="8"/>
      <c r="Q1089" s="8"/>
      <c r="R1089" s="8"/>
      <c r="S1089" s="8"/>
      <c r="T1089" s="8"/>
      <c r="U1089" s="8"/>
      <c r="V1089" s="8"/>
    </row>
    <row r="1090">
      <c r="A1090" s="8"/>
      <c r="B1090" s="11"/>
      <c r="C1090" s="8"/>
      <c r="D1090" s="8"/>
      <c r="E1090" s="8"/>
      <c r="F1090" s="8"/>
      <c r="G1090" s="10"/>
      <c r="H1090" s="8"/>
      <c r="I1090" s="8"/>
      <c r="J1090" s="8"/>
      <c r="K1090" s="8"/>
      <c r="L1090" s="8"/>
      <c r="M1090" s="8"/>
      <c r="N1090" s="8"/>
      <c r="O1090" s="8"/>
      <c r="P1090" s="8"/>
      <c r="Q1090" s="8"/>
      <c r="R1090" s="8"/>
      <c r="S1090" s="8"/>
      <c r="T1090" s="8"/>
      <c r="U1090" s="8"/>
      <c r="V1090" s="8"/>
    </row>
    <row r="1091">
      <c r="A1091" s="8"/>
      <c r="B1091" s="11"/>
      <c r="C1091" s="8"/>
      <c r="D1091" s="8"/>
      <c r="E1091" s="8"/>
      <c r="F1091" s="8"/>
      <c r="G1091" s="10"/>
      <c r="H1091" s="8"/>
      <c r="I1091" s="8"/>
      <c r="J1091" s="8"/>
      <c r="K1091" s="8"/>
      <c r="L1091" s="8"/>
      <c r="M1091" s="8"/>
      <c r="N1091" s="8"/>
      <c r="O1091" s="8"/>
      <c r="P1091" s="8"/>
      <c r="Q1091" s="8"/>
      <c r="R1091" s="8"/>
      <c r="S1091" s="8"/>
      <c r="T1091" s="8"/>
      <c r="U1091" s="8"/>
      <c r="V1091" s="8"/>
    </row>
    <row r="1092">
      <c r="A1092" s="8"/>
      <c r="B1092" s="11"/>
      <c r="C1092" s="8"/>
      <c r="D1092" s="8"/>
      <c r="E1092" s="8"/>
      <c r="F1092" s="8"/>
      <c r="G1092" s="10"/>
      <c r="H1092" s="8"/>
      <c r="I1092" s="8"/>
      <c r="J1092" s="8"/>
      <c r="K1092" s="8"/>
      <c r="L1092" s="8"/>
      <c r="M1092" s="8"/>
      <c r="N1092" s="8"/>
      <c r="O1092" s="8"/>
      <c r="P1092" s="8"/>
      <c r="Q1092" s="8"/>
      <c r="R1092" s="8"/>
      <c r="S1092" s="8"/>
      <c r="T1092" s="8"/>
      <c r="U1092" s="8"/>
      <c r="V1092" s="8"/>
    </row>
    <row r="1093">
      <c r="A1093" s="8"/>
      <c r="B1093" s="11"/>
      <c r="C1093" s="8"/>
      <c r="D1093" s="8"/>
      <c r="E1093" s="8"/>
      <c r="F1093" s="8"/>
      <c r="G1093" s="10"/>
      <c r="H1093" s="8"/>
      <c r="I1093" s="8"/>
      <c r="J1093" s="8"/>
      <c r="K1093" s="8"/>
      <c r="L1093" s="8"/>
      <c r="M1093" s="8"/>
      <c r="N1093" s="8"/>
      <c r="O1093" s="8"/>
      <c r="P1093" s="8"/>
      <c r="Q1093" s="8"/>
      <c r="R1093" s="8"/>
      <c r="S1093" s="8"/>
      <c r="T1093" s="8"/>
      <c r="U1093" s="8"/>
      <c r="V1093" s="8"/>
    </row>
    <row r="1094">
      <c r="A1094" s="8"/>
      <c r="B1094" s="11"/>
      <c r="C1094" s="8"/>
      <c r="D1094" s="8"/>
      <c r="E1094" s="8"/>
      <c r="F1094" s="8"/>
      <c r="G1094" s="10"/>
      <c r="H1094" s="8"/>
      <c r="I1094" s="8"/>
      <c r="J1094" s="8"/>
      <c r="K1094" s="8"/>
      <c r="L1094" s="8"/>
      <c r="M1094" s="8"/>
      <c r="N1094" s="8"/>
      <c r="O1094" s="8"/>
      <c r="P1094" s="8"/>
      <c r="Q1094" s="8"/>
      <c r="R1094" s="8"/>
      <c r="S1094" s="8"/>
      <c r="T1094" s="8"/>
      <c r="U1094" s="8"/>
      <c r="V1094" s="8"/>
    </row>
    <row r="1095">
      <c r="A1095" s="8"/>
      <c r="B1095" s="11"/>
      <c r="C1095" s="8"/>
      <c r="D1095" s="8"/>
      <c r="E1095" s="8"/>
      <c r="F1095" s="8"/>
      <c r="G1095" s="10"/>
      <c r="H1095" s="8"/>
      <c r="I1095" s="8"/>
      <c r="J1095" s="8"/>
      <c r="K1095" s="8"/>
      <c r="L1095" s="8"/>
      <c r="M1095" s="8"/>
      <c r="N1095" s="8"/>
      <c r="O1095" s="8"/>
      <c r="P1095" s="8"/>
      <c r="Q1095" s="8"/>
      <c r="R1095" s="8"/>
      <c r="S1095" s="8"/>
      <c r="T1095" s="8"/>
      <c r="U1095" s="8"/>
      <c r="V1095" s="8"/>
    </row>
    <row r="1096">
      <c r="A1096" s="8"/>
      <c r="B1096" s="11"/>
      <c r="C1096" s="8"/>
      <c r="D1096" s="8"/>
      <c r="E1096" s="8"/>
      <c r="F1096" s="8"/>
      <c r="G1096" s="10"/>
      <c r="H1096" s="8"/>
      <c r="I1096" s="8"/>
      <c r="J1096" s="8"/>
      <c r="K1096" s="8"/>
      <c r="L1096" s="8"/>
      <c r="M1096" s="8"/>
      <c r="N1096" s="8"/>
      <c r="O1096" s="8"/>
      <c r="P1096" s="8"/>
      <c r="Q1096" s="8"/>
      <c r="R1096" s="8"/>
      <c r="S1096" s="8"/>
      <c r="T1096" s="8"/>
      <c r="U1096" s="8"/>
      <c r="V1096" s="8"/>
    </row>
    <row r="1097">
      <c r="A1097" s="8"/>
      <c r="B1097" s="11"/>
      <c r="C1097" s="8"/>
      <c r="D1097" s="8"/>
      <c r="E1097" s="8"/>
      <c r="F1097" s="8"/>
      <c r="G1097" s="10"/>
      <c r="H1097" s="8"/>
      <c r="I1097" s="8"/>
      <c r="J1097" s="8"/>
      <c r="K1097" s="8"/>
      <c r="L1097" s="8"/>
      <c r="M1097" s="8"/>
      <c r="N1097" s="8"/>
      <c r="O1097" s="8"/>
      <c r="P1097" s="8"/>
      <c r="Q1097" s="8"/>
      <c r="R1097" s="8"/>
      <c r="S1097" s="8"/>
      <c r="T1097" s="8"/>
      <c r="U1097" s="8"/>
      <c r="V1097" s="8"/>
    </row>
    <row r="1098">
      <c r="A1098" s="8"/>
      <c r="B1098" s="11"/>
      <c r="C1098" s="8"/>
      <c r="D1098" s="8"/>
      <c r="E1098" s="8"/>
      <c r="F1098" s="8"/>
      <c r="G1098" s="10"/>
      <c r="H1098" s="8"/>
      <c r="I1098" s="8"/>
      <c r="J1098" s="8"/>
      <c r="K1098" s="8"/>
      <c r="L1098" s="8"/>
      <c r="M1098" s="8"/>
      <c r="N1098" s="8"/>
      <c r="O1098" s="8"/>
      <c r="P1098" s="8"/>
      <c r="Q1098" s="8"/>
      <c r="R1098" s="8"/>
      <c r="S1098" s="8"/>
      <c r="T1098" s="8"/>
      <c r="U1098" s="8"/>
      <c r="V1098" s="8"/>
    </row>
    <row r="1099">
      <c r="A1099" s="8"/>
      <c r="B1099" s="11"/>
      <c r="C1099" s="8"/>
      <c r="D1099" s="8"/>
      <c r="E1099" s="8"/>
      <c r="F1099" s="8"/>
      <c r="G1099" s="10"/>
      <c r="H1099" s="8"/>
      <c r="I1099" s="8"/>
      <c r="J1099" s="8"/>
      <c r="K1099" s="8"/>
      <c r="L1099" s="8"/>
      <c r="M1099" s="8"/>
      <c r="N1099" s="8"/>
      <c r="O1099" s="8"/>
      <c r="P1099" s="8"/>
      <c r="Q1099" s="8"/>
      <c r="R1099" s="8"/>
      <c r="S1099" s="8"/>
      <c r="T1099" s="8"/>
      <c r="U1099" s="8"/>
      <c r="V1099" s="8"/>
    </row>
    <row r="1100">
      <c r="A1100" s="8"/>
      <c r="B1100" s="11"/>
      <c r="C1100" s="8"/>
      <c r="D1100" s="8"/>
      <c r="E1100" s="8"/>
      <c r="F1100" s="8"/>
      <c r="G1100" s="10"/>
      <c r="H1100" s="8"/>
      <c r="I1100" s="8"/>
      <c r="J1100" s="8"/>
      <c r="K1100" s="8"/>
      <c r="L1100" s="8"/>
      <c r="M1100" s="8"/>
      <c r="N1100" s="8"/>
      <c r="O1100" s="8"/>
      <c r="P1100" s="8"/>
      <c r="Q1100" s="8"/>
      <c r="R1100" s="8"/>
      <c r="S1100" s="8"/>
      <c r="T1100" s="8"/>
      <c r="U1100" s="8"/>
      <c r="V1100" s="8"/>
    </row>
    <row r="1101">
      <c r="A1101" s="8"/>
      <c r="B1101" s="11"/>
      <c r="C1101" s="8"/>
      <c r="D1101" s="8"/>
      <c r="E1101" s="8"/>
      <c r="F1101" s="8"/>
      <c r="G1101" s="10"/>
      <c r="H1101" s="8"/>
      <c r="I1101" s="8"/>
      <c r="J1101" s="8"/>
      <c r="K1101" s="8"/>
      <c r="L1101" s="8"/>
      <c r="M1101" s="8"/>
      <c r="N1101" s="8"/>
      <c r="O1101" s="8"/>
      <c r="P1101" s="8"/>
      <c r="Q1101" s="8"/>
      <c r="R1101" s="8"/>
      <c r="S1101" s="8"/>
      <c r="T1101" s="8"/>
      <c r="U1101" s="8"/>
      <c r="V1101" s="8"/>
    </row>
    <row r="1102">
      <c r="A1102" s="8"/>
      <c r="B1102" s="11"/>
      <c r="C1102" s="8"/>
      <c r="D1102" s="8"/>
      <c r="E1102" s="8"/>
      <c r="F1102" s="8"/>
      <c r="G1102" s="10"/>
      <c r="H1102" s="8"/>
      <c r="I1102" s="8"/>
      <c r="J1102" s="8"/>
      <c r="K1102" s="8"/>
      <c r="L1102" s="8"/>
      <c r="M1102" s="8"/>
      <c r="N1102" s="8"/>
      <c r="O1102" s="8"/>
      <c r="P1102" s="8"/>
      <c r="Q1102" s="8"/>
      <c r="R1102" s="8"/>
      <c r="S1102" s="8"/>
      <c r="T1102" s="8"/>
      <c r="U1102" s="8"/>
      <c r="V1102" s="8"/>
    </row>
    <row r="1103">
      <c r="A1103" s="8"/>
      <c r="B1103" s="11"/>
      <c r="C1103" s="8"/>
      <c r="D1103" s="8"/>
      <c r="E1103" s="8"/>
      <c r="F1103" s="8"/>
      <c r="G1103" s="10"/>
      <c r="H1103" s="8"/>
      <c r="I1103" s="8"/>
      <c r="J1103" s="8"/>
      <c r="K1103" s="8"/>
      <c r="L1103" s="8"/>
      <c r="M1103" s="8"/>
      <c r="N1103" s="8"/>
      <c r="O1103" s="8"/>
      <c r="P1103" s="8"/>
      <c r="Q1103" s="8"/>
      <c r="R1103" s="8"/>
      <c r="S1103" s="8"/>
      <c r="T1103" s="8"/>
      <c r="U1103" s="8"/>
      <c r="V1103" s="8"/>
    </row>
    <row r="1104">
      <c r="A1104" s="8"/>
      <c r="B1104" s="11"/>
      <c r="C1104" s="8"/>
      <c r="D1104" s="8"/>
      <c r="E1104" s="8"/>
      <c r="F1104" s="8"/>
      <c r="G1104" s="10"/>
      <c r="H1104" s="8"/>
      <c r="I1104" s="8"/>
      <c r="J1104" s="8"/>
      <c r="K1104" s="8"/>
      <c r="L1104" s="8"/>
      <c r="M1104" s="8"/>
      <c r="N1104" s="8"/>
      <c r="O1104" s="8"/>
      <c r="P1104" s="8"/>
      <c r="Q1104" s="8"/>
      <c r="R1104" s="8"/>
      <c r="S1104" s="8"/>
      <c r="T1104" s="8"/>
      <c r="U1104" s="8"/>
      <c r="V1104" s="8"/>
    </row>
    <row r="1105">
      <c r="A1105" s="8"/>
      <c r="B1105" s="11"/>
      <c r="C1105" s="8"/>
      <c r="D1105" s="8"/>
      <c r="E1105" s="8"/>
      <c r="F1105" s="8"/>
      <c r="G1105" s="10"/>
      <c r="H1105" s="8"/>
      <c r="I1105" s="8"/>
      <c r="J1105" s="8"/>
      <c r="K1105" s="8"/>
      <c r="L1105" s="8"/>
      <c r="M1105" s="8"/>
      <c r="N1105" s="8"/>
      <c r="O1105" s="8"/>
      <c r="P1105" s="8"/>
      <c r="Q1105" s="8"/>
      <c r="R1105" s="8"/>
      <c r="S1105" s="8"/>
      <c r="T1105" s="8"/>
      <c r="U1105" s="8"/>
      <c r="V1105" s="8"/>
    </row>
    <row r="1106">
      <c r="A1106" s="8"/>
      <c r="B1106" s="11"/>
      <c r="C1106" s="8"/>
      <c r="D1106" s="8"/>
      <c r="E1106" s="8"/>
      <c r="F1106" s="8"/>
      <c r="G1106" s="10"/>
      <c r="H1106" s="8"/>
      <c r="I1106" s="8"/>
      <c r="J1106" s="8"/>
      <c r="K1106" s="8"/>
      <c r="L1106" s="8"/>
      <c r="M1106" s="8"/>
      <c r="N1106" s="8"/>
      <c r="O1106" s="8"/>
      <c r="P1106" s="8"/>
      <c r="Q1106" s="8"/>
      <c r="R1106" s="8"/>
      <c r="S1106" s="8"/>
      <c r="T1106" s="8"/>
      <c r="U1106" s="8"/>
      <c r="V1106" s="8"/>
    </row>
    <row r="1107">
      <c r="A1107" s="8"/>
      <c r="B1107" s="11"/>
      <c r="C1107" s="8"/>
      <c r="D1107" s="8"/>
      <c r="E1107" s="8"/>
      <c r="F1107" s="8"/>
      <c r="G1107" s="10"/>
      <c r="H1107" s="8"/>
      <c r="I1107" s="8"/>
      <c r="J1107" s="8"/>
      <c r="K1107" s="8"/>
      <c r="L1107" s="8"/>
      <c r="M1107" s="8"/>
      <c r="N1107" s="8"/>
      <c r="O1107" s="8"/>
      <c r="P1107" s="8"/>
      <c r="Q1107" s="8"/>
      <c r="R1107" s="8"/>
      <c r="S1107" s="8"/>
      <c r="T1107" s="8"/>
      <c r="U1107" s="8"/>
      <c r="V1107" s="8"/>
    </row>
    <row r="1108">
      <c r="A1108" s="8"/>
      <c r="B1108" s="11"/>
      <c r="C1108" s="8"/>
      <c r="D1108" s="8"/>
      <c r="E1108" s="8"/>
      <c r="F1108" s="8"/>
      <c r="G1108" s="10"/>
      <c r="H1108" s="8"/>
      <c r="I1108" s="8"/>
      <c r="J1108" s="8"/>
      <c r="K1108" s="8"/>
      <c r="L1108" s="8"/>
      <c r="M1108" s="8"/>
      <c r="N1108" s="8"/>
      <c r="O1108" s="8"/>
      <c r="P1108" s="8"/>
      <c r="Q1108" s="8"/>
      <c r="R1108" s="8"/>
      <c r="S1108" s="8"/>
      <c r="T1108" s="8"/>
      <c r="U1108" s="8"/>
      <c r="V1108" s="8"/>
    </row>
    <row r="1109">
      <c r="A1109" s="8"/>
      <c r="B1109" s="11"/>
      <c r="C1109" s="8"/>
      <c r="D1109" s="8"/>
      <c r="E1109" s="8"/>
      <c r="F1109" s="8"/>
      <c r="G1109" s="10"/>
      <c r="H1109" s="8"/>
      <c r="I1109" s="8"/>
      <c r="J1109" s="8"/>
      <c r="K1109" s="8"/>
      <c r="L1109" s="8"/>
      <c r="M1109" s="8"/>
      <c r="N1109" s="8"/>
      <c r="O1109" s="8"/>
      <c r="P1109" s="8"/>
      <c r="Q1109" s="8"/>
      <c r="R1109" s="8"/>
      <c r="S1109" s="8"/>
      <c r="T1109" s="8"/>
      <c r="U1109" s="8"/>
      <c r="V1109" s="8"/>
    </row>
    <row r="1110">
      <c r="A1110" s="8"/>
      <c r="B1110" s="11"/>
      <c r="C1110" s="8"/>
      <c r="D1110" s="8"/>
      <c r="E1110" s="8"/>
      <c r="F1110" s="8"/>
      <c r="G1110" s="10"/>
      <c r="H1110" s="8"/>
      <c r="I1110" s="8"/>
      <c r="J1110" s="8"/>
      <c r="K1110" s="8"/>
      <c r="L1110" s="8"/>
      <c r="M1110" s="8"/>
      <c r="N1110" s="8"/>
      <c r="O1110" s="8"/>
      <c r="P1110" s="8"/>
      <c r="Q1110" s="8"/>
      <c r="R1110" s="8"/>
      <c r="S1110" s="8"/>
      <c r="T1110" s="8"/>
      <c r="U1110" s="8"/>
      <c r="V1110" s="8"/>
    </row>
    <row r="1111">
      <c r="A1111" s="8"/>
      <c r="B1111" s="11"/>
      <c r="C1111" s="8"/>
      <c r="D1111" s="8"/>
      <c r="E1111" s="8"/>
      <c r="F1111" s="8"/>
      <c r="G1111" s="10"/>
      <c r="H1111" s="8"/>
      <c r="I1111" s="8"/>
      <c r="J1111" s="8"/>
      <c r="K1111" s="8"/>
      <c r="L1111" s="8"/>
      <c r="M1111" s="8"/>
      <c r="N1111" s="8"/>
      <c r="O1111" s="8"/>
      <c r="P1111" s="8"/>
      <c r="Q1111" s="8"/>
      <c r="R1111" s="8"/>
      <c r="S1111" s="8"/>
      <c r="T1111" s="8"/>
      <c r="U1111" s="8"/>
      <c r="V1111" s="8"/>
    </row>
    <row r="1112">
      <c r="A1112" s="8"/>
      <c r="B1112" s="11"/>
      <c r="C1112" s="8"/>
      <c r="D1112" s="8"/>
      <c r="E1112" s="8"/>
      <c r="F1112" s="8"/>
      <c r="G1112" s="10"/>
      <c r="H1112" s="8"/>
      <c r="I1112" s="8"/>
      <c r="J1112" s="8"/>
      <c r="K1112" s="8"/>
      <c r="L1112" s="8"/>
      <c r="M1112" s="8"/>
      <c r="N1112" s="8"/>
      <c r="O1112" s="8"/>
      <c r="P1112" s="8"/>
      <c r="Q1112" s="8"/>
      <c r="R1112" s="8"/>
      <c r="S1112" s="8"/>
      <c r="T1112" s="8"/>
      <c r="U1112" s="8"/>
      <c r="V1112" s="8"/>
    </row>
    <row r="1113">
      <c r="A1113" s="8"/>
      <c r="B1113" s="11"/>
      <c r="C1113" s="8"/>
      <c r="D1113" s="8"/>
      <c r="E1113" s="8"/>
      <c r="F1113" s="8"/>
      <c r="G1113" s="10"/>
      <c r="H1113" s="8"/>
      <c r="I1113" s="8"/>
      <c r="J1113" s="8"/>
      <c r="K1113" s="8"/>
      <c r="L1113" s="8"/>
      <c r="M1113" s="8"/>
      <c r="N1113" s="8"/>
      <c r="O1113" s="8"/>
      <c r="P1113" s="8"/>
      <c r="Q1113" s="8"/>
      <c r="R1113" s="8"/>
      <c r="S1113" s="8"/>
      <c r="T1113" s="8"/>
      <c r="U1113" s="8"/>
      <c r="V1113" s="8"/>
    </row>
    <row r="1114">
      <c r="A1114" s="8"/>
      <c r="B1114" s="11"/>
      <c r="C1114" s="8"/>
      <c r="D1114" s="8"/>
      <c r="E1114" s="8"/>
      <c r="F1114" s="8"/>
      <c r="G1114" s="10"/>
      <c r="H1114" s="8"/>
      <c r="I1114" s="8"/>
      <c r="J1114" s="8"/>
      <c r="K1114" s="8"/>
      <c r="L1114" s="8"/>
      <c r="M1114" s="8"/>
      <c r="N1114" s="8"/>
      <c r="O1114" s="8"/>
      <c r="P1114" s="8"/>
      <c r="Q1114" s="8"/>
      <c r="R1114" s="8"/>
      <c r="S1114" s="8"/>
      <c r="T1114" s="8"/>
      <c r="U1114" s="8"/>
      <c r="V1114" s="8"/>
    </row>
    <row r="1115">
      <c r="A1115" s="8"/>
      <c r="B1115" s="11"/>
      <c r="C1115" s="8"/>
      <c r="D1115" s="8"/>
      <c r="E1115" s="8"/>
      <c r="F1115" s="8"/>
      <c r="G1115" s="10"/>
      <c r="H1115" s="8"/>
      <c r="I1115" s="8"/>
      <c r="J1115" s="8"/>
      <c r="K1115" s="8"/>
      <c r="L1115" s="8"/>
      <c r="M1115" s="8"/>
      <c r="N1115" s="8"/>
      <c r="O1115" s="8"/>
      <c r="P1115" s="8"/>
      <c r="Q1115" s="8"/>
      <c r="R1115" s="8"/>
      <c r="S1115" s="8"/>
      <c r="T1115" s="8"/>
      <c r="U1115" s="8"/>
      <c r="V1115" s="8"/>
    </row>
    <row r="1116">
      <c r="A1116" s="8"/>
      <c r="B1116" s="11"/>
      <c r="C1116" s="8"/>
      <c r="D1116" s="8"/>
      <c r="E1116" s="8"/>
      <c r="F1116" s="8"/>
      <c r="G1116" s="10"/>
      <c r="H1116" s="8"/>
      <c r="I1116" s="8"/>
      <c r="J1116" s="8"/>
      <c r="K1116" s="8"/>
      <c r="L1116" s="8"/>
      <c r="M1116" s="8"/>
      <c r="N1116" s="8"/>
      <c r="O1116" s="8"/>
      <c r="P1116" s="8"/>
      <c r="Q1116" s="8"/>
      <c r="R1116" s="8"/>
      <c r="S1116" s="8"/>
      <c r="T1116" s="8"/>
      <c r="U1116" s="8"/>
      <c r="V1116" s="8"/>
    </row>
    <row r="1117">
      <c r="A1117" s="8"/>
      <c r="B1117" s="11"/>
      <c r="C1117" s="8"/>
      <c r="D1117" s="8"/>
      <c r="E1117" s="8"/>
      <c r="F1117" s="8"/>
      <c r="G1117" s="10"/>
      <c r="H1117" s="8"/>
      <c r="I1117" s="8"/>
      <c r="J1117" s="8"/>
      <c r="K1117" s="8"/>
      <c r="L1117" s="8"/>
      <c r="M1117" s="8"/>
      <c r="N1117" s="8"/>
      <c r="O1117" s="8"/>
      <c r="P1117" s="8"/>
      <c r="Q1117" s="8"/>
      <c r="R1117" s="8"/>
      <c r="S1117" s="8"/>
      <c r="T1117" s="8"/>
      <c r="U1117" s="8"/>
      <c r="V1117" s="8"/>
    </row>
    <row r="1118">
      <c r="A1118" s="8"/>
      <c r="B1118" s="11"/>
      <c r="C1118" s="8"/>
      <c r="D1118" s="8"/>
      <c r="E1118" s="8"/>
      <c r="F1118" s="8"/>
      <c r="G1118" s="10"/>
      <c r="H1118" s="8"/>
      <c r="I1118" s="8"/>
      <c r="J1118" s="8"/>
      <c r="K1118" s="8"/>
      <c r="L1118" s="8"/>
      <c r="M1118" s="8"/>
      <c r="N1118" s="8"/>
      <c r="O1118" s="8"/>
      <c r="P1118" s="8"/>
      <c r="Q1118" s="8"/>
      <c r="R1118" s="8"/>
      <c r="S1118" s="8"/>
      <c r="T1118" s="8"/>
      <c r="U1118" s="8"/>
      <c r="V1118" s="8"/>
    </row>
    <row r="1119">
      <c r="A1119" s="8"/>
      <c r="B1119" s="11"/>
      <c r="C1119" s="8"/>
      <c r="D1119" s="8"/>
      <c r="E1119" s="8"/>
      <c r="F1119" s="8"/>
      <c r="G1119" s="10"/>
      <c r="H1119" s="8"/>
      <c r="I1119" s="8"/>
      <c r="J1119" s="8"/>
      <c r="K1119" s="8"/>
      <c r="L1119" s="8"/>
      <c r="M1119" s="8"/>
      <c r="N1119" s="8"/>
      <c r="O1119" s="8"/>
      <c r="P1119" s="8"/>
      <c r="Q1119" s="8"/>
      <c r="R1119" s="8"/>
      <c r="S1119" s="8"/>
      <c r="T1119" s="8"/>
      <c r="U1119" s="8"/>
      <c r="V1119" s="8"/>
    </row>
    <row r="1120">
      <c r="A1120" s="8"/>
      <c r="B1120" s="11"/>
      <c r="C1120" s="8"/>
      <c r="D1120" s="8"/>
      <c r="E1120" s="8"/>
      <c r="F1120" s="8"/>
      <c r="G1120" s="10"/>
      <c r="H1120" s="8"/>
      <c r="I1120" s="8"/>
      <c r="J1120" s="8"/>
      <c r="K1120" s="8"/>
      <c r="L1120" s="8"/>
      <c r="M1120" s="8"/>
      <c r="N1120" s="8"/>
      <c r="O1120" s="8"/>
      <c r="P1120" s="8"/>
      <c r="Q1120" s="8"/>
      <c r="R1120" s="8"/>
      <c r="S1120" s="8"/>
      <c r="T1120" s="8"/>
      <c r="U1120" s="8"/>
      <c r="V1120" s="8"/>
    </row>
    <row r="1121">
      <c r="A1121" s="8"/>
      <c r="B1121" s="11"/>
      <c r="C1121" s="8"/>
      <c r="D1121" s="8"/>
      <c r="E1121" s="8"/>
      <c r="F1121" s="8"/>
      <c r="G1121" s="10"/>
      <c r="H1121" s="8"/>
      <c r="I1121" s="8"/>
      <c r="J1121" s="8"/>
      <c r="K1121" s="8"/>
      <c r="L1121" s="8"/>
      <c r="M1121" s="8"/>
      <c r="N1121" s="8"/>
      <c r="O1121" s="8"/>
      <c r="P1121" s="8"/>
      <c r="Q1121" s="8"/>
      <c r="R1121" s="8"/>
      <c r="S1121" s="8"/>
      <c r="T1121" s="8"/>
      <c r="U1121" s="8"/>
      <c r="V1121" s="8"/>
    </row>
    <row r="1122">
      <c r="A1122" s="8"/>
      <c r="B1122" s="11"/>
      <c r="C1122" s="8"/>
      <c r="D1122" s="8"/>
      <c r="E1122" s="8"/>
      <c r="F1122" s="8"/>
      <c r="G1122" s="10"/>
      <c r="H1122" s="8"/>
      <c r="I1122" s="8"/>
      <c r="J1122" s="8"/>
      <c r="K1122" s="8"/>
      <c r="L1122" s="8"/>
      <c r="M1122" s="8"/>
      <c r="N1122" s="8"/>
      <c r="O1122" s="8"/>
      <c r="P1122" s="8"/>
      <c r="Q1122" s="8"/>
      <c r="R1122" s="8"/>
      <c r="S1122" s="8"/>
      <c r="T1122" s="8"/>
      <c r="U1122" s="8"/>
      <c r="V1122" s="8"/>
    </row>
    <row r="1123">
      <c r="A1123" s="8"/>
      <c r="B1123" s="11"/>
      <c r="C1123" s="8"/>
      <c r="D1123" s="8"/>
      <c r="E1123" s="8"/>
      <c r="F1123" s="8"/>
      <c r="G1123" s="10"/>
      <c r="H1123" s="8"/>
      <c r="I1123" s="8"/>
      <c r="J1123" s="8"/>
      <c r="K1123" s="8"/>
      <c r="L1123" s="8"/>
      <c r="M1123" s="8"/>
      <c r="N1123" s="8"/>
      <c r="O1123" s="8"/>
      <c r="P1123" s="8"/>
      <c r="Q1123" s="8"/>
      <c r="R1123" s="8"/>
      <c r="S1123" s="8"/>
      <c r="T1123" s="8"/>
      <c r="U1123" s="8"/>
      <c r="V1123" s="8"/>
    </row>
    <row r="1124">
      <c r="A1124" s="8"/>
      <c r="B1124" s="11"/>
      <c r="C1124" s="8"/>
      <c r="D1124" s="8"/>
      <c r="E1124" s="8"/>
      <c r="F1124" s="8"/>
      <c r="G1124" s="10"/>
      <c r="H1124" s="8"/>
      <c r="I1124" s="8"/>
      <c r="J1124" s="8"/>
      <c r="K1124" s="8"/>
      <c r="L1124" s="8"/>
      <c r="M1124" s="8"/>
      <c r="N1124" s="8"/>
      <c r="O1124" s="8"/>
      <c r="P1124" s="8"/>
      <c r="Q1124" s="8"/>
      <c r="R1124" s="8"/>
      <c r="S1124" s="8"/>
      <c r="T1124" s="8"/>
      <c r="U1124" s="8"/>
      <c r="V1124" s="8"/>
    </row>
    <row r="1125">
      <c r="A1125" s="8"/>
      <c r="B1125" s="11"/>
      <c r="C1125" s="8"/>
      <c r="D1125" s="8"/>
      <c r="E1125" s="8"/>
      <c r="F1125" s="8"/>
      <c r="G1125" s="10"/>
      <c r="H1125" s="8"/>
      <c r="I1125" s="8"/>
      <c r="J1125" s="8"/>
      <c r="K1125" s="8"/>
      <c r="L1125" s="8"/>
      <c r="M1125" s="8"/>
      <c r="N1125" s="8"/>
      <c r="O1125" s="8"/>
      <c r="P1125" s="8"/>
      <c r="Q1125" s="8"/>
      <c r="R1125" s="8"/>
      <c r="S1125" s="8"/>
      <c r="T1125" s="8"/>
      <c r="U1125" s="8"/>
      <c r="V1125" s="8"/>
    </row>
    <row r="1126">
      <c r="A1126" s="8"/>
      <c r="B1126" s="11"/>
      <c r="C1126" s="8"/>
      <c r="D1126" s="8"/>
      <c r="E1126" s="8"/>
      <c r="F1126" s="8"/>
      <c r="G1126" s="10"/>
      <c r="H1126" s="8"/>
      <c r="I1126" s="8"/>
      <c r="J1126" s="8"/>
      <c r="K1126" s="8"/>
      <c r="L1126" s="8"/>
      <c r="M1126" s="8"/>
      <c r="N1126" s="8"/>
      <c r="O1126" s="8"/>
      <c r="P1126" s="8"/>
      <c r="Q1126" s="8"/>
      <c r="R1126" s="8"/>
      <c r="S1126" s="8"/>
      <c r="T1126" s="8"/>
      <c r="U1126" s="8"/>
      <c r="V1126" s="8"/>
    </row>
    <row r="1127">
      <c r="A1127" s="8"/>
      <c r="B1127" s="11"/>
      <c r="C1127" s="8"/>
      <c r="D1127" s="8"/>
      <c r="E1127" s="8"/>
      <c r="F1127" s="8"/>
      <c r="G1127" s="10"/>
      <c r="H1127" s="8"/>
      <c r="I1127" s="8"/>
      <c r="J1127" s="8"/>
      <c r="K1127" s="8"/>
      <c r="L1127" s="8"/>
      <c r="M1127" s="8"/>
      <c r="N1127" s="8"/>
      <c r="O1127" s="8"/>
      <c r="P1127" s="8"/>
      <c r="Q1127" s="8"/>
      <c r="R1127" s="8"/>
      <c r="S1127" s="8"/>
      <c r="T1127" s="8"/>
      <c r="U1127" s="8"/>
      <c r="V1127" s="8"/>
    </row>
    <row r="1128">
      <c r="A1128" s="8"/>
      <c r="B1128" s="11"/>
      <c r="C1128" s="8"/>
      <c r="D1128" s="8"/>
      <c r="E1128" s="8"/>
      <c r="F1128" s="8"/>
      <c r="G1128" s="10"/>
      <c r="H1128" s="8"/>
      <c r="I1128" s="8"/>
      <c r="J1128" s="8"/>
      <c r="K1128" s="8"/>
      <c r="L1128" s="8"/>
      <c r="M1128" s="8"/>
      <c r="N1128" s="8"/>
      <c r="O1128" s="8"/>
      <c r="P1128" s="8"/>
      <c r="Q1128" s="8"/>
      <c r="R1128" s="8"/>
      <c r="S1128" s="8"/>
      <c r="T1128" s="8"/>
      <c r="U1128" s="8"/>
      <c r="V1128" s="8"/>
    </row>
    <row r="1129">
      <c r="A1129" s="8"/>
      <c r="B1129" s="11"/>
      <c r="C1129" s="8"/>
      <c r="D1129" s="8"/>
      <c r="E1129" s="8"/>
      <c r="F1129" s="8"/>
      <c r="G1129" s="10"/>
      <c r="H1129" s="8"/>
      <c r="I1129" s="8"/>
      <c r="J1129" s="8"/>
      <c r="K1129" s="8"/>
      <c r="L1129" s="8"/>
      <c r="M1129" s="8"/>
      <c r="N1129" s="8"/>
      <c r="O1129" s="8"/>
      <c r="P1129" s="8"/>
      <c r="Q1129" s="8"/>
      <c r="R1129" s="8"/>
      <c r="S1129" s="8"/>
      <c r="T1129" s="8"/>
      <c r="U1129" s="8"/>
      <c r="V1129" s="8"/>
    </row>
    <row r="1130">
      <c r="A1130" s="8"/>
      <c r="B1130" s="11"/>
      <c r="C1130" s="8"/>
      <c r="D1130" s="8"/>
      <c r="E1130" s="8"/>
      <c r="F1130" s="8"/>
      <c r="G1130" s="10"/>
      <c r="H1130" s="8"/>
      <c r="I1130" s="8"/>
      <c r="J1130" s="8"/>
      <c r="K1130" s="8"/>
      <c r="L1130" s="8"/>
      <c r="M1130" s="8"/>
      <c r="N1130" s="8"/>
      <c r="O1130" s="8"/>
      <c r="P1130" s="8"/>
      <c r="Q1130" s="8"/>
      <c r="R1130" s="8"/>
      <c r="S1130" s="8"/>
      <c r="T1130" s="8"/>
      <c r="U1130" s="8"/>
      <c r="V1130" s="8"/>
    </row>
    <row r="1131">
      <c r="A1131" s="8"/>
      <c r="B1131" s="11"/>
      <c r="C1131" s="8"/>
      <c r="D1131" s="8"/>
      <c r="E1131" s="8"/>
      <c r="F1131" s="8"/>
      <c r="G1131" s="10"/>
      <c r="H1131" s="8"/>
      <c r="I1131" s="8"/>
      <c r="J1131" s="8"/>
      <c r="K1131" s="8"/>
      <c r="L1131" s="8"/>
      <c r="M1131" s="8"/>
      <c r="N1131" s="8"/>
      <c r="O1131" s="8"/>
      <c r="P1131" s="8"/>
      <c r="Q1131" s="8"/>
      <c r="R1131" s="8"/>
      <c r="S1131" s="8"/>
      <c r="T1131" s="8"/>
      <c r="U1131" s="8"/>
      <c r="V1131" s="8"/>
    </row>
    <row r="1132">
      <c r="A1132" s="8"/>
      <c r="B1132" s="11"/>
      <c r="C1132" s="8"/>
      <c r="D1132" s="8"/>
      <c r="E1132" s="8"/>
      <c r="F1132" s="8"/>
      <c r="G1132" s="10"/>
      <c r="H1132" s="8"/>
      <c r="I1132" s="8"/>
      <c r="J1132" s="8"/>
      <c r="K1132" s="8"/>
      <c r="L1132" s="8"/>
      <c r="M1132" s="8"/>
      <c r="N1132" s="8"/>
      <c r="O1132" s="8"/>
      <c r="P1132" s="8"/>
      <c r="Q1132" s="8"/>
      <c r="R1132" s="8"/>
      <c r="S1132" s="8"/>
      <c r="T1132" s="8"/>
      <c r="U1132" s="8"/>
      <c r="V1132" s="8"/>
    </row>
    <row r="1133">
      <c r="A1133" s="8"/>
      <c r="B1133" s="11"/>
      <c r="C1133" s="8"/>
      <c r="D1133" s="8"/>
      <c r="E1133" s="8"/>
      <c r="F1133" s="8"/>
      <c r="G1133" s="10"/>
      <c r="H1133" s="8"/>
      <c r="I1133" s="8"/>
      <c r="J1133" s="8"/>
      <c r="K1133" s="8"/>
      <c r="L1133" s="8"/>
      <c r="M1133" s="8"/>
      <c r="N1133" s="8"/>
      <c r="O1133" s="8"/>
      <c r="P1133" s="8"/>
      <c r="Q1133" s="8"/>
      <c r="R1133" s="8"/>
      <c r="S1133" s="8"/>
      <c r="T1133" s="8"/>
      <c r="U1133" s="8"/>
      <c r="V1133" s="8"/>
    </row>
    <row r="1134">
      <c r="A1134" s="8"/>
      <c r="B1134" s="11"/>
      <c r="C1134" s="8"/>
      <c r="D1134" s="8"/>
      <c r="E1134" s="8"/>
      <c r="F1134" s="8"/>
      <c r="G1134" s="10"/>
      <c r="H1134" s="8"/>
      <c r="I1134" s="8"/>
      <c r="J1134" s="8"/>
      <c r="K1134" s="8"/>
      <c r="L1134" s="8"/>
      <c r="M1134" s="8"/>
      <c r="N1134" s="8"/>
      <c r="O1134" s="8"/>
      <c r="P1134" s="8"/>
      <c r="Q1134" s="8"/>
      <c r="R1134" s="8"/>
      <c r="S1134" s="8"/>
      <c r="T1134" s="8"/>
      <c r="U1134" s="8"/>
      <c r="V1134" s="8"/>
    </row>
    <row r="1135">
      <c r="A1135" s="8"/>
      <c r="B1135" s="11"/>
      <c r="C1135" s="8"/>
      <c r="D1135" s="8"/>
      <c r="E1135" s="8"/>
      <c r="F1135" s="8"/>
      <c r="G1135" s="10"/>
      <c r="H1135" s="8"/>
      <c r="I1135" s="8"/>
      <c r="J1135" s="8"/>
      <c r="K1135" s="8"/>
      <c r="L1135" s="8"/>
      <c r="M1135" s="8"/>
      <c r="N1135" s="8"/>
      <c r="O1135" s="8"/>
      <c r="P1135" s="8"/>
      <c r="Q1135" s="8"/>
      <c r="R1135" s="8"/>
      <c r="S1135" s="8"/>
      <c r="T1135" s="8"/>
      <c r="U1135" s="8"/>
      <c r="V1135" s="8"/>
    </row>
    <row r="1136">
      <c r="A1136" s="8"/>
      <c r="B1136" s="11"/>
      <c r="C1136" s="8"/>
      <c r="D1136" s="8"/>
      <c r="E1136" s="8"/>
      <c r="F1136" s="8"/>
      <c r="G1136" s="10"/>
      <c r="H1136" s="8"/>
      <c r="I1136" s="8"/>
      <c r="J1136" s="8"/>
      <c r="K1136" s="8"/>
      <c r="L1136" s="8"/>
      <c r="M1136" s="8"/>
      <c r="N1136" s="8"/>
      <c r="O1136" s="8"/>
      <c r="P1136" s="8"/>
      <c r="Q1136" s="8"/>
      <c r="R1136" s="8"/>
      <c r="S1136" s="8"/>
      <c r="T1136" s="8"/>
      <c r="U1136" s="8"/>
      <c r="V1136" s="8"/>
    </row>
    <row r="1137">
      <c r="A1137" s="8"/>
      <c r="B1137" s="11"/>
      <c r="C1137" s="8"/>
      <c r="D1137" s="8"/>
      <c r="E1137" s="8"/>
      <c r="F1137" s="8"/>
      <c r="G1137" s="10"/>
      <c r="H1137" s="8"/>
      <c r="I1137" s="8"/>
      <c r="J1137" s="8"/>
      <c r="K1137" s="8"/>
      <c r="L1137" s="8"/>
      <c r="M1137" s="8"/>
      <c r="N1137" s="8"/>
      <c r="O1137" s="8"/>
      <c r="P1137" s="8"/>
      <c r="Q1137" s="8"/>
      <c r="R1137" s="8"/>
      <c r="S1137" s="8"/>
      <c r="T1137" s="8"/>
      <c r="U1137" s="8"/>
      <c r="V1137" s="8"/>
    </row>
    <row r="1138">
      <c r="A1138" s="8"/>
      <c r="B1138" s="11"/>
      <c r="C1138" s="8"/>
      <c r="D1138" s="8"/>
      <c r="E1138" s="8"/>
      <c r="F1138" s="8"/>
      <c r="G1138" s="10"/>
      <c r="H1138" s="8"/>
      <c r="I1138" s="8"/>
      <c r="J1138" s="8"/>
      <c r="K1138" s="8"/>
      <c r="L1138" s="8"/>
      <c r="M1138" s="8"/>
      <c r="N1138" s="8"/>
      <c r="O1138" s="8"/>
      <c r="P1138" s="8"/>
      <c r="Q1138" s="8"/>
      <c r="R1138" s="8"/>
      <c r="S1138" s="8"/>
      <c r="T1138" s="8"/>
      <c r="U1138" s="8"/>
      <c r="V1138" s="8"/>
    </row>
    <row r="1139">
      <c r="A1139" s="8"/>
      <c r="B1139" s="11"/>
      <c r="C1139" s="8"/>
      <c r="D1139" s="8"/>
      <c r="E1139" s="8"/>
      <c r="F1139" s="8"/>
      <c r="G1139" s="10"/>
      <c r="H1139" s="8"/>
      <c r="I1139" s="8"/>
      <c r="J1139" s="8"/>
      <c r="K1139" s="8"/>
      <c r="L1139" s="8"/>
      <c r="M1139" s="8"/>
      <c r="N1139" s="8"/>
      <c r="O1139" s="8"/>
      <c r="P1139" s="8"/>
      <c r="Q1139" s="8"/>
      <c r="R1139" s="8"/>
      <c r="S1139" s="8"/>
      <c r="T1139" s="8"/>
      <c r="U1139" s="8"/>
      <c r="V1139" s="8"/>
    </row>
    <row r="1140">
      <c r="A1140" s="8"/>
      <c r="B1140" s="11"/>
      <c r="C1140" s="8"/>
      <c r="D1140" s="8"/>
      <c r="E1140" s="8"/>
      <c r="F1140" s="8"/>
      <c r="G1140" s="10"/>
      <c r="H1140" s="8"/>
      <c r="I1140" s="8"/>
      <c r="J1140" s="8"/>
      <c r="K1140" s="8"/>
      <c r="L1140" s="8"/>
      <c r="M1140" s="8"/>
      <c r="N1140" s="8"/>
      <c r="O1140" s="8"/>
      <c r="P1140" s="8"/>
      <c r="Q1140" s="8"/>
      <c r="R1140" s="8"/>
      <c r="S1140" s="8"/>
      <c r="T1140" s="8"/>
      <c r="U1140" s="8"/>
      <c r="V1140" s="8"/>
    </row>
    <row r="1141">
      <c r="A1141" s="8"/>
      <c r="B1141" s="11"/>
      <c r="C1141" s="8"/>
      <c r="D1141" s="8"/>
      <c r="E1141" s="8"/>
      <c r="F1141" s="8"/>
      <c r="G1141" s="10"/>
      <c r="H1141" s="8"/>
      <c r="I1141" s="8"/>
      <c r="J1141" s="8"/>
      <c r="K1141" s="8"/>
      <c r="L1141" s="8"/>
      <c r="M1141" s="8"/>
      <c r="N1141" s="8"/>
      <c r="O1141" s="8"/>
      <c r="P1141" s="8"/>
      <c r="Q1141" s="8"/>
      <c r="R1141" s="8"/>
      <c r="S1141" s="8"/>
      <c r="T1141" s="8"/>
      <c r="U1141" s="8"/>
      <c r="V1141" s="8"/>
    </row>
    <row r="1142">
      <c r="A1142" s="8"/>
      <c r="B1142" s="11"/>
      <c r="C1142" s="8"/>
      <c r="D1142" s="8"/>
      <c r="E1142" s="8"/>
      <c r="F1142" s="8"/>
      <c r="G1142" s="10"/>
      <c r="H1142" s="8"/>
      <c r="I1142" s="8"/>
      <c r="J1142" s="8"/>
      <c r="K1142" s="8"/>
      <c r="L1142" s="8"/>
      <c r="M1142" s="8"/>
      <c r="N1142" s="8"/>
      <c r="O1142" s="8"/>
      <c r="P1142" s="8"/>
      <c r="Q1142" s="8"/>
      <c r="R1142" s="8"/>
      <c r="S1142" s="8"/>
      <c r="T1142" s="8"/>
      <c r="U1142" s="8"/>
      <c r="V1142" s="8"/>
    </row>
    <row r="1143">
      <c r="A1143" s="8"/>
      <c r="B1143" s="11"/>
      <c r="C1143" s="8"/>
      <c r="D1143" s="8"/>
      <c r="E1143" s="8"/>
      <c r="F1143" s="8"/>
      <c r="G1143" s="10"/>
      <c r="H1143" s="8"/>
      <c r="I1143" s="8"/>
      <c r="J1143" s="8"/>
      <c r="K1143" s="8"/>
      <c r="L1143" s="8"/>
      <c r="M1143" s="8"/>
      <c r="N1143" s="8"/>
      <c r="O1143" s="8"/>
      <c r="P1143" s="8"/>
      <c r="Q1143" s="8"/>
      <c r="R1143" s="8"/>
      <c r="S1143" s="8"/>
      <c r="T1143" s="8"/>
      <c r="U1143" s="8"/>
      <c r="V1143" s="8"/>
    </row>
    <row r="1144">
      <c r="A1144" s="8"/>
      <c r="B1144" s="11"/>
      <c r="C1144" s="8"/>
      <c r="D1144" s="8"/>
      <c r="E1144" s="8"/>
      <c r="F1144" s="8"/>
      <c r="G1144" s="10"/>
      <c r="H1144" s="8"/>
      <c r="I1144" s="8"/>
      <c r="J1144" s="8"/>
      <c r="K1144" s="8"/>
      <c r="L1144" s="8"/>
      <c r="M1144" s="8"/>
      <c r="N1144" s="8"/>
      <c r="O1144" s="8"/>
      <c r="P1144" s="8"/>
      <c r="Q1144" s="8"/>
      <c r="R1144" s="8"/>
      <c r="S1144" s="8"/>
      <c r="T1144" s="8"/>
      <c r="U1144" s="8"/>
      <c r="V1144" s="8"/>
    </row>
    <row r="1145">
      <c r="A1145" s="8"/>
      <c r="B1145" s="11"/>
      <c r="C1145" s="8"/>
      <c r="D1145" s="8"/>
      <c r="E1145" s="8"/>
      <c r="F1145" s="8"/>
      <c r="G1145" s="10"/>
      <c r="H1145" s="8"/>
      <c r="I1145" s="8"/>
      <c r="J1145" s="8"/>
      <c r="K1145" s="8"/>
      <c r="L1145" s="8"/>
      <c r="M1145" s="8"/>
      <c r="N1145" s="8"/>
      <c r="O1145" s="8"/>
      <c r="P1145" s="8"/>
      <c r="Q1145" s="8"/>
      <c r="R1145" s="8"/>
      <c r="S1145" s="8"/>
      <c r="T1145" s="8"/>
      <c r="U1145" s="8"/>
      <c r="V1145" s="8"/>
    </row>
    <row r="1146">
      <c r="A1146" s="8"/>
      <c r="B1146" s="11"/>
      <c r="C1146" s="8"/>
      <c r="D1146" s="8"/>
      <c r="E1146" s="8"/>
      <c r="F1146" s="8"/>
      <c r="G1146" s="10"/>
      <c r="H1146" s="8"/>
      <c r="I1146" s="8"/>
      <c r="J1146" s="8"/>
      <c r="K1146" s="8"/>
      <c r="L1146" s="8"/>
      <c r="M1146" s="8"/>
      <c r="N1146" s="8"/>
      <c r="O1146" s="8"/>
      <c r="P1146" s="8"/>
      <c r="Q1146" s="8"/>
      <c r="R1146" s="8"/>
      <c r="S1146" s="8"/>
      <c r="T1146" s="8"/>
      <c r="U1146" s="8"/>
      <c r="V1146" s="8"/>
    </row>
    <row r="1147">
      <c r="A1147" s="8"/>
      <c r="B1147" s="11"/>
      <c r="C1147" s="8"/>
      <c r="D1147" s="8"/>
      <c r="E1147" s="8"/>
      <c r="F1147" s="8"/>
      <c r="G1147" s="10"/>
      <c r="H1147" s="8"/>
      <c r="I1147" s="8"/>
      <c r="J1147" s="8"/>
      <c r="K1147" s="8"/>
      <c r="L1147" s="8"/>
      <c r="M1147" s="8"/>
      <c r="N1147" s="8"/>
      <c r="O1147" s="8"/>
      <c r="P1147" s="8"/>
      <c r="Q1147" s="8"/>
      <c r="R1147" s="8"/>
      <c r="S1147" s="8"/>
      <c r="T1147" s="8"/>
      <c r="U1147" s="8"/>
      <c r="V1147" s="8"/>
    </row>
    <row r="1148">
      <c r="A1148" s="8"/>
      <c r="B1148" s="11"/>
      <c r="C1148" s="8"/>
      <c r="D1148" s="8"/>
      <c r="E1148" s="8"/>
      <c r="F1148" s="8"/>
      <c r="G1148" s="10"/>
      <c r="H1148" s="8"/>
      <c r="I1148" s="8"/>
      <c r="J1148" s="8"/>
      <c r="K1148" s="8"/>
      <c r="L1148" s="8"/>
      <c r="M1148" s="8"/>
      <c r="N1148" s="8"/>
      <c r="O1148" s="8"/>
      <c r="P1148" s="8"/>
      <c r="Q1148" s="8"/>
      <c r="R1148" s="8"/>
      <c r="S1148" s="8"/>
      <c r="T1148" s="8"/>
      <c r="U1148" s="8"/>
      <c r="V1148" s="8"/>
    </row>
    <row r="1149">
      <c r="A1149" s="8"/>
      <c r="B1149" s="11"/>
      <c r="C1149" s="8"/>
      <c r="D1149" s="8"/>
      <c r="E1149" s="8"/>
      <c r="F1149" s="8"/>
      <c r="G1149" s="10"/>
      <c r="H1149" s="8"/>
      <c r="I1149" s="8"/>
      <c r="J1149" s="8"/>
      <c r="K1149" s="8"/>
      <c r="L1149" s="8"/>
      <c r="M1149" s="8"/>
      <c r="N1149" s="8"/>
      <c r="O1149" s="8"/>
      <c r="P1149" s="8"/>
      <c r="Q1149" s="8"/>
      <c r="R1149" s="8"/>
      <c r="S1149" s="8"/>
      <c r="T1149" s="8"/>
      <c r="U1149" s="8"/>
      <c r="V1149" s="8"/>
    </row>
    <row r="1150">
      <c r="A1150" s="8"/>
      <c r="B1150" s="11"/>
      <c r="C1150" s="8"/>
      <c r="D1150" s="8"/>
      <c r="E1150" s="8"/>
      <c r="F1150" s="8"/>
      <c r="G1150" s="10"/>
      <c r="H1150" s="8"/>
      <c r="I1150" s="8"/>
      <c r="J1150" s="8"/>
      <c r="K1150" s="8"/>
      <c r="L1150" s="8"/>
      <c r="M1150" s="8"/>
      <c r="N1150" s="8"/>
      <c r="O1150" s="8"/>
      <c r="P1150" s="8"/>
      <c r="Q1150" s="8"/>
      <c r="R1150" s="8"/>
      <c r="S1150" s="8"/>
      <c r="T1150" s="8"/>
      <c r="U1150" s="8"/>
      <c r="V1150" s="8"/>
    </row>
    <row r="1151">
      <c r="A1151" s="8"/>
      <c r="B1151" s="11"/>
      <c r="C1151" s="8"/>
      <c r="D1151" s="8"/>
      <c r="E1151" s="8"/>
      <c r="F1151" s="8"/>
      <c r="G1151" s="10"/>
      <c r="H1151" s="8"/>
      <c r="I1151" s="8"/>
      <c r="J1151" s="8"/>
      <c r="K1151" s="8"/>
      <c r="L1151" s="8"/>
      <c r="M1151" s="8"/>
      <c r="N1151" s="8"/>
      <c r="O1151" s="8"/>
      <c r="P1151" s="8"/>
      <c r="Q1151" s="8"/>
      <c r="R1151" s="8"/>
      <c r="S1151" s="8"/>
      <c r="T1151" s="8"/>
      <c r="U1151" s="8"/>
      <c r="V1151" s="8"/>
    </row>
    <row r="1152">
      <c r="A1152" s="8"/>
      <c r="B1152" s="11"/>
      <c r="C1152" s="8"/>
      <c r="D1152" s="8"/>
      <c r="E1152" s="8"/>
      <c r="F1152" s="8"/>
      <c r="G1152" s="10"/>
      <c r="H1152" s="8"/>
      <c r="I1152" s="8"/>
      <c r="J1152" s="8"/>
      <c r="K1152" s="8"/>
      <c r="L1152" s="8"/>
      <c r="M1152" s="8"/>
      <c r="N1152" s="8"/>
      <c r="O1152" s="8"/>
      <c r="P1152" s="8"/>
      <c r="Q1152" s="8"/>
      <c r="R1152" s="8"/>
      <c r="S1152" s="8"/>
      <c r="T1152" s="8"/>
      <c r="U1152" s="8"/>
      <c r="V1152" s="8"/>
    </row>
    <row r="1153">
      <c r="A1153" s="8"/>
      <c r="B1153" s="11"/>
      <c r="C1153" s="8"/>
      <c r="D1153" s="8"/>
      <c r="E1153" s="8"/>
      <c r="F1153" s="8"/>
      <c r="G1153" s="10"/>
      <c r="H1153" s="8"/>
      <c r="I1153" s="8"/>
      <c r="J1153" s="8"/>
      <c r="K1153" s="8"/>
      <c r="L1153" s="8"/>
      <c r="M1153" s="8"/>
      <c r="N1153" s="8"/>
      <c r="O1153" s="8"/>
      <c r="P1153" s="8"/>
      <c r="Q1153" s="8"/>
      <c r="R1153" s="8"/>
      <c r="S1153" s="8"/>
      <c r="T1153" s="8"/>
      <c r="U1153" s="8"/>
      <c r="V1153" s="8"/>
    </row>
    <row r="1154">
      <c r="A1154" s="8"/>
      <c r="B1154" s="11"/>
      <c r="C1154" s="8"/>
      <c r="D1154" s="8"/>
      <c r="E1154" s="8"/>
      <c r="F1154" s="8"/>
      <c r="G1154" s="10"/>
      <c r="H1154" s="8"/>
      <c r="I1154" s="8"/>
      <c r="J1154" s="8"/>
      <c r="K1154" s="8"/>
      <c r="L1154" s="8"/>
      <c r="M1154" s="8"/>
      <c r="N1154" s="8"/>
      <c r="O1154" s="8"/>
      <c r="P1154" s="8"/>
      <c r="Q1154" s="8"/>
      <c r="R1154" s="8"/>
      <c r="S1154" s="8"/>
      <c r="T1154" s="8"/>
      <c r="U1154" s="8"/>
      <c r="V1154" s="8"/>
    </row>
    <row r="1155">
      <c r="A1155" s="8"/>
      <c r="B1155" s="11"/>
      <c r="C1155" s="8"/>
      <c r="D1155" s="8"/>
      <c r="E1155" s="8"/>
      <c r="F1155" s="8"/>
      <c r="G1155" s="10"/>
      <c r="H1155" s="8"/>
      <c r="I1155" s="8"/>
      <c r="J1155" s="8"/>
      <c r="K1155" s="8"/>
      <c r="L1155" s="8"/>
      <c r="M1155" s="8"/>
      <c r="N1155" s="8"/>
      <c r="O1155" s="8"/>
      <c r="P1155" s="8"/>
      <c r="Q1155" s="8"/>
      <c r="R1155" s="8"/>
      <c r="S1155" s="8"/>
      <c r="T1155" s="8"/>
      <c r="U1155" s="8"/>
      <c r="V1155" s="8"/>
    </row>
    <row r="1156">
      <c r="A1156" s="8"/>
      <c r="B1156" s="11"/>
      <c r="C1156" s="8"/>
      <c r="D1156" s="8"/>
      <c r="E1156" s="8"/>
      <c r="F1156" s="8"/>
      <c r="G1156" s="10"/>
      <c r="H1156" s="8"/>
      <c r="I1156" s="8"/>
      <c r="J1156" s="8"/>
      <c r="K1156" s="8"/>
      <c r="L1156" s="8"/>
      <c r="M1156" s="8"/>
      <c r="N1156" s="8"/>
      <c r="O1156" s="8"/>
      <c r="P1156" s="8"/>
      <c r="Q1156" s="8"/>
      <c r="R1156" s="8"/>
      <c r="S1156" s="8"/>
      <c r="T1156" s="8"/>
      <c r="U1156" s="8"/>
      <c r="V1156" s="8"/>
    </row>
    <row r="1157">
      <c r="A1157" s="8"/>
      <c r="B1157" s="11"/>
      <c r="C1157" s="8"/>
      <c r="D1157" s="8"/>
      <c r="E1157" s="8"/>
      <c r="F1157" s="8"/>
      <c r="G1157" s="10"/>
      <c r="H1157" s="8"/>
      <c r="I1157" s="8"/>
      <c r="J1157" s="8"/>
      <c r="K1157" s="8"/>
      <c r="L1157" s="8"/>
      <c r="M1157" s="8"/>
      <c r="N1157" s="8"/>
      <c r="O1157" s="8"/>
      <c r="P1157" s="8"/>
      <c r="Q1157" s="8"/>
      <c r="R1157" s="8"/>
      <c r="S1157" s="8"/>
      <c r="T1157" s="8"/>
      <c r="U1157" s="8"/>
      <c r="V1157" s="8"/>
    </row>
    <row r="1158">
      <c r="A1158" s="8"/>
      <c r="B1158" s="11"/>
      <c r="C1158" s="8"/>
      <c r="D1158" s="8"/>
      <c r="E1158" s="8"/>
      <c r="F1158" s="8"/>
      <c r="G1158" s="10"/>
      <c r="H1158" s="8"/>
      <c r="I1158" s="8"/>
      <c r="J1158" s="8"/>
      <c r="K1158" s="8"/>
      <c r="L1158" s="8"/>
      <c r="M1158" s="8"/>
      <c r="N1158" s="8"/>
      <c r="O1158" s="8"/>
      <c r="P1158" s="8"/>
      <c r="Q1158" s="8"/>
      <c r="R1158" s="8"/>
      <c r="S1158" s="8"/>
      <c r="T1158" s="8"/>
      <c r="U1158" s="8"/>
      <c r="V1158" s="8"/>
    </row>
    <row r="1159">
      <c r="A1159" s="8"/>
      <c r="B1159" s="11"/>
      <c r="C1159" s="8"/>
      <c r="D1159" s="8"/>
      <c r="E1159" s="8"/>
      <c r="F1159" s="8"/>
      <c r="G1159" s="10"/>
      <c r="H1159" s="8"/>
      <c r="I1159" s="8"/>
      <c r="J1159" s="8"/>
      <c r="K1159" s="8"/>
      <c r="L1159" s="8"/>
      <c r="M1159" s="8"/>
      <c r="N1159" s="8"/>
      <c r="O1159" s="8"/>
      <c r="P1159" s="8"/>
      <c r="Q1159" s="8"/>
      <c r="R1159" s="8"/>
      <c r="S1159" s="8"/>
      <c r="T1159" s="8"/>
      <c r="U1159" s="8"/>
      <c r="V1159" s="8"/>
    </row>
    <row r="1160">
      <c r="A1160" s="8"/>
      <c r="B1160" s="11"/>
      <c r="C1160" s="8"/>
      <c r="D1160" s="8"/>
      <c r="E1160" s="8"/>
      <c r="F1160" s="8"/>
      <c r="G1160" s="10"/>
      <c r="H1160" s="8"/>
      <c r="I1160" s="8"/>
      <c r="J1160" s="8"/>
      <c r="K1160" s="8"/>
      <c r="L1160" s="8"/>
      <c r="M1160" s="8"/>
      <c r="N1160" s="8"/>
      <c r="O1160" s="8"/>
      <c r="P1160" s="8"/>
      <c r="Q1160" s="8"/>
      <c r="R1160" s="8"/>
      <c r="S1160" s="8"/>
      <c r="T1160" s="8"/>
      <c r="U1160" s="8"/>
      <c r="V1160" s="8"/>
    </row>
    <row r="1161">
      <c r="A1161" s="8"/>
      <c r="B1161" s="11"/>
      <c r="C1161" s="8"/>
      <c r="D1161" s="8"/>
      <c r="E1161" s="8"/>
      <c r="F1161" s="8"/>
      <c r="G1161" s="10"/>
      <c r="H1161" s="8"/>
      <c r="I1161" s="8"/>
      <c r="J1161" s="8"/>
      <c r="K1161" s="8"/>
      <c r="L1161" s="8"/>
      <c r="M1161" s="8"/>
      <c r="N1161" s="8"/>
      <c r="O1161" s="8"/>
      <c r="P1161" s="8"/>
      <c r="Q1161" s="8"/>
      <c r="R1161" s="8"/>
      <c r="S1161" s="8"/>
      <c r="T1161" s="8"/>
      <c r="U1161" s="8"/>
      <c r="V1161" s="8"/>
    </row>
    <row r="1162">
      <c r="A1162" s="8"/>
      <c r="B1162" s="11"/>
      <c r="C1162" s="8"/>
      <c r="D1162" s="8"/>
      <c r="E1162" s="8"/>
      <c r="F1162" s="8"/>
      <c r="G1162" s="10"/>
      <c r="H1162" s="8"/>
      <c r="I1162" s="8"/>
      <c r="J1162" s="8"/>
      <c r="K1162" s="8"/>
      <c r="L1162" s="8"/>
      <c r="M1162" s="8"/>
      <c r="N1162" s="8"/>
      <c r="O1162" s="8"/>
      <c r="P1162" s="8"/>
      <c r="Q1162" s="8"/>
      <c r="R1162" s="8"/>
      <c r="S1162" s="8"/>
      <c r="T1162" s="8"/>
      <c r="U1162" s="8"/>
      <c r="V1162" s="8"/>
    </row>
    <row r="1163">
      <c r="A1163" s="8"/>
      <c r="B1163" s="11"/>
      <c r="C1163" s="8"/>
      <c r="D1163" s="8"/>
      <c r="E1163" s="8"/>
      <c r="F1163" s="8"/>
      <c r="G1163" s="10"/>
      <c r="H1163" s="8"/>
      <c r="I1163" s="8"/>
      <c r="J1163" s="8"/>
      <c r="K1163" s="8"/>
      <c r="L1163" s="8"/>
      <c r="M1163" s="8"/>
      <c r="N1163" s="8"/>
      <c r="O1163" s="8"/>
      <c r="P1163" s="8"/>
      <c r="Q1163" s="8"/>
      <c r="R1163" s="8"/>
      <c r="S1163" s="8"/>
      <c r="T1163" s="8"/>
      <c r="U1163" s="8"/>
      <c r="V1163" s="8"/>
    </row>
    <row r="1164">
      <c r="A1164" s="8"/>
      <c r="B1164" s="11"/>
      <c r="C1164" s="8"/>
      <c r="D1164" s="8"/>
      <c r="E1164" s="8"/>
      <c r="F1164" s="8"/>
      <c r="G1164" s="10"/>
      <c r="H1164" s="8"/>
      <c r="I1164" s="8"/>
      <c r="J1164" s="8"/>
      <c r="K1164" s="8"/>
      <c r="L1164" s="8"/>
      <c r="M1164" s="8"/>
      <c r="N1164" s="8"/>
      <c r="O1164" s="8"/>
      <c r="P1164" s="8"/>
      <c r="Q1164" s="8"/>
      <c r="R1164" s="8"/>
      <c r="S1164" s="8"/>
      <c r="T1164" s="8"/>
      <c r="U1164" s="8"/>
      <c r="V1164" s="8"/>
    </row>
    <row r="1165">
      <c r="A1165" s="8"/>
      <c r="B1165" s="11"/>
      <c r="C1165" s="8"/>
      <c r="D1165" s="8"/>
      <c r="E1165" s="8"/>
      <c r="F1165" s="8"/>
      <c r="G1165" s="10"/>
      <c r="H1165" s="8"/>
      <c r="I1165" s="8"/>
      <c r="J1165" s="8"/>
      <c r="K1165" s="8"/>
      <c r="L1165" s="8"/>
      <c r="M1165" s="8"/>
      <c r="N1165" s="8"/>
      <c r="O1165" s="8"/>
      <c r="P1165" s="8"/>
      <c r="Q1165" s="8"/>
      <c r="R1165" s="8"/>
      <c r="S1165" s="8"/>
      <c r="T1165" s="8"/>
      <c r="U1165" s="8"/>
      <c r="V1165" s="8"/>
    </row>
    <row r="1166">
      <c r="A1166" s="8"/>
      <c r="B1166" s="11"/>
      <c r="C1166" s="8"/>
      <c r="D1166" s="8"/>
      <c r="E1166" s="8"/>
      <c r="F1166" s="8"/>
      <c r="G1166" s="10"/>
      <c r="H1166" s="8"/>
      <c r="I1166" s="8"/>
      <c r="J1166" s="8"/>
      <c r="K1166" s="8"/>
      <c r="L1166" s="8"/>
      <c r="M1166" s="8"/>
      <c r="N1166" s="8"/>
      <c r="O1166" s="8"/>
      <c r="P1166" s="8"/>
      <c r="Q1166" s="8"/>
      <c r="R1166" s="8"/>
      <c r="S1166" s="8"/>
      <c r="T1166" s="8"/>
      <c r="U1166" s="8"/>
      <c r="V1166" s="8"/>
    </row>
    <row r="1167">
      <c r="A1167" s="8"/>
      <c r="B1167" s="11"/>
      <c r="C1167" s="8"/>
      <c r="D1167" s="8"/>
      <c r="E1167" s="8"/>
      <c r="F1167" s="8"/>
      <c r="G1167" s="10"/>
      <c r="H1167" s="8"/>
      <c r="I1167" s="8"/>
      <c r="J1167" s="8"/>
      <c r="K1167" s="8"/>
      <c r="L1167" s="8"/>
      <c r="M1167" s="8"/>
      <c r="N1167" s="8"/>
      <c r="O1167" s="8"/>
      <c r="P1167" s="8"/>
      <c r="Q1167" s="8"/>
      <c r="R1167" s="8"/>
      <c r="S1167" s="8"/>
      <c r="T1167" s="8"/>
      <c r="U1167" s="8"/>
      <c r="V1167" s="8"/>
    </row>
    <row r="1168">
      <c r="A1168" s="8"/>
      <c r="B1168" s="11"/>
      <c r="C1168" s="8"/>
      <c r="D1168" s="8"/>
      <c r="E1168" s="8"/>
      <c r="F1168" s="8"/>
      <c r="G1168" s="10"/>
      <c r="H1168" s="8"/>
      <c r="I1168" s="8"/>
      <c r="J1168" s="8"/>
      <c r="K1168" s="8"/>
      <c r="L1168" s="8"/>
      <c r="M1168" s="8"/>
      <c r="N1168" s="8"/>
      <c r="O1168" s="8"/>
      <c r="P1168" s="8"/>
      <c r="Q1168" s="8"/>
      <c r="R1168" s="8"/>
      <c r="S1168" s="8"/>
      <c r="T1168" s="8"/>
      <c r="U1168" s="8"/>
      <c r="V1168" s="8"/>
    </row>
    <row r="1169">
      <c r="A1169" s="8"/>
      <c r="B1169" s="11"/>
      <c r="C1169" s="8"/>
      <c r="D1169" s="8"/>
      <c r="E1169" s="8"/>
      <c r="F1169" s="8"/>
      <c r="G1169" s="10"/>
      <c r="H1169" s="8"/>
      <c r="I1169" s="8"/>
      <c r="J1169" s="8"/>
      <c r="K1169" s="8"/>
      <c r="L1169" s="8"/>
      <c r="M1169" s="8"/>
      <c r="N1169" s="8"/>
      <c r="O1169" s="8"/>
      <c r="P1169" s="8"/>
      <c r="Q1169" s="8"/>
      <c r="R1169" s="8"/>
      <c r="S1169" s="8"/>
      <c r="T1169" s="8"/>
      <c r="U1169" s="8"/>
      <c r="V1169" s="8"/>
    </row>
    <row r="1170">
      <c r="A1170" s="8"/>
      <c r="B1170" s="11"/>
      <c r="C1170" s="8"/>
      <c r="D1170" s="8"/>
      <c r="E1170" s="8"/>
      <c r="F1170" s="8"/>
      <c r="G1170" s="10"/>
      <c r="H1170" s="8"/>
      <c r="I1170" s="8"/>
      <c r="J1170" s="8"/>
      <c r="K1170" s="8"/>
      <c r="L1170" s="8"/>
      <c r="M1170" s="8"/>
      <c r="N1170" s="8"/>
      <c r="O1170" s="8"/>
      <c r="P1170" s="8"/>
      <c r="Q1170" s="8"/>
      <c r="R1170" s="8"/>
      <c r="S1170" s="8"/>
      <c r="T1170" s="8"/>
      <c r="U1170" s="8"/>
      <c r="V1170" s="8"/>
    </row>
    <row r="1171">
      <c r="A1171" s="8"/>
      <c r="B1171" s="11"/>
      <c r="C1171" s="8"/>
      <c r="D1171" s="8"/>
      <c r="E1171" s="8"/>
      <c r="F1171" s="8"/>
      <c r="G1171" s="10"/>
      <c r="H1171" s="8"/>
      <c r="I1171" s="8"/>
      <c r="J1171" s="8"/>
      <c r="K1171" s="8"/>
      <c r="L1171" s="8"/>
      <c r="M1171" s="8"/>
      <c r="N1171" s="8"/>
      <c r="O1171" s="8"/>
      <c r="P1171" s="8"/>
      <c r="Q1171" s="8"/>
      <c r="R1171" s="8"/>
      <c r="S1171" s="8"/>
      <c r="T1171" s="8"/>
      <c r="U1171" s="8"/>
      <c r="V1171" s="8"/>
    </row>
    <row r="1172">
      <c r="A1172" s="8"/>
      <c r="B1172" s="11"/>
      <c r="C1172" s="8"/>
      <c r="D1172" s="8"/>
      <c r="E1172" s="8"/>
      <c r="F1172" s="8"/>
      <c r="G1172" s="10"/>
      <c r="H1172" s="8"/>
      <c r="I1172" s="8"/>
      <c r="J1172" s="8"/>
      <c r="K1172" s="8"/>
      <c r="L1172" s="8"/>
      <c r="M1172" s="8"/>
      <c r="N1172" s="8"/>
      <c r="O1172" s="8"/>
      <c r="P1172" s="8"/>
      <c r="Q1172" s="8"/>
      <c r="R1172" s="8"/>
      <c r="S1172" s="8"/>
      <c r="T1172" s="8"/>
      <c r="U1172" s="8"/>
      <c r="V1172" s="8"/>
    </row>
    <row r="1173">
      <c r="A1173" s="8"/>
      <c r="B1173" s="11"/>
      <c r="C1173" s="8"/>
      <c r="D1173" s="8"/>
      <c r="E1173" s="8"/>
      <c r="F1173" s="8"/>
      <c r="G1173" s="10"/>
      <c r="H1173" s="8"/>
      <c r="I1173" s="8"/>
      <c r="J1173" s="8"/>
      <c r="K1173" s="8"/>
      <c r="L1173" s="8"/>
      <c r="M1173" s="8"/>
      <c r="N1173" s="8"/>
      <c r="O1173" s="8"/>
      <c r="P1173" s="8"/>
      <c r="Q1173" s="8"/>
      <c r="R1173" s="8"/>
      <c r="S1173" s="8"/>
      <c r="T1173" s="8"/>
      <c r="U1173" s="8"/>
      <c r="V1173" s="8"/>
    </row>
    <row r="1174">
      <c r="A1174" s="8"/>
      <c r="B1174" s="11"/>
      <c r="C1174" s="8"/>
      <c r="D1174" s="8"/>
      <c r="E1174" s="8"/>
      <c r="F1174" s="8"/>
      <c r="G1174" s="10"/>
      <c r="H1174" s="8"/>
      <c r="I1174" s="8"/>
      <c r="J1174" s="8"/>
      <c r="K1174" s="8"/>
      <c r="L1174" s="8"/>
      <c r="M1174" s="8"/>
      <c r="N1174" s="8"/>
      <c r="O1174" s="8"/>
      <c r="P1174" s="8"/>
      <c r="Q1174" s="8"/>
      <c r="R1174" s="8"/>
      <c r="S1174" s="8"/>
      <c r="T1174" s="8"/>
      <c r="U1174" s="8"/>
      <c r="V1174" s="8"/>
    </row>
    <row r="1175">
      <c r="A1175" s="8"/>
      <c r="B1175" s="11"/>
      <c r="C1175" s="8"/>
      <c r="D1175" s="8"/>
      <c r="E1175" s="8"/>
      <c r="F1175" s="8"/>
      <c r="G1175" s="10"/>
      <c r="H1175" s="8"/>
      <c r="I1175" s="8"/>
      <c r="J1175" s="8"/>
      <c r="K1175" s="8"/>
      <c r="L1175" s="8"/>
      <c r="M1175" s="8"/>
      <c r="N1175" s="8"/>
      <c r="O1175" s="8"/>
      <c r="P1175" s="8"/>
      <c r="Q1175" s="8"/>
      <c r="R1175" s="8"/>
      <c r="S1175" s="8"/>
      <c r="T1175" s="8"/>
      <c r="U1175" s="8"/>
      <c r="V1175" s="8"/>
    </row>
    <row r="1176">
      <c r="A1176" s="8"/>
      <c r="B1176" s="11"/>
      <c r="C1176" s="8"/>
      <c r="D1176" s="8"/>
      <c r="E1176" s="8"/>
      <c r="F1176" s="8"/>
      <c r="G1176" s="10"/>
      <c r="H1176" s="8"/>
      <c r="I1176" s="8"/>
      <c r="J1176" s="8"/>
      <c r="K1176" s="8"/>
      <c r="L1176" s="8"/>
      <c r="M1176" s="8"/>
      <c r="N1176" s="8"/>
      <c r="O1176" s="8"/>
      <c r="P1176" s="8"/>
      <c r="Q1176" s="8"/>
      <c r="R1176" s="8"/>
      <c r="S1176" s="8"/>
      <c r="T1176" s="8"/>
      <c r="U1176" s="8"/>
      <c r="V1176" s="8"/>
    </row>
    <row r="1177">
      <c r="A1177" s="8"/>
      <c r="B1177" s="11"/>
      <c r="C1177" s="8"/>
      <c r="D1177" s="8"/>
      <c r="E1177" s="8"/>
      <c r="F1177" s="8"/>
      <c r="G1177" s="10"/>
      <c r="H1177" s="8"/>
      <c r="I1177" s="8"/>
      <c r="J1177" s="8"/>
      <c r="K1177" s="8"/>
      <c r="L1177" s="8"/>
      <c r="M1177" s="8"/>
      <c r="N1177" s="8"/>
      <c r="O1177" s="8"/>
      <c r="P1177" s="8"/>
      <c r="Q1177" s="8"/>
      <c r="R1177" s="8"/>
      <c r="S1177" s="8"/>
      <c r="T1177" s="8"/>
      <c r="U1177" s="8"/>
      <c r="V1177" s="8"/>
    </row>
    <row r="1178">
      <c r="A1178" s="8"/>
      <c r="B1178" s="11"/>
      <c r="C1178" s="8"/>
      <c r="D1178" s="8"/>
      <c r="E1178" s="8"/>
      <c r="F1178" s="8"/>
      <c r="G1178" s="10"/>
      <c r="H1178" s="8"/>
      <c r="I1178" s="8"/>
      <c r="J1178" s="8"/>
      <c r="K1178" s="8"/>
      <c r="L1178" s="8"/>
      <c r="M1178" s="8"/>
      <c r="N1178" s="8"/>
      <c r="O1178" s="8"/>
      <c r="P1178" s="8"/>
      <c r="Q1178" s="8"/>
      <c r="R1178" s="8"/>
      <c r="S1178" s="8"/>
      <c r="T1178" s="8"/>
      <c r="U1178" s="8"/>
      <c r="V1178" s="8"/>
    </row>
    <row r="1179">
      <c r="A1179" s="8"/>
      <c r="B1179" s="11"/>
      <c r="C1179" s="8"/>
      <c r="D1179" s="8"/>
      <c r="E1179" s="8"/>
      <c r="F1179" s="8"/>
      <c r="G1179" s="10"/>
      <c r="H1179" s="8"/>
      <c r="I1179" s="8"/>
      <c r="J1179" s="8"/>
      <c r="K1179" s="8"/>
      <c r="L1179" s="8"/>
      <c r="M1179" s="8"/>
      <c r="N1179" s="8"/>
      <c r="O1179" s="8"/>
      <c r="P1179" s="8"/>
      <c r="Q1179" s="8"/>
      <c r="R1179" s="8"/>
      <c r="S1179" s="8"/>
      <c r="T1179" s="8"/>
      <c r="U1179" s="8"/>
      <c r="V1179" s="8"/>
    </row>
    <row r="1180">
      <c r="A1180" s="8"/>
      <c r="B1180" s="11"/>
      <c r="C1180" s="8"/>
      <c r="D1180" s="8"/>
      <c r="E1180" s="8"/>
      <c r="F1180" s="8"/>
      <c r="G1180" s="10"/>
      <c r="H1180" s="8"/>
      <c r="I1180" s="8"/>
      <c r="J1180" s="8"/>
      <c r="K1180" s="8"/>
      <c r="L1180" s="8"/>
      <c r="M1180" s="8"/>
      <c r="N1180" s="8"/>
      <c r="O1180" s="8"/>
      <c r="P1180" s="8"/>
      <c r="Q1180" s="8"/>
      <c r="R1180" s="8"/>
      <c r="S1180" s="8"/>
      <c r="T1180" s="8"/>
      <c r="U1180" s="8"/>
      <c r="V1180" s="8"/>
    </row>
    <row r="1181">
      <c r="A1181" s="8"/>
      <c r="B1181" s="11"/>
      <c r="C1181" s="8"/>
      <c r="D1181" s="8"/>
      <c r="E1181" s="8"/>
      <c r="F1181" s="8"/>
      <c r="G1181" s="10"/>
      <c r="H1181" s="8"/>
      <c r="I1181" s="8"/>
      <c r="J1181" s="8"/>
      <c r="K1181" s="8"/>
      <c r="L1181" s="8"/>
      <c r="M1181" s="8"/>
      <c r="N1181" s="8"/>
      <c r="O1181" s="8"/>
      <c r="P1181" s="8"/>
      <c r="Q1181" s="8"/>
      <c r="R1181" s="8"/>
      <c r="S1181" s="8"/>
      <c r="T1181" s="8"/>
      <c r="U1181" s="8"/>
      <c r="V1181" s="8"/>
    </row>
    <row r="1182">
      <c r="A1182" s="8"/>
      <c r="B1182" s="11"/>
      <c r="C1182" s="8"/>
      <c r="D1182" s="8"/>
      <c r="E1182" s="8"/>
      <c r="F1182" s="8"/>
      <c r="G1182" s="10"/>
      <c r="H1182" s="8"/>
      <c r="I1182" s="8"/>
      <c r="J1182" s="8"/>
      <c r="K1182" s="8"/>
      <c r="L1182" s="8"/>
      <c r="M1182" s="8"/>
      <c r="N1182" s="8"/>
      <c r="O1182" s="8"/>
      <c r="P1182" s="8"/>
      <c r="Q1182" s="8"/>
      <c r="R1182" s="8"/>
      <c r="S1182" s="8"/>
      <c r="T1182" s="8"/>
      <c r="U1182" s="8"/>
      <c r="V1182" s="8"/>
    </row>
    <row r="1183">
      <c r="A1183" s="8"/>
      <c r="B1183" s="11"/>
      <c r="C1183" s="8"/>
      <c r="D1183" s="8"/>
      <c r="E1183" s="8"/>
      <c r="F1183" s="8"/>
      <c r="G1183" s="10"/>
      <c r="H1183" s="8"/>
      <c r="I1183" s="8"/>
      <c r="J1183" s="8"/>
      <c r="K1183" s="8"/>
      <c r="L1183" s="8"/>
      <c r="M1183" s="8"/>
      <c r="N1183" s="8"/>
      <c r="O1183" s="8"/>
      <c r="P1183" s="8"/>
      <c r="Q1183" s="8"/>
      <c r="R1183" s="8"/>
      <c r="S1183" s="8"/>
      <c r="T1183" s="8"/>
      <c r="U1183" s="8"/>
      <c r="V1183" s="8"/>
    </row>
    <row r="1184">
      <c r="A1184" s="8"/>
      <c r="B1184" s="11"/>
      <c r="C1184" s="8"/>
      <c r="D1184" s="8"/>
      <c r="E1184" s="8"/>
      <c r="F1184" s="8"/>
      <c r="G1184" s="10"/>
      <c r="H1184" s="8"/>
      <c r="I1184" s="8"/>
      <c r="J1184" s="8"/>
      <c r="K1184" s="8"/>
      <c r="L1184" s="8"/>
      <c r="M1184" s="8"/>
      <c r="N1184" s="8"/>
      <c r="O1184" s="8"/>
      <c r="P1184" s="8"/>
      <c r="Q1184" s="8"/>
      <c r="R1184" s="8"/>
      <c r="S1184" s="8"/>
      <c r="T1184" s="8"/>
      <c r="U1184" s="8"/>
      <c r="V1184" s="8"/>
    </row>
    <row r="1185">
      <c r="A1185" s="8"/>
      <c r="B1185" s="11"/>
      <c r="C1185" s="8"/>
      <c r="D1185" s="8"/>
      <c r="E1185" s="8"/>
      <c r="F1185" s="8"/>
      <c r="G1185" s="10"/>
      <c r="H1185" s="8"/>
      <c r="I1185" s="8"/>
      <c r="J1185" s="8"/>
      <c r="K1185" s="8"/>
      <c r="L1185" s="8"/>
      <c r="M1185" s="8"/>
      <c r="N1185" s="8"/>
      <c r="O1185" s="8"/>
      <c r="P1185" s="8"/>
      <c r="Q1185" s="8"/>
      <c r="R1185" s="8"/>
      <c r="S1185" s="8"/>
      <c r="T1185" s="8"/>
      <c r="U1185" s="8"/>
      <c r="V1185" s="8"/>
    </row>
    <row r="1186">
      <c r="A1186" s="8"/>
      <c r="B1186" s="11"/>
      <c r="C1186" s="8"/>
      <c r="D1186" s="8"/>
      <c r="E1186" s="8"/>
      <c r="F1186" s="8"/>
      <c r="G1186" s="10"/>
      <c r="H1186" s="8"/>
      <c r="I1186" s="8"/>
      <c r="J1186" s="8"/>
      <c r="K1186" s="8"/>
      <c r="L1186" s="8"/>
      <c r="M1186" s="8"/>
      <c r="N1186" s="8"/>
      <c r="O1186" s="8"/>
      <c r="P1186" s="8"/>
      <c r="Q1186" s="8"/>
      <c r="R1186" s="8"/>
      <c r="S1186" s="8"/>
      <c r="T1186" s="8"/>
      <c r="U1186" s="8"/>
      <c r="V1186" s="8"/>
    </row>
    <row r="1187">
      <c r="A1187" s="8"/>
      <c r="B1187" s="11"/>
      <c r="C1187" s="8"/>
      <c r="D1187" s="8"/>
      <c r="E1187" s="8"/>
      <c r="F1187" s="8"/>
      <c r="G1187" s="10"/>
      <c r="H1187" s="8"/>
      <c r="I1187" s="8"/>
      <c r="J1187" s="8"/>
      <c r="K1187" s="8"/>
      <c r="L1187" s="8"/>
      <c r="M1187" s="8"/>
      <c r="N1187" s="8"/>
      <c r="O1187" s="8"/>
      <c r="P1187" s="8"/>
      <c r="Q1187" s="8"/>
      <c r="R1187" s="8"/>
      <c r="S1187" s="8"/>
      <c r="T1187" s="8"/>
      <c r="U1187" s="8"/>
      <c r="V1187" s="8"/>
    </row>
    <row r="1188">
      <c r="A1188" s="8"/>
      <c r="B1188" s="11"/>
      <c r="C1188" s="8"/>
      <c r="D1188" s="8"/>
      <c r="E1188" s="8"/>
      <c r="F1188" s="8"/>
      <c r="G1188" s="10"/>
      <c r="H1188" s="8"/>
      <c r="I1188" s="8"/>
      <c r="J1188" s="8"/>
      <c r="K1188" s="8"/>
      <c r="L1188" s="8"/>
      <c r="M1188" s="8"/>
      <c r="N1188" s="8"/>
      <c r="O1188" s="8"/>
      <c r="P1188" s="8"/>
      <c r="Q1188" s="8"/>
      <c r="R1188" s="8"/>
      <c r="S1188" s="8"/>
      <c r="T1188" s="8"/>
      <c r="U1188" s="8"/>
      <c r="V1188" s="8"/>
    </row>
    <row r="1189">
      <c r="A1189" s="8"/>
      <c r="B1189" s="11"/>
      <c r="C1189" s="8"/>
      <c r="D1189" s="8"/>
      <c r="E1189" s="8"/>
      <c r="F1189" s="8"/>
      <c r="G1189" s="10"/>
      <c r="H1189" s="8"/>
      <c r="I1189" s="8"/>
      <c r="J1189" s="8"/>
      <c r="K1189" s="8"/>
      <c r="L1189" s="8"/>
      <c r="M1189" s="8"/>
      <c r="N1189" s="8"/>
      <c r="O1189" s="8"/>
      <c r="P1189" s="8"/>
      <c r="Q1189" s="8"/>
      <c r="R1189" s="8"/>
      <c r="S1189" s="8"/>
      <c r="T1189" s="8"/>
      <c r="U1189" s="8"/>
      <c r="V1189" s="8"/>
    </row>
    <row r="1190">
      <c r="A1190" s="8"/>
      <c r="B1190" s="11"/>
      <c r="C1190" s="8"/>
      <c r="D1190" s="8"/>
      <c r="E1190" s="8"/>
      <c r="F1190" s="8"/>
      <c r="G1190" s="10"/>
      <c r="H1190" s="8"/>
      <c r="I1190" s="8"/>
      <c r="J1190" s="8"/>
      <c r="K1190" s="8"/>
      <c r="L1190" s="8"/>
      <c r="M1190" s="8"/>
      <c r="N1190" s="8"/>
      <c r="O1190" s="8"/>
      <c r="P1190" s="8"/>
      <c r="Q1190" s="8"/>
      <c r="R1190" s="8"/>
      <c r="S1190" s="8"/>
      <c r="T1190" s="8"/>
      <c r="U1190" s="8"/>
      <c r="V1190" s="8"/>
    </row>
    <row r="1191">
      <c r="A1191" s="8"/>
      <c r="B1191" s="11"/>
      <c r="C1191" s="8"/>
      <c r="D1191" s="8"/>
      <c r="E1191" s="8"/>
      <c r="F1191" s="8"/>
      <c r="G1191" s="10"/>
      <c r="H1191" s="8"/>
      <c r="I1191" s="8"/>
      <c r="J1191" s="8"/>
      <c r="K1191" s="8"/>
      <c r="L1191" s="8"/>
      <c r="M1191" s="8"/>
      <c r="N1191" s="8"/>
      <c r="O1191" s="8"/>
      <c r="P1191" s="8"/>
      <c r="Q1191" s="8"/>
      <c r="R1191" s="8"/>
      <c r="S1191" s="8"/>
      <c r="T1191" s="8"/>
      <c r="U1191" s="8"/>
      <c r="V1191" s="8"/>
    </row>
    <row r="1192">
      <c r="A1192" s="8"/>
      <c r="B1192" s="11"/>
      <c r="C1192" s="8"/>
      <c r="D1192" s="8"/>
      <c r="E1192" s="8"/>
      <c r="F1192" s="8"/>
      <c r="G1192" s="10"/>
      <c r="H1192" s="8"/>
      <c r="I1192" s="8"/>
      <c r="J1192" s="8"/>
      <c r="K1192" s="8"/>
      <c r="L1192" s="8"/>
      <c r="M1192" s="8"/>
      <c r="N1192" s="8"/>
      <c r="O1192" s="8"/>
      <c r="P1192" s="8"/>
      <c r="Q1192" s="8"/>
      <c r="R1192" s="8"/>
      <c r="S1192" s="8"/>
      <c r="T1192" s="8"/>
      <c r="U1192" s="8"/>
      <c r="V1192" s="8"/>
    </row>
    <row r="1193">
      <c r="A1193" s="8"/>
      <c r="B1193" s="11"/>
      <c r="C1193" s="8"/>
      <c r="D1193" s="8"/>
      <c r="E1193" s="8"/>
      <c r="F1193" s="8"/>
      <c r="G1193" s="10"/>
      <c r="H1193" s="8"/>
      <c r="I1193" s="8"/>
      <c r="J1193" s="8"/>
      <c r="K1193" s="8"/>
      <c r="L1193" s="8"/>
      <c r="M1193" s="8"/>
      <c r="N1193" s="8"/>
      <c r="O1193" s="8"/>
      <c r="P1193" s="8"/>
      <c r="Q1193" s="8"/>
      <c r="R1193" s="8"/>
      <c r="S1193" s="8"/>
      <c r="T1193" s="8"/>
      <c r="U1193" s="8"/>
      <c r="V1193" s="8"/>
    </row>
    <row r="1194">
      <c r="A1194" s="8"/>
      <c r="B1194" s="11"/>
      <c r="C1194" s="8"/>
      <c r="D1194" s="8"/>
      <c r="E1194" s="8"/>
      <c r="F1194" s="8"/>
      <c r="G1194" s="10"/>
      <c r="H1194" s="8"/>
      <c r="I1194" s="8"/>
      <c r="J1194" s="8"/>
      <c r="K1194" s="8"/>
      <c r="L1194" s="8"/>
      <c r="M1194" s="8"/>
      <c r="N1194" s="8"/>
      <c r="O1194" s="8"/>
      <c r="P1194" s="8"/>
      <c r="Q1194" s="8"/>
      <c r="R1194" s="8"/>
      <c r="S1194" s="8"/>
      <c r="T1194" s="8"/>
      <c r="U1194" s="8"/>
      <c r="V1194" s="8"/>
    </row>
    <row r="1195">
      <c r="A1195" s="8"/>
      <c r="B1195" s="11"/>
      <c r="C1195" s="8"/>
      <c r="D1195" s="8"/>
      <c r="E1195" s="8"/>
      <c r="F1195" s="8"/>
      <c r="G1195" s="10"/>
      <c r="H1195" s="8"/>
      <c r="I1195" s="8"/>
      <c r="J1195" s="8"/>
      <c r="K1195" s="8"/>
      <c r="L1195" s="8"/>
      <c r="M1195" s="8"/>
      <c r="N1195" s="8"/>
      <c r="O1195" s="8"/>
      <c r="P1195" s="8"/>
      <c r="Q1195" s="8"/>
      <c r="R1195" s="8"/>
      <c r="S1195" s="8"/>
      <c r="T1195" s="8"/>
      <c r="U1195" s="8"/>
      <c r="V1195" s="8"/>
    </row>
    <row r="1196">
      <c r="A1196" s="8"/>
      <c r="B1196" s="11"/>
      <c r="C1196" s="8"/>
      <c r="D1196" s="8"/>
      <c r="E1196" s="8"/>
      <c r="F1196" s="8"/>
      <c r="G1196" s="10"/>
      <c r="H1196" s="8"/>
      <c r="I1196" s="8"/>
      <c r="J1196" s="8"/>
      <c r="K1196" s="8"/>
      <c r="L1196" s="8"/>
      <c r="M1196" s="8"/>
      <c r="N1196" s="8"/>
      <c r="O1196" s="8"/>
      <c r="P1196" s="8"/>
      <c r="Q1196" s="8"/>
      <c r="R1196" s="8"/>
      <c r="S1196" s="8"/>
      <c r="T1196" s="8"/>
      <c r="U1196" s="8"/>
      <c r="V1196" s="8"/>
    </row>
    <row r="1197">
      <c r="A1197" s="8"/>
      <c r="B1197" s="11"/>
      <c r="C1197" s="8"/>
      <c r="D1197" s="8"/>
      <c r="E1197" s="8"/>
      <c r="F1197" s="8"/>
      <c r="G1197" s="10"/>
      <c r="H1197" s="8"/>
      <c r="I1197" s="8"/>
      <c r="J1197" s="8"/>
      <c r="K1197" s="8"/>
      <c r="L1197" s="8"/>
      <c r="M1197" s="8"/>
      <c r="N1197" s="8"/>
      <c r="O1197" s="8"/>
      <c r="P1197" s="8"/>
      <c r="Q1197" s="8"/>
      <c r="R1197" s="8"/>
      <c r="S1197" s="8"/>
      <c r="T1197" s="8"/>
      <c r="U1197" s="8"/>
      <c r="V1197" s="8"/>
    </row>
    <row r="1198">
      <c r="A1198" s="8"/>
      <c r="B1198" s="11"/>
      <c r="C1198" s="8"/>
      <c r="D1198" s="8"/>
      <c r="E1198" s="8"/>
      <c r="F1198" s="8"/>
      <c r="G1198" s="10"/>
      <c r="H1198" s="8"/>
      <c r="I1198" s="8"/>
      <c r="J1198" s="8"/>
      <c r="K1198" s="8"/>
      <c r="L1198" s="8"/>
      <c r="M1198" s="8"/>
      <c r="N1198" s="8"/>
      <c r="O1198" s="8"/>
      <c r="P1198" s="8"/>
      <c r="Q1198" s="8"/>
      <c r="R1198" s="8"/>
      <c r="S1198" s="8"/>
      <c r="T1198" s="8"/>
      <c r="U1198" s="8"/>
      <c r="V1198" s="8"/>
    </row>
    <row r="1199">
      <c r="A1199" s="8"/>
      <c r="B1199" s="11"/>
      <c r="C1199" s="8"/>
      <c r="D1199" s="8"/>
      <c r="E1199" s="8"/>
      <c r="F1199" s="8"/>
      <c r="G1199" s="10"/>
      <c r="H1199" s="8"/>
      <c r="I1199" s="8"/>
      <c r="J1199" s="8"/>
      <c r="K1199" s="8"/>
      <c r="L1199" s="8"/>
      <c r="M1199" s="8"/>
      <c r="N1199" s="8"/>
      <c r="O1199" s="8"/>
      <c r="P1199" s="8"/>
      <c r="Q1199" s="8"/>
      <c r="R1199" s="8"/>
      <c r="S1199" s="8"/>
      <c r="T1199" s="8"/>
      <c r="U1199" s="8"/>
      <c r="V1199" s="8"/>
    </row>
    <row r="1200">
      <c r="A1200" s="8"/>
      <c r="B1200" s="11"/>
      <c r="C1200" s="8"/>
      <c r="D1200" s="8"/>
      <c r="E1200" s="8"/>
      <c r="F1200" s="8"/>
      <c r="G1200" s="10"/>
      <c r="H1200" s="8"/>
      <c r="I1200" s="8"/>
      <c r="J1200" s="8"/>
      <c r="K1200" s="8"/>
      <c r="L1200" s="8"/>
      <c r="M1200" s="8"/>
      <c r="N1200" s="8"/>
      <c r="O1200" s="8"/>
      <c r="P1200" s="8"/>
      <c r="Q1200" s="8"/>
      <c r="R1200" s="8"/>
      <c r="S1200" s="8"/>
      <c r="T1200" s="8"/>
      <c r="U1200" s="8"/>
      <c r="V1200" s="8"/>
    </row>
    <row r="1201">
      <c r="A1201" s="8"/>
      <c r="B1201" s="11"/>
      <c r="C1201" s="8"/>
      <c r="D1201" s="8"/>
      <c r="E1201" s="8"/>
      <c r="F1201" s="8"/>
      <c r="G1201" s="10"/>
      <c r="H1201" s="8"/>
      <c r="I1201" s="8"/>
      <c r="J1201" s="8"/>
      <c r="K1201" s="8"/>
      <c r="L1201" s="8"/>
      <c r="M1201" s="8"/>
      <c r="N1201" s="8"/>
      <c r="O1201" s="8"/>
      <c r="P1201" s="8"/>
      <c r="Q1201" s="8"/>
      <c r="R1201" s="8"/>
      <c r="S1201" s="8"/>
      <c r="T1201" s="8"/>
      <c r="U1201" s="8"/>
      <c r="V1201" s="8"/>
    </row>
    <row r="1202">
      <c r="A1202" s="8"/>
      <c r="B1202" s="11"/>
      <c r="C1202" s="8"/>
      <c r="D1202" s="8"/>
      <c r="E1202" s="8"/>
      <c r="F1202" s="8"/>
      <c r="G1202" s="10"/>
      <c r="H1202" s="8"/>
      <c r="I1202" s="8"/>
      <c r="J1202" s="8"/>
      <c r="K1202" s="8"/>
      <c r="L1202" s="8"/>
      <c r="M1202" s="8"/>
      <c r="N1202" s="8"/>
      <c r="O1202" s="8"/>
      <c r="P1202" s="8"/>
      <c r="Q1202" s="8"/>
      <c r="R1202" s="8"/>
      <c r="S1202" s="8"/>
      <c r="T1202" s="8"/>
      <c r="U1202" s="8"/>
      <c r="V1202" s="8"/>
    </row>
    <row r="1203">
      <c r="A1203" s="8"/>
      <c r="B1203" s="11"/>
      <c r="C1203" s="8"/>
      <c r="D1203" s="8"/>
      <c r="E1203" s="8"/>
      <c r="F1203" s="8"/>
      <c r="G1203" s="10"/>
      <c r="H1203" s="8"/>
      <c r="I1203" s="8"/>
      <c r="J1203" s="8"/>
      <c r="K1203" s="8"/>
      <c r="L1203" s="8"/>
      <c r="M1203" s="8"/>
      <c r="N1203" s="8"/>
      <c r="O1203" s="8"/>
      <c r="P1203" s="8"/>
      <c r="Q1203" s="8"/>
      <c r="R1203" s="8"/>
      <c r="S1203" s="8"/>
      <c r="T1203" s="8"/>
      <c r="U1203" s="8"/>
      <c r="V1203" s="8"/>
    </row>
    <row r="1204">
      <c r="A1204" s="8"/>
      <c r="B1204" s="11"/>
      <c r="C1204" s="8"/>
      <c r="D1204" s="8"/>
      <c r="E1204" s="8"/>
      <c r="F1204" s="8"/>
      <c r="G1204" s="10"/>
      <c r="H1204" s="8"/>
      <c r="I1204" s="8"/>
      <c r="J1204" s="8"/>
      <c r="K1204" s="8"/>
      <c r="L1204" s="8"/>
      <c r="M1204" s="8"/>
      <c r="N1204" s="8"/>
      <c r="O1204" s="8"/>
      <c r="P1204" s="8"/>
      <c r="Q1204" s="8"/>
      <c r="R1204" s="8"/>
      <c r="S1204" s="8"/>
      <c r="T1204" s="8"/>
      <c r="U1204" s="8"/>
      <c r="V1204" s="8"/>
    </row>
    <row r="1205">
      <c r="A1205" s="8"/>
      <c r="B1205" s="11"/>
      <c r="C1205" s="8"/>
      <c r="D1205" s="8"/>
      <c r="E1205" s="8"/>
      <c r="F1205" s="8"/>
      <c r="G1205" s="10"/>
      <c r="H1205" s="8"/>
      <c r="I1205" s="8"/>
      <c r="J1205" s="8"/>
      <c r="K1205" s="8"/>
      <c r="L1205" s="8"/>
      <c r="M1205" s="8"/>
      <c r="N1205" s="8"/>
      <c r="O1205" s="8"/>
      <c r="P1205" s="8"/>
      <c r="Q1205" s="8"/>
      <c r="R1205" s="8"/>
      <c r="S1205" s="8"/>
      <c r="T1205" s="8"/>
      <c r="U1205" s="8"/>
      <c r="V1205" s="8"/>
    </row>
    <row r="1206">
      <c r="A1206" s="8"/>
      <c r="B1206" s="11"/>
      <c r="C1206" s="8"/>
      <c r="D1206" s="8"/>
      <c r="E1206" s="8"/>
      <c r="F1206" s="8"/>
      <c r="G1206" s="10"/>
      <c r="H1206" s="8"/>
      <c r="I1206" s="8"/>
      <c r="J1206" s="8"/>
      <c r="K1206" s="8"/>
      <c r="L1206" s="8"/>
      <c r="M1206" s="8"/>
      <c r="N1206" s="8"/>
      <c r="O1206" s="8"/>
      <c r="P1206" s="8"/>
      <c r="Q1206" s="8"/>
      <c r="R1206" s="8"/>
      <c r="S1206" s="8"/>
      <c r="T1206" s="8"/>
      <c r="U1206" s="8"/>
      <c r="V1206" s="8"/>
    </row>
    <row r="1207">
      <c r="A1207" s="8"/>
      <c r="B1207" s="11"/>
      <c r="C1207" s="8"/>
      <c r="D1207" s="8"/>
      <c r="E1207" s="8"/>
      <c r="F1207" s="8"/>
      <c r="G1207" s="10"/>
      <c r="H1207" s="8"/>
      <c r="I1207" s="8"/>
      <c r="J1207" s="8"/>
      <c r="K1207" s="8"/>
      <c r="L1207" s="8"/>
      <c r="M1207" s="8"/>
      <c r="N1207" s="8"/>
      <c r="O1207" s="8"/>
      <c r="P1207" s="8"/>
      <c r="Q1207" s="8"/>
      <c r="R1207" s="8"/>
      <c r="S1207" s="8"/>
      <c r="T1207" s="8"/>
      <c r="U1207" s="8"/>
      <c r="V1207" s="8"/>
    </row>
    <row r="1208">
      <c r="A1208" s="8"/>
      <c r="B1208" s="11"/>
      <c r="C1208" s="8"/>
      <c r="D1208" s="8"/>
      <c r="E1208" s="8"/>
      <c r="F1208" s="8"/>
      <c r="G1208" s="10"/>
      <c r="H1208" s="8"/>
      <c r="I1208" s="8"/>
      <c r="J1208" s="8"/>
      <c r="K1208" s="8"/>
      <c r="L1208" s="8"/>
      <c r="M1208" s="8"/>
      <c r="N1208" s="8"/>
      <c r="O1208" s="8"/>
      <c r="P1208" s="8"/>
      <c r="Q1208" s="8"/>
      <c r="R1208" s="8"/>
      <c r="S1208" s="8"/>
      <c r="T1208" s="8"/>
      <c r="U1208" s="8"/>
      <c r="V1208" s="8"/>
    </row>
    <row r="1209">
      <c r="A1209" s="8"/>
      <c r="B1209" s="11"/>
      <c r="C1209" s="8"/>
      <c r="D1209" s="8"/>
      <c r="E1209" s="8"/>
      <c r="F1209" s="8"/>
      <c r="G1209" s="10"/>
      <c r="H1209" s="8"/>
      <c r="I1209" s="8"/>
      <c r="J1209" s="8"/>
      <c r="K1209" s="8"/>
      <c r="L1209" s="8"/>
      <c r="M1209" s="8"/>
      <c r="N1209" s="8"/>
      <c r="O1209" s="8"/>
      <c r="P1209" s="8"/>
      <c r="Q1209" s="8"/>
      <c r="R1209" s="8"/>
      <c r="S1209" s="8"/>
      <c r="T1209" s="8"/>
      <c r="U1209" s="8"/>
      <c r="V1209" s="8"/>
    </row>
    <row r="1210">
      <c r="A1210" s="8"/>
      <c r="B1210" s="11"/>
      <c r="C1210" s="8"/>
      <c r="D1210" s="8"/>
      <c r="E1210" s="8"/>
      <c r="F1210" s="8"/>
      <c r="G1210" s="10"/>
      <c r="H1210" s="8"/>
      <c r="I1210" s="8"/>
      <c r="J1210" s="8"/>
      <c r="K1210" s="8"/>
      <c r="L1210" s="8"/>
      <c r="M1210" s="8"/>
      <c r="N1210" s="8"/>
      <c r="O1210" s="8"/>
      <c r="P1210" s="8"/>
      <c r="Q1210" s="8"/>
      <c r="R1210" s="8"/>
      <c r="S1210" s="8"/>
      <c r="T1210" s="8"/>
      <c r="U1210" s="8"/>
      <c r="V1210" s="8"/>
    </row>
    <row r="1211">
      <c r="A1211" s="8"/>
      <c r="B1211" s="11"/>
      <c r="C1211" s="8"/>
      <c r="D1211" s="8"/>
      <c r="E1211" s="8"/>
      <c r="F1211" s="8"/>
      <c r="G1211" s="10"/>
      <c r="H1211" s="8"/>
      <c r="I1211" s="8"/>
      <c r="J1211" s="8"/>
      <c r="K1211" s="8"/>
      <c r="L1211" s="8"/>
      <c r="M1211" s="8"/>
      <c r="N1211" s="8"/>
      <c r="O1211" s="8"/>
      <c r="P1211" s="8"/>
      <c r="Q1211" s="8"/>
      <c r="R1211" s="8"/>
      <c r="S1211" s="8"/>
      <c r="T1211" s="8"/>
      <c r="U1211" s="8"/>
      <c r="V1211" s="8"/>
    </row>
    <row r="1212">
      <c r="A1212" s="8"/>
      <c r="B1212" s="11"/>
      <c r="C1212" s="8"/>
      <c r="D1212" s="8"/>
      <c r="E1212" s="8"/>
      <c r="F1212" s="8"/>
      <c r="G1212" s="10"/>
      <c r="H1212" s="8"/>
      <c r="I1212" s="8"/>
      <c r="J1212" s="8"/>
      <c r="K1212" s="8"/>
      <c r="L1212" s="8"/>
      <c r="M1212" s="8"/>
      <c r="N1212" s="8"/>
      <c r="O1212" s="8"/>
      <c r="P1212" s="8"/>
      <c r="Q1212" s="8"/>
      <c r="R1212" s="8"/>
      <c r="S1212" s="8"/>
      <c r="T1212" s="8"/>
      <c r="U1212" s="8"/>
      <c r="V1212" s="8"/>
    </row>
    <row r="1213">
      <c r="A1213" s="8"/>
      <c r="B1213" s="11"/>
      <c r="C1213" s="8"/>
      <c r="D1213" s="8"/>
      <c r="E1213" s="8"/>
      <c r="F1213" s="8"/>
      <c r="G1213" s="10"/>
      <c r="H1213" s="8"/>
      <c r="I1213" s="8"/>
      <c r="J1213" s="8"/>
      <c r="K1213" s="8"/>
      <c r="L1213" s="8"/>
      <c r="M1213" s="8"/>
      <c r="N1213" s="8"/>
      <c r="O1213" s="8"/>
      <c r="P1213" s="8"/>
      <c r="Q1213" s="8"/>
      <c r="R1213" s="8"/>
      <c r="S1213" s="8"/>
      <c r="T1213" s="8"/>
      <c r="U1213" s="8"/>
      <c r="V1213" s="8"/>
    </row>
    <row r="1214">
      <c r="A1214" s="8"/>
      <c r="B1214" s="11"/>
      <c r="C1214" s="8"/>
      <c r="D1214" s="8"/>
      <c r="E1214" s="8"/>
      <c r="F1214" s="8"/>
      <c r="G1214" s="10"/>
      <c r="H1214" s="8"/>
      <c r="I1214" s="8"/>
      <c r="J1214" s="8"/>
      <c r="K1214" s="8"/>
      <c r="L1214" s="8"/>
      <c r="M1214" s="8"/>
      <c r="N1214" s="8"/>
      <c r="O1214" s="8"/>
      <c r="P1214" s="8"/>
      <c r="Q1214" s="8"/>
      <c r="R1214" s="8"/>
      <c r="S1214" s="8"/>
      <c r="T1214" s="8"/>
      <c r="U1214" s="8"/>
      <c r="V1214" s="8"/>
    </row>
    <row r="1215">
      <c r="A1215" s="8"/>
      <c r="B1215" s="11"/>
      <c r="C1215" s="8"/>
      <c r="D1215" s="8"/>
      <c r="E1215" s="8"/>
      <c r="F1215" s="8"/>
      <c r="G1215" s="10"/>
      <c r="H1215" s="8"/>
      <c r="I1215" s="8"/>
      <c r="J1215" s="8"/>
      <c r="K1215" s="8"/>
      <c r="L1215" s="8"/>
      <c r="M1215" s="8"/>
      <c r="N1215" s="8"/>
      <c r="O1215" s="8"/>
      <c r="P1215" s="8"/>
      <c r="Q1215" s="8"/>
      <c r="R1215" s="8"/>
      <c r="S1215" s="8"/>
      <c r="T1215" s="8"/>
      <c r="U1215" s="8"/>
      <c r="V1215" s="8"/>
    </row>
    <row r="1216">
      <c r="A1216" s="8"/>
      <c r="B1216" s="11"/>
      <c r="C1216" s="8"/>
      <c r="D1216" s="8"/>
      <c r="E1216" s="8"/>
      <c r="F1216" s="8"/>
      <c r="G1216" s="10"/>
      <c r="H1216" s="8"/>
      <c r="I1216" s="8"/>
      <c r="J1216" s="8"/>
      <c r="K1216" s="8"/>
      <c r="L1216" s="8"/>
      <c r="M1216" s="8"/>
      <c r="N1216" s="8"/>
      <c r="O1216" s="8"/>
      <c r="P1216" s="8"/>
      <c r="Q1216" s="8"/>
      <c r="R1216" s="8"/>
      <c r="S1216" s="8"/>
      <c r="T1216" s="8"/>
      <c r="U1216" s="8"/>
      <c r="V1216" s="8"/>
    </row>
    <row r="1217">
      <c r="A1217" s="8"/>
      <c r="B1217" s="11"/>
      <c r="C1217" s="8"/>
      <c r="D1217" s="8"/>
      <c r="E1217" s="8"/>
      <c r="F1217" s="8"/>
      <c r="G1217" s="10"/>
      <c r="H1217" s="8"/>
      <c r="I1217" s="8"/>
      <c r="J1217" s="8"/>
      <c r="K1217" s="8"/>
      <c r="L1217" s="8"/>
      <c r="M1217" s="8"/>
      <c r="N1217" s="8"/>
      <c r="O1217" s="8"/>
      <c r="P1217" s="8"/>
      <c r="Q1217" s="8"/>
      <c r="R1217" s="8"/>
      <c r="S1217" s="8"/>
      <c r="T1217" s="8"/>
      <c r="U1217" s="8"/>
      <c r="V1217" s="8"/>
    </row>
    <row r="1218">
      <c r="A1218" s="8"/>
      <c r="B1218" s="11"/>
      <c r="C1218" s="8"/>
      <c r="D1218" s="8"/>
      <c r="E1218" s="8"/>
      <c r="F1218" s="8"/>
      <c r="G1218" s="10"/>
      <c r="H1218" s="8"/>
      <c r="I1218" s="8"/>
      <c r="J1218" s="8"/>
      <c r="K1218" s="8"/>
      <c r="L1218" s="8"/>
      <c r="M1218" s="8"/>
      <c r="N1218" s="8"/>
      <c r="O1218" s="8"/>
      <c r="P1218" s="8"/>
      <c r="Q1218" s="8"/>
      <c r="R1218" s="8"/>
      <c r="S1218" s="8"/>
      <c r="T1218" s="8"/>
      <c r="U1218" s="8"/>
      <c r="V1218" s="8"/>
    </row>
    <row r="1219">
      <c r="A1219" s="8"/>
      <c r="B1219" s="11"/>
      <c r="C1219" s="8"/>
      <c r="D1219" s="8"/>
      <c r="E1219" s="8"/>
      <c r="F1219" s="8"/>
      <c r="G1219" s="10"/>
      <c r="H1219" s="8"/>
      <c r="I1219" s="8"/>
      <c r="J1219" s="8"/>
      <c r="K1219" s="8"/>
      <c r="L1219" s="8"/>
      <c r="M1219" s="8"/>
      <c r="N1219" s="8"/>
      <c r="O1219" s="8"/>
      <c r="P1219" s="8"/>
      <c r="Q1219" s="8"/>
      <c r="R1219" s="8"/>
      <c r="S1219" s="8"/>
      <c r="T1219" s="8"/>
      <c r="U1219" s="8"/>
      <c r="V1219" s="8"/>
    </row>
    <row r="1220">
      <c r="A1220" s="8"/>
      <c r="B1220" s="11"/>
      <c r="C1220" s="8"/>
      <c r="D1220" s="8"/>
      <c r="E1220" s="8"/>
      <c r="F1220" s="8"/>
      <c r="G1220" s="10"/>
      <c r="H1220" s="8"/>
      <c r="I1220" s="8"/>
      <c r="J1220" s="8"/>
      <c r="K1220" s="8"/>
      <c r="L1220" s="8"/>
      <c r="M1220" s="8"/>
      <c r="N1220" s="8"/>
      <c r="O1220" s="8"/>
      <c r="P1220" s="8"/>
      <c r="Q1220" s="8"/>
      <c r="R1220" s="8"/>
      <c r="S1220" s="8"/>
      <c r="T1220" s="8"/>
      <c r="U1220" s="8"/>
      <c r="V1220" s="8"/>
    </row>
    <row r="1221">
      <c r="A1221" s="8"/>
      <c r="B1221" s="11"/>
      <c r="C1221" s="8"/>
      <c r="D1221" s="8"/>
      <c r="E1221" s="8"/>
      <c r="F1221" s="8"/>
      <c r="G1221" s="10"/>
      <c r="H1221" s="8"/>
      <c r="I1221" s="8"/>
      <c r="J1221" s="8"/>
      <c r="K1221" s="8"/>
      <c r="L1221" s="8"/>
      <c r="M1221" s="8"/>
      <c r="N1221" s="8"/>
      <c r="O1221" s="8"/>
      <c r="P1221" s="8"/>
      <c r="Q1221" s="8"/>
      <c r="R1221" s="8"/>
      <c r="S1221" s="8"/>
      <c r="T1221" s="8"/>
      <c r="U1221" s="8"/>
      <c r="V1221" s="8"/>
    </row>
    <row r="1222">
      <c r="A1222" s="8"/>
      <c r="B1222" s="11"/>
      <c r="C1222" s="8"/>
      <c r="D1222" s="8"/>
      <c r="E1222" s="8"/>
      <c r="F1222" s="8"/>
      <c r="G1222" s="10"/>
      <c r="H1222" s="8"/>
      <c r="I1222" s="8"/>
      <c r="J1222" s="8"/>
      <c r="K1222" s="8"/>
      <c r="L1222" s="8"/>
      <c r="M1222" s="8"/>
      <c r="N1222" s="8"/>
      <c r="O1222" s="8"/>
      <c r="P1222" s="8"/>
      <c r="Q1222" s="8"/>
      <c r="R1222" s="8"/>
      <c r="S1222" s="8"/>
      <c r="T1222" s="8"/>
      <c r="U1222" s="8"/>
      <c r="V1222" s="8"/>
    </row>
    <row r="1223">
      <c r="A1223" s="8"/>
      <c r="B1223" s="11"/>
      <c r="C1223" s="8"/>
      <c r="D1223" s="8"/>
      <c r="E1223" s="8"/>
      <c r="F1223" s="8"/>
      <c r="G1223" s="10"/>
      <c r="H1223" s="8"/>
      <c r="I1223" s="8"/>
      <c r="J1223" s="8"/>
      <c r="K1223" s="8"/>
      <c r="L1223" s="8"/>
      <c r="M1223" s="8"/>
      <c r="N1223" s="8"/>
      <c r="O1223" s="8"/>
      <c r="P1223" s="8"/>
      <c r="Q1223" s="8"/>
      <c r="R1223" s="8"/>
      <c r="S1223" s="8"/>
      <c r="T1223" s="8"/>
      <c r="U1223" s="8"/>
      <c r="V1223" s="8"/>
    </row>
    <row r="1224">
      <c r="A1224" s="8"/>
      <c r="B1224" s="11"/>
      <c r="C1224" s="8"/>
      <c r="D1224" s="8"/>
      <c r="E1224" s="8"/>
      <c r="F1224" s="8"/>
      <c r="G1224" s="10"/>
      <c r="H1224" s="8"/>
      <c r="I1224" s="8"/>
      <c r="J1224" s="8"/>
      <c r="K1224" s="8"/>
      <c r="L1224" s="8"/>
      <c r="M1224" s="8"/>
      <c r="N1224" s="8"/>
      <c r="O1224" s="8"/>
      <c r="P1224" s="8"/>
      <c r="Q1224" s="8"/>
      <c r="R1224" s="8"/>
      <c r="S1224" s="8"/>
      <c r="T1224" s="8"/>
      <c r="U1224" s="8"/>
      <c r="V1224" s="8"/>
    </row>
    <row r="1225">
      <c r="A1225" s="8"/>
      <c r="B1225" s="11"/>
      <c r="C1225" s="8"/>
      <c r="D1225" s="8"/>
      <c r="E1225" s="8"/>
      <c r="F1225" s="8"/>
      <c r="G1225" s="10"/>
      <c r="H1225" s="8"/>
      <c r="I1225" s="8"/>
      <c r="J1225" s="8"/>
      <c r="K1225" s="8"/>
      <c r="L1225" s="8"/>
      <c r="M1225" s="8"/>
      <c r="N1225" s="8"/>
      <c r="O1225" s="8"/>
      <c r="P1225" s="8"/>
      <c r="Q1225" s="8"/>
      <c r="R1225" s="8"/>
      <c r="S1225" s="8"/>
      <c r="T1225" s="8"/>
      <c r="U1225" s="8"/>
      <c r="V1225" s="8"/>
    </row>
    <row r="1226">
      <c r="A1226" s="8"/>
      <c r="B1226" s="11"/>
      <c r="C1226" s="8"/>
      <c r="D1226" s="8"/>
      <c r="E1226" s="8"/>
      <c r="F1226" s="8"/>
      <c r="G1226" s="10"/>
      <c r="H1226" s="8"/>
      <c r="I1226" s="8"/>
      <c r="J1226" s="8"/>
      <c r="K1226" s="8"/>
      <c r="L1226" s="8"/>
      <c r="M1226" s="8"/>
      <c r="N1226" s="8"/>
      <c r="O1226" s="8"/>
      <c r="P1226" s="8"/>
      <c r="Q1226" s="8"/>
      <c r="R1226" s="8"/>
      <c r="S1226" s="8"/>
      <c r="T1226" s="8"/>
      <c r="U1226" s="8"/>
      <c r="V1226" s="8"/>
    </row>
    <row r="1227">
      <c r="A1227" s="8"/>
      <c r="B1227" s="11"/>
      <c r="C1227" s="8"/>
      <c r="D1227" s="8"/>
      <c r="E1227" s="8"/>
      <c r="F1227" s="8"/>
      <c r="G1227" s="10"/>
      <c r="H1227" s="8"/>
      <c r="I1227" s="8"/>
      <c r="J1227" s="8"/>
      <c r="K1227" s="8"/>
      <c r="L1227" s="8"/>
      <c r="M1227" s="8"/>
      <c r="N1227" s="8"/>
      <c r="O1227" s="8"/>
      <c r="P1227" s="8"/>
      <c r="Q1227" s="8"/>
      <c r="R1227" s="8"/>
      <c r="S1227" s="8"/>
      <c r="T1227" s="8"/>
      <c r="U1227" s="8"/>
      <c r="V1227" s="8"/>
    </row>
    <row r="1228">
      <c r="A1228" s="8"/>
      <c r="B1228" s="11"/>
      <c r="C1228" s="8"/>
      <c r="D1228" s="8"/>
      <c r="E1228" s="8"/>
      <c r="F1228" s="8"/>
      <c r="G1228" s="10"/>
      <c r="H1228" s="8"/>
      <c r="I1228" s="8"/>
      <c r="J1228" s="8"/>
      <c r="K1228" s="8"/>
      <c r="L1228" s="8"/>
      <c r="M1228" s="8"/>
      <c r="N1228" s="8"/>
      <c r="O1228" s="8"/>
      <c r="P1228" s="8"/>
      <c r="Q1228" s="8"/>
      <c r="R1228" s="8"/>
      <c r="S1228" s="8"/>
      <c r="T1228" s="8"/>
      <c r="U1228" s="8"/>
      <c r="V1228" s="8"/>
    </row>
    <row r="1229">
      <c r="A1229" s="8"/>
      <c r="B1229" s="11"/>
      <c r="C1229" s="8"/>
      <c r="D1229" s="8"/>
      <c r="E1229" s="8"/>
      <c r="F1229" s="8"/>
      <c r="G1229" s="10"/>
      <c r="H1229" s="8"/>
      <c r="I1229" s="8"/>
      <c r="J1229" s="8"/>
      <c r="K1229" s="8"/>
      <c r="L1229" s="8"/>
      <c r="M1229" s="8"/>
      <c r="N1229" s="8"/>
      <c r="O1229" s="8"/>
      <c r="P1229" s="8"/>
      <c r="Q1229" s="8"/>
      <c r="R1229" s="8"/>
      <c r="S1229" s="8"/>
      <c r="T1229" s="8"/>
      <c r="U1229" s="8"/>
      <c r="V1229" s="8"/>
    </row>
    <row r="1230">
      <c r="A1230" s="8"/>
      <c r="B1230" s="11"/>
      <c r="C1230" s="8"/>
      <c r="D1230" s="8"/>
      <c r="E1230" s="8"/>
      <c r="F1230" s="8"/>
      <c r="G1230" s="10"/>
      <c r="H1230" s="8"/>
      <c r="I1230" s="8"/>
      <c r="J1230" s="8"/>
      <c r="K1230" s="8"/>
      <c r="L1230" s="8"/>
      <c r="M1230" s="8"/>
      <c r="N1230" s="8"/>
      <c r="O1230" s="8"/>
      <c r="P1230" s="8"/>
      <c r="Q1230" s="8"/>
      <c r="R1230" s="8"/>
      <c r="S1230" s="8"/>
      <c r="T1230" s="8"/>
      <c r="U1230" s="8"/>
      <c r="V1230" s="8"/>
    </row>
    <row r="1231">
      <c r="A1231" s="8"/>
      <c r="B1231" s="11"/>
      <c r="C1231" s="8"/>
      <c r="D1231" s="8"/>
      <c r="E1231" s="8"/>
      <c r="F1231" s="8"/>
      <c r="G1231" s="10"/>
      <c r="H1231" s="8"/>
      <c r="I1231" s="8"/>
      <c r="J1231" s="8"/>
      <c r="K1231" s="8"/>
      <c r="L1231" s="8"/>
      <c r="M1231" s="8"/>
      <c r="N1231" s="8"/>
      <c r="O1231" s="8"/>
      <c r="P1231" s="8"/>
      <c r="Q1231" s="8"/>
      <c r="R1231" s="8"/>
      <c r="S1231" s="8"/>
      <c r="T1231" s="8"/>
      <c r="U1231" s="8"/>
      <c r="V1231" s="8"/>
    </row>
    <row r="1232">
      <c r="A1232" s="8"/>
      <c r="B1232" s="11"/>
      <c r="C1232" s="8"/>
      <c r="D1232" s="8"/>
      <c r="E1232" s="8"/>
      <c r="F1232" s="8"/>
      <c r="G1232" s="10"/>
      <c r="H1232" s="8"/>
      <c r="I1232" s="8"/>
      <c r="J1232" s="8"/>
      <c r="K1232" s="8"/>
      <c r="L1232" s="8"/>
      <c r="M1232" s="8"/>
      <c r="N1232" s="8"/>
      <c r="O1232" s="8"/>
      <c r="P1232" s="8"/>
      <c r="Q1232" s="8"/>
      <c r="R1232" s="8"/>
      <c r="S1232" s="8"/>
      <c r="T1232" s="8"/>
      <c r="U1232" s="8"/>
      <c r="V1232" s="8"/>
    </row>
    <row r="1233">
      <c r="A1233" s="8"/>
      <c r="B1233" s="11"/>
      <c r="C1233" s="8"/>
      <c r="D1233" s="8"/>
      <c r="E1233" s="8"/>
      <c r="F1233" s="8"/>
      <c r="G1233" s="10"/>
      <c r="H1233" s="8"/>
      <c r="I1233" s="8"/>
      <c r="J1233" s="8"/>
      <c r="K1233" s="8"/>
      <c r="L1233" s="8"/>
      <c r="M1233" s="8"/>
      <c r="N1233" s="8"/>
      <c r="O1233" s="8"/>
      <c r="P1233" s="8"/>
      <c r="Q1233" s="8"/>
      <c r="R1233" s="8"/>
      <c r="S1233" s="8"/>
      <c r="T1233" s="8"/>
      <c r="U1233" s="8"/>
      <c r="V1233" s="8"/>
    </row>
    <row r="1234">
      <c r="A1234" s="8"/>
      <c r="B1234" s="11"/>
      <c r="C1234" s="8"/>
      <c r="D1234" s="8"/>
      <c r="E1234" s="8"/>
      <c r="F1234" s="8"/>
      <c r="G1234" s="10"/>
      <c r="H1234" s="8"/>
      <c r="I1234" s="8"/>
      <c r="J1234" s="8"/>
      <c r="K1234" s="8"/>
      <c r="L1234" s="8"/>
      <c r="M1234" s="8"/>
      <c r="N1234" s="8"/>
      <c r="O1234" s="8"/>
      <c r="P1234" s="8"/>
      <c r="Q1234" s="8"/>
      <c r="R1234" s="8"/>
      <c r="S1234" s="8"/>
      <c r="T1234" s="8"/>
      <c r="U1234" s="8"/>
      <c r="V1234" s="8"/>
    </row>
    <row r="1235">
      <c r="A1235" s="8"/>
      <c r="B1235" s="11"/>
      <c r="C1235" s="8"/>
      <c r="D1235" s="8"/>
      <c r="E1235" s="8"/>
      <c r="F1235" s="8"/>
      <c r="G1235" s="10"/>
      <c r="H1235" s="8"/>
      <c r="I1235" s="8"/>
      <c r="J1235" s="8"/>
      <c r="K1235" s="8"/>
      <c r="L1235" s="8"/>
      <c r="M1235" s="8"/>
      <c r="N1235" s="8"/>
      <c r="O1235" s="8"/>
      <c r="P1235" s="8"/>
      <c r="Q1235" s="8"/>
      <c r="R1235" s="8"/>
      <c r="S1235" s="8"/>
      <c r="T1235" s="8"/>
      <c r="U1235" s="8"/>
      <c r="V1235" s="8"/>
    </row>
    <row r="1236">
      <c r="A1236" s="8"/>
      <c r="B1236" s="11"/>
      <c r="C1236" s="8"/>
      <c r="D1236" s="8"/>
      <c r="E1236" s="8"/>
      <c r="F1236" s="8"/>
      <c r="G1236" s="10"/>
      <c r="H1236" s="8"/>
      <c r="I1236" s="8"/>
      <c r="J1236" s="8"/>
      <c r="K1236" s="8"/>
      <c r="L1236" s="8"/>
      <c r="M1236" s="8"/>
      <c r="N1236" s="8"/>
      <c r="O1236" s="8"/>
      <c r="P1236" s="8"/>
      <c r="Q1236" s="8"/>
      <c r="R1236" s="8"/>
      <c r="S1236" s="8"/>
      <c r="T1236" s="8"/>
      <c r="U1236" s="8"/>
      <c r="V1236" s="8"/>
    </row>
    <row r="1237">
      <c r="A1237" s="8"/>
      <c r="B1237" s="11"/>
      <c r="C1237" s="8"/>
      <c r="D1237" s="8"/>
      <c r="E1237" s="8"/>
      <c r="F1237" s="8"/>
      <c r="G1237" s="10"/>
      <c r="H1237" s="8"/>
      <c r="I1237" s="8"/>
      <c r="J1237" s="8"/>
      <c r="K1237" s="8"/>
      <c r="L1237" s="8"/>
      <c r="M1237" s="8"/>
      <c r="N1237" s="8"/>
      <c r="O1237" s="8"/>
      <c r="P1237" s="8"/>
      <c r="Q1237" s="8"/>
      <c r="R1237" s="8"/>
      <c r="S1237" s="8"/>
      <c r="T1237" s="8"/>
      <c r="U1237" s="8"/>
      <c r="V1237" s="8"/>
    </row>
    <row r="1238">
      <c r="A1238" s="8"/>
      <c r="B1238" s="11"/>
      <c r="C1238" s="8"/>
      <c r="D1238" s="8"/>
      <c r="E1238" s="8"/>
      <c r="F1238" s="8"/>
      <c r="G1238" s="10"/>
      <c r="H1238" s="8"/>
      <c r="I1238" s="8"/>
      <c r="J1238" s="8"/>
      <c r="K1238" s="8"/>
      <c r="L1238" s="8"/>
      <c r="M1238" s="8"/>
      <c r="N1238" s="8"/>
      <c r="O1238" s="8"/>
      <c r="P1238" s="8"/>
      <c r="Q1238" s="8"/>
      <c r="R1238" s="8"/>
      <c r="S1238" s="8"/>
      <c r="T1238" s="8"/>
      <c r="U1238" s="8"/>
      <c r="V1238" s="8"/>
    </row>
    <row r="1239">
      <c r="A1239" s="8"/>
      <c r="B1239" s="11"/>
      <c r="C1239" s="8"/>
      <c r="D1239" s="8"/>
      <c r="E1239" s="8"/>
      <c r="F1239" s="8"/>
      <c r="G1239" s="10"/>
      <c r="H1239" s="8"/>
      <c r="I1239" s="8"/>
      <c r="J1239" s="8"/>
      <c r="K1239" s="8"/>
      <c r="L1239" s="8"/>
      <c r="M1239" s="8"/>
      <c r="N1239" s="8"/>
      <c r="O1239" s="8"/>
      <c r="P1239" s="8"/>
      <c r="Q1239" s="8"/>
      <c r="R1239" s="8"/>
      <c r="S1239" s="8"/>
      <c r="T1239" s="8"/>
      <c r="U1239" s="8"/>
      <c r="V1239" s="8"/>
    </row>
    <row r="1240">
      <c r="A1240" s="8"/>
      <c r="B1240" s="11"/>
      <c r="C1240" s="8"/>
      <c r="D1240" s="8"/>
      <c r="E1240" s="8"/>
      <c r="F1240" s="8"/>
      <c r="G1240" s="10"/>
      <c r="H1240" s="8"/>
      <c r="I1240" s="8"/>
      <c r="J1240" s="8"/>
      <c r="K1240" s="8"/>
      <c r="L1240" s="8"/>
      <c r="M1240" s="8"/>
      <c r="N1240" s="8"/>
      <c r="O1240" s="8"/>
      <c r="P1240" s="8"/>
      <c r="Q1240" s="8"/>
      <c r="R1240" s="8"/>
      <c r="S1240" s="8"/>
      <c r="T1240" s="8"/>
      <c r="U1240" s="8"/>
      <c r="V1240" s="8"/>
    </row>
    <row r="1241">
      <c r="A1241" s="8"/>
      <c r="B1241" s="11"/>
      <c r="C1241" s="8"/>
      <c r="D1241" s="8"/>
      <c r="E1241" s="8"/>
      <c r="F1241" s="8"/>
      <c r="G1241" s="10"/>
      <c r="H1241" s="8"/>
      <c r="I1241" s="8"/>
      <c r="J1241" s="8"/>
      <c r="K1241" s="8"/>
      <c r="L1241" s="8"/>
      <c r="M1241" s="8"/>
      <c r="N1241" s="8"/>
      <c r="O1241" s="8"/>
      <c r="P1241" s="8"/>
      <c r="Q1241" s="8"/>
      <c r="R1241" s="8"/>
      <c r="S1241" s="8"/>
      <c r="T1241" s="8"/>
      <c r="U1241" s="8"/>
      <c r="V1241" s="8"/>
    </row>
    <row r="1242">
      <c r="A1242" s="8"/>
      <c r="B1242" s="11"/>
      <c r="C1242" s="8"/>
      <c r="D1242" s="8"/>
      <c r="E1242" s="8"/>
      <c r="F1242" s="8"/>
      <c r="G1242" s="10"/>
      <c r="H1242" s="8"/>
      <c r="I1242" s="8"/>
      <c r="J1242" s="8"/>
      <c r="K1242" s="8"/>
      <c r="L1242" s="8"/>
      <c r="M1242" s="8"/>
      <c r="N1242" s="8"/>
      <c r="O1242" s="8"/>
      <c r="P1242" s="8"/>
      <c r="Q1242" s="8"/>
      <c r="R1242" s="8"/>
      <c r="S1242" s="8"/>
      <c r="T1242" s="8"/>
      <c r="U1242" s="8"/>
      <c r="V1242" s="8"/>
    </row>
    <row r="1243">
      <c r="A1243" s="8"/>
      <c r="B1243" s="11"/>
      <c r="C1243" s="8"/>
      <c r="D1243" s="8"/>
      <c r="E1243" s="8"/>
      <c r="F1243" s="8"/>
      <c r="G1243" s="10"/>
      <c r="H1243" s="8"/>
      <c r="I1243" s="8"/>
      <c r="J1243" s="8"/>
      <c r="K1243" s="8"/>
      <c r="L1243" s="8"/>
      <c r="M1243" s="8"/>
      <c r="N1243" s="8"/>
      <c r="O1243" s="8"/>
      <c r="P1243" s="8"/>
      <c r="Q1243" s="8"/>
      <c r="R1243" s="8"/>
      <c r="S1243" s="8"/>
      <c r="T1243" s="8"/>
      <c r="U1243" s="8"/>
      <c r="V1243" s="8"/>
    </row>
    <row r="1244">
      <c r="A1244" s="8"/>
      <c r="B1244" s="11"/>
      <c r="C1244" s="8"/>
      <c r="D1244" s="8"/>
      <c r="E1244" s="8"/>
      <c r="F1244" s="8"/>
      <c r="G1244" s="10"/>
      <c r="H1244" s="8"/>
      <c r="I1244" s="8"/>
      <c r="J1244" s="8"/>
      <c r="K1244" s="8"/>
      <c r="L1244" s="8"/>
      <c r="M1244" s="8"/>
      <c r="N1244" s="8"/>
      <c r="O1244" s="8"/>
      <c r="P1244" s="8"/>
      <c r="Q1244" s="8"/>
      <c r="R1244" s="8"/>
      <c r="S1244" s="8"/>
      <c r="T1244" s="8"/>
      <c r="U1244" s="8"/>
      <c r="V1244" s="8"/>
    </row>
  </sheetData>
  <conditionalFormatting sqref="D128">
    <cfRule type="notContainsBlanks" dxfId="0" priority="1">
      <formula>LEN(TRIM(D128))&gt;0</formula>
    </cfRule>
  </conditionalFormatting>
  <conditionalFormatting sqref="D128">
    <cfRule type="notContainsBlanks" dxfId="1" priority="2">
      <formula>LEN(TRIM(D128))&gt;0</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6.25"/>
    <col customWidth="1" min="2" max="2" width="20.25"/>
    <col customWidth="1" hidden="1" min="3" max="3" width="16.63"/>
    <col customWidth="1" min="4" max="4" width="16.5"/>
    <col customWidth="1" min="5" max="5" width="24.88"/>
    <col customWidth="1" min="6" max="6" width="23.5"/>
    <col customWidth="1" hidden="1" min="7" max="7" width="30.25"/>
    <col customWidth="1" min="8" max="8" width="31.88"/>
    <col customWidth="1" min="9" max="9" width="37.75"/>
    <col customWidth="1" min="10" max="10" width="39.63"/>
    <col customWidth="1" min="11" max="11" width="55.63"/>
    <col customWidth="1" min="12" max="12" width="44.13"/>
    <col customWidth="1" min="13" max="13" width="23.88"/>
    <col customWidth="1" min="14" max="14" width="2.38"/>
  </cols>
  <sheetData>
    <row r="1">
      <c r="A1" s="26" t="s">
        <v>820</v>
      </c>
      <c r="B1" s="27" t="s">
        <v>303</v>
      </c>
      <c r="C1" s="28" t="s">
        <v>821</v>
      </c>
      <c r="D1" s="28" t="s">
        <v>822</v>
      </c>
      <c r="E1" s="28" t="s">
        <v>2</v>
      </c>
      <c r="F1" s="28" t="s">
        <v>304</v>
      </c>
      <c r="G1" s="28" t="s">
        <v>823</v>
      </c>
      <c r="H1" s="28" t="s">
        <v>3</v>
      </c>
      <c r="I1" s="28" t="s">
        <v>4</v>
      </c>
      <c r="J1" s="29" t="s">
        <v>824</v>
      </c>
      <c r="K1" s="28" t="s">
        <v>825</v>
      </c>
      <c r="L1" s="28" t="s">
        <v>6</v>
      </c>
      <c r="M1" s="28" t="s">
        <v>7</v>
      </c>
      <c r="N1" s="28"/>
    </row>
    <row r="2" ht="5.25" customHeight="1">
      <c r="A2" s="30"/>
      <c r="B2" s="31"/>
      <c r="C2" s="32"/>
      <c r="D2" s="32"/>
      <c r="E2" s="32"/>
      <c r="F2" s="32"/>
      <c r="G2" s="33"/>
      <c r="H2" s="33"/>
      <c r="I2" s="33"/>
      <c r="J2" s="34"/>
      <c r="K2" s="32"/>
      <c r="L2" s="32"/>
      <c r="M2" s="35"/>
      <c r="N2" s="36"/>
    </row>
    <row r="3">
      <c r="A3" s="37"/>
      <c r="B3" s="38" t="s">
        <v>826</v>
      </c>
      <c r="C3" s="39"/>
      <c r="D3" s="38" t="s">
        <v>827</v>
      </c>
      <c r="E3" s="38" t="s">
        <v>828</v>
      </c>
      <c r="F3" s="38" t="s">
        <v>826</v>
      </c>
      <c r="G3" s="38">
        <v>1.0</v>
      </c>
      <c r="H3" s="38" t="s">
        <v>829</v>
      </c>
      <c r="I3" s="38" t="s">
        <v>830</v>
      </c>
      <c r="J3" s="40" t="s">
        <v>831</v>
      </c>
      <c r="K3" s="38" t="s">
        <v>832</v>
      </c>
      <c r="L3" s="38" t="s">
        <v>833</v>
      </c>
      <c r="M3" s="38" t="s">
        <v>16</v>
      </c>
    </row>
    <row r="4">
      <c r="A4" s="37"/>
      <c r="B4" s="38" t="s">
        <v>246</v>
      </c>
      <c r="C4" s="39"/>
      <c r="D4" s="38" t="s">
        <v>827</v>
      </c>
      <c r="E4" s="38" t="s">
        <v>213</v>
      </c>
      <c r="F4" s="38" t="s">
        <v>89</v>
      </c>
      <c r="G4" s="38">
        <v>1.0</v>
      </c>
      <c r="H4" s="38" t="s">
        <v>834</v>
      </c>
      <c r="I4" s="38" t="s">
        <v>835</v>
      </c>
      <c r="J4" s="40" t="s">
        <v>247</v>
      </c>
      <c r="L4" s="38" t="s">
        <v>836</v>
      </c>
      <c r="M4" s="38" t="s">
        <v>95</v>
      </c>
    </row>
    <row r="5">
      <c r="A5" s="37"/>
      <c r="B5" s="38" t="s">
        <v>257</v>
      </c>
      <c r="C5" s="39"/>
      <c r="D5" s="38" t="s">
        <v>827</v>
      </c>
      <c r="E5" s="38" t="s">
        <v>213</v>
      </c>
      <c r="F5" s="38" t="s">
        <v>128</v>
      </c>
      <c r="G5" s="38">
        <v>1.0</v>
      </c>
      <c r="H5" s="38" t="s">
        <v>222</v>
      </c>
      <c r="I5" s="38" t="s">
        <v>835</v>
      </c>
      <c r="J5" s="40" t="s">
        <v>258</v>
      </c>
      <c r="K5" s="38" t="s">
        <v>9</v>
      </c>
      <c r="M5" s="38" t="s">
        <v>95</v>
      </c>
    </row>
    <row r="6">
      <c r="A6" s="37"/>
      <c r="B6" s="38" t="s">
        <v>837</v>
      </c>
      <c r="C6" s="39"/>
      <c r="D6" s="38" t="s">
        <v>827</v>
      </c>
      <c r="E6" s="38" t="s">
        <v>213</v>
      </c>
      <c r="F6" s="38" t="s">
        <v>19</v>
      </c>
      <c r="G6" s="38">
        <v>1.0</v>
      </c>
      <c r="H6" s="38" t="s">
        <v>222</v>
      </c>
      <c r="I6" s="38" t="s">
        <v>835</v>
      </c>
      <c r="J6" s="40" t="s">
        <v>838</v>
      </c>
      <c r="K6" s="38" t="s">
        <v>9</v>
      </c>
      <c r="M6" s="38" t="s">
        <v>95</v>
      </c>
    </row>
    <row r="7">
      <c r="A7" s="37"/>
      <c r="B7" s="38" t="s">
        <v>215</v>
      </c>
      <c r="C7" s="39"/>
      <c r="D7" s="38" t="s">
        <v>827</v>
      </c>
      <c r="E7" s="38" t="s">
        <v>213</v>
      </c>
      <c r="F7" s="38" t="s">
        <v>9</v>
      </c>
      <c r="G7" s="38">
        <v>1.0</v>
      </c>
      <c r="H7" s="38" t="s">
        <v>222</v>
      </c>
      <c r="I7" s="38" t="s">
        <v>839</v>
      </c>
      <c r="J7" s="40" t="s">
        <v>217</v>
      </c>
      <c r="K7" s="38" t="s">
        <v>9</v>
      </c>
      <c r="L7" s="38" t="s">
        <v>9</v>
      </c>
      <c r="M7" s="38" t="s">
        <v>95</v>
      </c>
    </row>
    <row r="8">
      <c r="A8" s="37"/>
      <c r="B8" s="38" t="s">
        <v>840</v>
      </c>
      <c r="C8" s="39"/>
      <c r="D8" s="38" t="s">
        <v>827</v>
      </c>
      <c r="E8" s="38" t="s">
        <v>841</v>
      </c>
      <c r="F8" s="38" t="s">
        <v>89</v>
      </c>
      <c r="G8" s="38">
        <v>1.0</v>
      </c>
      <c r="H8" s="38" t="s">
        <v>222</v>
      </c>
      <c r="I8" s="38" t="s">
        <v>842</v>
      </c>
      <c r="J8" s="40" t="s">
        <v>843</v>
      </c>
      <c r="K8" s="38" t="s">
        <v>9</v>
      </c>
      <c r="L8" s="38" t="s">
        <v>9</v>
      </c>
      <c r="M8" s="38" t="s">
        <v>95</v>
      </c>
    </row>
    <row r="9">
      <c r="A9" s="37"/>
      <c r="B9" s="38" t="s">
        <v>844</v>
      </c>
      <c r="C9" s="39"/>
      <c r="D9" s="38" t="s">
        <v>827</v>
      </c>
      <c r="E9" s="38" t="s">
        <v>376</v>
      </c>
      <c r="F9" s="38" t="s">
        <v>9</v>
      </c>
      <c r="G9" s="38">
        <v>1.0</v>
      </c>
      <c r="H9" s="38" t="s">
        <v>222</v>
      </c>
      <c r="I9" s="38" t="s">
        <v>842</v>
      </c>
      <c r="J9" s="40" t="s">
        <v>845</v>
      </c>
      <c r="K9" s="38" t="s">
        <v>9</v>
      </c>
      <c r="L9" s="38" t="s">
        <v>9</v>
      </c>
      <c r="M9" s="38" t="s">
        <v>95</v>
      </c>
    </row>
    <row r="10">
      <c r="A10" s="37"/>
      <c r="B10" s="38" t="s">
        <v>846</v>
      </c>
      <c r="C10" s="39"/>
      <c r="D10" s="38" t="s">
        <v>827</v>
      </c>
      <c r="E10" s="38" t="s">
        <v>376</v>
      </c>
      <c r="F10" s="12" t="s">
        <v>19</v>
      </c>
      <c r="G10" s="38">
        <v>1.0</v>
      </c>
      <c r="H10" s="38" t="s">
        <v>222</v>
      </c>
      <c r="I10" s="38" t="s">
        <v>842</v>
      </c>
      <c r="J10" s="40" t="s">
        <v>847</v>
      </c>
      <c r="K10" s="38" t="s">
        <v>9</v>
      </c>
      <c r="L10" s="38" t="s">
        <v>9</v>
      </c>
      <c r="M10" s="38" t="s">
        <v>95</v>
      </c>
    </row>
    <row r="11">
      <c r="A11" s="37"/>
      <c r="B11" s="38" t="s">
        <v>848</v>
      </c>
      <c r="C11" s="39"/>
      <c r="D11" s="38" t="s">
        <v>827</v>
      </c>
      <c r="E11" s="38" t="s">
        <v>376</v>
      </c>
      <c r="F11" s="38" t="s">
        <v>9</v>
      </c>
      <c r="G11" s="38">
        <v>1.0</v>
      </c>
      <c r="H11" s="38" t="s">
        <v>222</v>
      </c>
      <c r="I11" s="38" t="s">
        <v>842</v>
      </c>
      <c r="J11" s="40" t="s">
        <v>849</v>
      </c>
      <c r="K11" s="38" t="s">
        <v>9</v>
      </c>
      <c r="L11" s="38" t="s">
        <v>9</v>
      </c>
      <c r="M11" s="38" t="s">
        <v>95</v>
      </c>
    </row>
    <row r="12">
      <c r="A12" s="37"/>
      <c r="B12" s="38" t="s">
        <v>850</v>
      </c>
      <c r="C12" s="39"/>
      <c r="D12" s="38" t="s">
        <v>827</v>
      </c>
      <c r="E12" s="38" t="s">
        <v>524</v>
      </c>
      <c r="F12" s="38" t="s">
        <v>89</v>
      </c>
      <c r="G12" s="38">
        <v>1.0</v>
      </c>
      <c r="H12" s="38" t="s">
        <v>222</v>
      </c>
      <c r="I12" s="38" t="s">
        <v>537</v>
      </c>
      <c r="J12" s="41"/>
      <c r="K12" s="38" t="s">
        <v>9</v>
      </c>
      <c r="L12" s="38" t="s">
        <v>9</v>
      </c>
      <c r="M12" s="38" t="s">
        <v>95</v>
      </c>
    </row>
    <row r="13">
      <c r="A13" s="37"/>
      <c r="B13" s="38" t="s">
        <v>851</v>
      </c>
      <c r="C13" s="39"/>
      <c r="D13" s="38" t="s">
        <v>827</v>
      </c>
      <c r="E13" s="38" t="s">
        <v>524</v>
      </c>
      <c r="F13" s="38" t="s">
        <v>128</v>
      </c>
      <c r="G13" s="38">
        <v>1.0</v>
      </c>
      <c r="H13" s="38" t="s">
        <v>852</v>
      </c>
      <c r="I13" s="38" t="s">
        <v>524</v>
      </c>
      <c r="J13" s="41"/>
      <c r="K13" s="38" t="s">
        <v>9</v>
      </c>
      <c r="L13" s="38" t="s">
        <v>9</v>
      </c>
      <c r="M13" s="38" t="s">
        <v>95</v>
      </c>
    </row>
    <row r="14">
      <c r="A14" s="37"/>
      <c r="B14" s="38" t="s">
        <v>536</v>
      </c>
      <c r="C14" s="39"/>
      <c r="D14" s="38" t="s">
        <v>827</v>
      </c>
      <c r="E14" s="38" t="s">
        <v>537</v>
      </c>
      <c r="F14" s="12" t="s">
        <v>19</v>
      </c>
      <c r="G14" s="38">
        <v>1.0</v>
      </c>
      <c r="H14" s="38" t="s">
        <v>222</v>
      </c>
      <c r="I14" s="38" t="s">
        <v>524</v>
      </c>
      <c r="J14" s="41"/>
      <c r="K14" s="38" t="s">
        <v>9</v>
      </c>
      <c r="L14" s="38" t="s">
        <v>9</v>
      </c>
      <c r="M14" s="38" t="s">
        <v>95</v>
      </c>
    </row>
    <row r="15">
      <c r="A15" s="37"/>
      <c r="B15" s="38" t="s">
        <v>853</v>
      </c>
      <c r="C15" s="39"/>
      <c r="D15" s="38" t="s">
        <v>827</v>
      </c>
      <c r="E15" s="38" t="s">
        <v>537</v>
      </c>
      <c r="F15" s="38" t="s">
        <v>9</v>
      </c>
      <c r="G15" s="38">
        <v>1.0</v>
      </c>
      <c r="H15" s="38" t="s">
        <v>852</v>
      </c>
      <c r="I15" s="38" t="s">
        <v>524</v>
      </c>
      <c r="J15" s="41"/>
      <c r="K15" s="38" t="s">
        <v>9</v>
      </c>
      <c r="L15" s="38" t="s">
        <v>9</v>
      </c>
      <c r="M15" s="38" t="s">
        <v>95</v>
      </c>
    </row>
    <row r="16">
      <c r="A16" s="37"/>
      <c r="B16" s="38" t="s">
        <v>185</v>
      </c>
      <c r="C16" s="39"/>
      <c r="D16" s="38" t="s">
        <v>827</v>
      </c>
      <c r="E16" s="38" t="s">
        <v>158</v>
      </c>
      <c r="F16" s="38" t="s">
        <v>89</v>
      </c>
      <c r="G16" s="38">
        <v>1.0</v>
      </c>
      <c r="H16" s="38" t="s">
        <v>852</v>
      </c>
      <c r="I16" s="38" t="s">
        <v>159</v>
      </c>
      <c r="J16" s="40" t="s">
        <v>186</v>
      </c>
      <c r="K16" s="38" t="s">
        <v>9</v>
      </c>
      <c r="L16" s="38" t="s">
        <v>854</v>
      </c>
      <c r="M16" s="38" t="s">
        <v>95</v>
      </c>
    </row>
    <row r="17">
      <c r="A17" s="37"/>
      <c r="B17" s="38" t="s">
        <v>164</v>
      </c>
      <c r="C17" s="39"/>
      <c r="D17" s="38" t="s">
        <v>827</v>
      </c>
      <c r="E17" s="38" t="s">
        <v>158</v>
      </c>
      <c r="F17" s="38" t="s">
        <v>855</v>
      </c>
      <c r="G17" s="38">
        <v>1.0</v>
      </c>
      <c r="H17" s="38" t="s">
        <v>856</v>
      </c>
      <c r="I17" s="38" t="s">
        <v>857</v>
      </c>
      <c r="J17" s="40" t="s">
        <v>858</v>
      </c>
      <c r="K17" s="38" t="s">
        <v>9</v>
      </c>
      <c r="L17" s="38" t="s">
        <v>859</v>
      </c>
      <c r="M17" s="38" t="s">
        <v>52</v>
      </c>
    </row>
    <row r="18">
      <c r="A18" s="37"/>
      <c r="B18" s="38" t="s">
        <v>191</v>
      </c>
      <c r="C18" s="39"/>
      <c r="D18" s="38" t="s">
        <v>827</v>
      </c>
      <c r="E18" s="38" t="s">
        <v>828</v>
      </c>
      <c r="F18" s="38" t="s">
        <v>9</v>
      </c>
      <c r="G18" s="38">
        <v>1.0</v>
      </c>
      <c r="H18" s="38" t="s">
        <v>852</v>
      </c>
      <c r="I18" s="38" t="s">
        <v>860</v>
      </c>
      <c r="J18" s="40" t="s">
        <v>192</v>
      </c>
      <c r="K18" s="38" t="s">
        <v>9</v>
      </c>
      <c r="L18" s="38" t="s">
        <v>9</v>
      </c>
      <c r="M18" s="38" t="s">
        <v>95</v>
      </c>
    </row>
    <row r="19">
      <c r="A19" s="37"/>
      <c r="B19" s="38" t="s">
        <v>161</v>
      </c>
      <c r="C19" s="39"/>
      <c r="D19" s="38" t="s">
        <v>827</v>
      </c>
      <c r="E19" s="38" t="s">
        <v>828</v>
      </c>
      <c r="F19" s="38" t="s">
        <v>9</v>
      </c>
      <c r="G19" s="38">
        <v>1.0</v>
      </c>
      <c r="H19" s="38" t="s">
        <v>222</v>
      </c>
      <c r="I19" s="38" t="s">
        <v>860</v>
      </c>
      <c r="J19" s="40" t="s">
        <v>162</v>
      </c>
      <c r="K19" s="38" t="s">
        <v>9</v>
      </c>
      <c r="L19" s="38" t="s">
        <v>9</v>
      </c>
      <c r="M19" s="38" t="s">
        <v>95</v>
      </c>
    </row>
    <row r="20">
      <c r="A20" s="37"/>
      <c r="B20" s="38" t="s">
        <v>861</v>
      </c>
      <c r="C20" s="39"/>
      <c r="D20" s="38" t="s">
        <v>827</v>
      </c>
      <c r="E20" s="38" t="s">
        <v>862</v>
      </c>
      <c r="F20" s="38" t="s">
        <v>9</v>
      </c>
      <c r="G20" s="38">
        <v>1.0</v>
      </c>
      <c r="H20" s="38" t="s">
        <v>852</v>
      </c>
      <c r="I20" s="38" t="s">
        <v>863</v>
      </c>
      <c r="J20" s="40" t="s">
        <v>9</v>
      </c>
      <c r="K20" s="38" t="s">
        <v>9</v>
      </c>
      <c r="L20" s="38" t="s">
        <v>9</v>
      </c>
      <c r="M20" s="38" t="s">
        <v>95</v>
      </c>
    </row>
    <row r="21">
      <c r="A21" s="37"/>
      <c r="B21" s="38" t="s">
        <v>864</v>
      </c>
      <c r="C21" s="39"/>
      <c r="D21" s="38" t="s">
        <v>827</v>
      </c>
      <c r="E21" s="38" t="s">
        <v>865</v>
      </c>
      <c r="F21" s="38" t="s">
        <v>128</v>
      </c>
      <c r="G21" s="38">
        <v>1.0</v>
      </c>
      <c r="H21" s="38" t="s">
        <v>852</v>
      </c>
      <c r="I21" s="38" t="s">
        <v>865</v>
      </c>
      <c r="J21" s="40" t="s">
        <v>866</v>
      </c>
      <c r="K21" s="38" t="s">
        <v>9</v>
      </c>
      <c r="L21" s="38" t="s">
        <v>9</v>
      </c>
      <c r="M21" s="38" t="s">
        <v>95</v>
      </c>
    </row>
    <row r="22">
      <c r="A22" s="37"/>
      <c r="B22" s="38" t="s">
        <v>867</v>
      </c>
      <c r="C22" s="39"/>
      <c r="D22" s="38" t="s">
        <v>827</v>
      </c>
      <c r="E22" s="38" t="s">
        <v>868</v>
      </c>
      <c r="F22" s="38" t="s">
        <v>9</v>
      </c>
      <c r="G22" s="38">
        <v>1.0</v>
      </c>
      <c r="H22" s="38" t="s">
        <v>852</v>
      </c>
      <c r="I22" s="38" t="s">
        <v>869</v>
      </c>
      <c r="J22" s="40" t="s">
        <v>9</v>
      </c>
      <c r="K22" s="38" t="s">
        <v>9</v>
      </c>
      <c r="L22" s="38" t="s">
        <v>9</v>
      </c>
      <c r="M22" s="38" t="s">
        <v>870</v>
      </c>
    </row>
    <row r="23">
      <c r="A23" s="37"/>
      <c r="B23" s="38" t="s">
        <v>871</v>
      </c>
      <c r="C23" s="39"/>
      <c r="D23" s="38" t="s">
        <v>827</v>
      </c>
      <c r="E23" s="38" t="s">
        <v>868</v>
      </c>
      <c r="F23" s="38" t="s">
        <v>9</v>
      </c>
      <c r="G23" s="38">
        <v>1.0</v>
      </c>
      <c r="H23" s="38" t="s">
        <v>222</v>
      </c>
      <c r="I23" s="38" t="s">
        <v>869</v>
      </c>
      <c r="J23" s="40" t="s">
        <v>9</v>
      </c>
      <c r="K23" s="38" t="s">
        <v>9</v>
      </c>
      <c r="L23" s="38" t="s">
        <v>9</v>
      </c>
      <c r="M23" s="38" t="s">
        <v>870</v>
      </c>
    </row>
    <row r="24">
      <c r="A24" s="37"/>
      <c r="B24" s="38" t="s">
        <v>872</v>
      </c>
      <c r="C24" s="39"/>
      <c r="D24" s="38" t="s">
        <v>827</v>
      </c>
      <c r="E24" s="38" t="s">
        <v>869</v>
      </c>
      <c r="F24" s="38" t="s">
        <v>9</v>
      </c>
      <c r="G24" s="38">
        <v>1.0</v>
      </c>
      <c r="H24" s="38" t="s">
        <v>852</v>
      </c>
      <c r="I24" s="38" t="s">
        <v>869</v>
      </c>
      <c r="J24" s="40" t="s">
        <v>9</v>
      </c>
      <c r="K24" s="38" t="s">
        <v>9</v>
      </c>
      <c r="L24" s="38" t="s">
        <v>9</v>
      </c>
      <c r="M24" s="38" t="s">
        <v>870</v>
      </c>
    </row>
    <row r="25">
      <c r="A25" s="37"/>
      <c r="B25" s="38" t="s">
        <v>873</v>
      </c>
      <c r="C25" s="39"/>
      <c r="D25" s="38" t="s">
        <v>827</v>
      </c>
      <c r="E25" s="38" t="s">
        <v>874</v>
      </c>
      <c r="F25" s="38" t="s">
        <v>9</v>
      </c>
      <c r="G25" s="38">
        <v>1.0</v>
      </c>
      <c r="H25" s="38" t="s">
        <v>852</v>
      </c>
      <c r="I25" s="38" t="s">
        <v>869</v>
      </c>
      <c r="J25" s="40" t="s">
        <v>9</v>
      </c>
      <c r="K25" s="38" t="s">
        <v>9</v>
      </c>
      <c r="L25" s="38" t="s">
        <v>9</v>
      </c>
      <c r="M25" s="38" t="s">
        <v>870</v>
      </c>
    </row>
    <row r="26">
      <c r="A26" s="37"/>
      <c r="B26" s="38" t="s">
        <v>875</v>
      </c>
      <c r="C26" s="39"/>
      <c r="D26" s="38" t="s">
        <v>827</v>
      </c>
      <c r="E26" s="38" t="s">
        <v>869</v>
      </c>
      <c r="F26" s="38" t="s">
        <v>9</v>
      </c>
      <c r="G26" s="38">
        <v>1.0</v>
      </c>
      <c r="H26" s="38" t="s">
        <v>852</v>
      </c>
      <c r="I26" s="38" t="s">
        <v>869</v>
      </c>
      <c r="J26" s="40" t="s">
        <v>9</v>
      </c>
      <c r="K26" s="38" t="s">
        <v>9</v>
      </c>
      <c r="L26" s="38" t="s">
        <v>9</v>
      </c>
      <c r="M26" s="38" t="s">
        <v>870</v>
      </c>
    </row>
    <row r="27">
      <c r="A27" s="37"/>
      <c r="B27" s="38" t="s">
        <v>876</v>
      </c>
      <c r="C27" s="39"/>
      <c r="D27" s="38" t="s">
        <v>827</v>
      </c>
      <c r="E27" s="38" t="s">
        <v>877</v>
      </c>
      <c r="F27" s="38" t="s">
        <v>9</v>
      </c>
      <c r="G27" s="38">
        <v>1.0</v>
      </c>
      <c r="H27" s="38" t="s">
        <v>852</v>
      </c>
      <c r="I27" s="38" t="s">
        <v>877</v>
      </c>
      <c r="J27" s="40" t="s">
        <v>9</v>
      </c>
      <c r="K27" s="38" t="s">
        <v>9</v>
      </c>
      <c r="L27" s="38" t="s">
        <v>9</v>
      </c>
      <c r="M27" s="38" t="s">
        <v>878</v>
      </c>
    </row>
    <row r="28">
      <c r="A28" s="37"/>
      <c r="B28" s="38" t="s">
        <v>879</v>
      </c>
      <c r="C28" s="39"/>
      <c r="D28" s="38" t="s">
        <v>827</v>
      </c>
      <c r="E28" s="38" t="s">
        <v>880</v>
      </c>
      <c r="F28" s="38" t="s">
        <v>9</v>
      </c>
      <c r="G28" s="38">
        <v>2.0</v>
      </c>
      <c r="H28" s="38" t="s">
        <v>852</v>
      </c>
      <c r="I28" s="38" t="s">
        <v>880</v>
      </c>
      <c r="J28" s="40" t="s">
        <v>9</v>
      </c>
      <c r="K28" s="38" t="s">
        <v>9</v>
      </c>
      <c r="L28" s="38" t="s">
        <v>9</v>
      </c>
      <c r="M28" s="38" t="s">
        <v>95</v>
      </c>
    </row>
    <row r="29">
      <c r="A29" s="32"/>
      <c r="B29" s="31" t="s">
        <v>881</v>
      </c>
      <c r="C29" s="42"/>
      <c r="D29" s="43"/>
      <c r="E29" s="42"/>
      <c r="F29" s="42"/>
      <c r="G29" s="42"/>
      <c r="H29" s="42"/>
      <c r="I29" s="32"/>
      <c r="J29" s="43"/>
      <c r="K29" s="32"/>
      <c r="L29" s="32"/>
      <c r="M29" s="42"/>
      <c r="N29" s="44"/>
    </row>
    <row r="30">
      <c r="A30" s="32"/>
      <c r="B30" s="31" t="s">
        <v>882</v>
      </c>
      <c r="C30" s="42" t="str">
        <f>IF(B:B='Check in'!B:B,"Usable",IF('Check in'!D:D="Good Condition","Usable","Not Usable"))</f>
        <v>Not Usable</v>
      </c>
      <c r="D30" s="43">
        <v>5.7253337E7</v>
      </c>
      <c r="E30" s="42" t="s">
        <v>883</v>
      </c>
      <c r="F30" s="42" t="s">
        <v>884</v>
      </c>
      <c r="G30" s="42">
        <v>1.0</v>
      </c>
      <c r="H30" s="42" t="s">
        <v>885</v>
      </c>
      <c r="I30" s="32"/>
      <c r="J30" s="43">
        <v>3.59137090447944E14</v>
      </c>
      <c r="K30" s="32"/>
      <c r="L30" s="32"/>
      <c r="M30" s="42" t="s">
        <v>878</v>
      </c>
      <c r="N30" s="44"/>
    </row>
    <row r="31" ht="25.5" customHeight="1">
      <c r="A31" s="30"/>
      <c r="B31" s="38" t="s">
        <v>886</v>
      </c>
      <c r="C31" s="42" t="str">
        <f>IF(B:B='Check in'!B:B,"Usable",IF('Check in'!D:D="Good Condition","Usable","Not Usable"))</f>
        <v>Not Usable</v>
      </c>
      <c r="D31" s="42">
        <v>5.7755403E7</v>
      </c>
      <c r="E31" s="42" t="s">
        <v>883</v>
      </c>
      <c r="F31" s="42" t="s">
        <v>419</v>
      </c>
      <c r="G31" s="42">
        <v>1.0</v>
      </c>
      <c r="H31" s="42" t="s">
        <v>612</v>
      </c>
      <c r="I31" s="33"/>
      <c r="J31" s="45">
        <v>3.59137090448892E14</v>
      </c>
      <c r="K31" s="32"/>
      <c r="L31" s="42" t="s">
        <v>841</v>
      </c>
      <c r="M31" s="42" t="s">
        <v>52</v>
      </c>
      <c r="N31" s="44"/>
    </row>
    <row r="32" ht="26.25" customHeight="1">
      <c r="A32" s="32"/>
      <c r="B32" s="46" t="s">
        <v>887</v>
      </c>
      <c r="C32" s="42" t="str">
        <f>IF(AND('Check in'!B:B=B32,'Check in'!D:D="Good Condition"),"Not Usable","Usable")</f>
        <v>Usable</v>
      </c>
      <c r="D32" s="47">
        <v>5.0002953E7</v>
      </c>
      <c r="E32" s="42" t="s">
        <v>883</v>
      </c>
      <c r="F32" s="42" t="s">
        <v>888</v>
      </c>
      <c r="G32" s="42">
        <v>1.0</v>
      </c>
      <c r="H32" s="42" t="s">
        <v>889</v>
      </c>
      <c r="I32" s="32"/>
      <c r="J32" s="47">
        <v>3.57441100338545E14</v>
      </c>
      <c r="K32" s="32"/>
      <c r="L32" s="32"/>
      <c r="M32" s="42" t="s">
        <v>878</v>
      </c>
      <c r="N32" s="44"/>
    </row>
    <row r="33" ht="26.25" customHeight="1">
      <c r="A33" s="32"/>
      <c r="B33" s="46" t="s">
        <v>890</v>
      </c>
      <c r="C33" s="42" t="str">
        <f>IF(AND('Check in'!B:B=B33,'Check in'!D:D="Good Condition"),"Not Usable","Usable")</f>
        <v>Usable</v>
      </c>
      <c r="D33" s="47">
        <v>5.7517692E7</v>
      </c>
      <c r="E33" s="42" t="s">
        <v>883</v>
      </c>
      <c r="F33" s="42" t="s">
        <v>888</v>
      </c>
      <c r="G33" s="42">
        <v>1.0</v>
      </c>
      <c r="H33" s="46" t="s">
        <v>890</v>
      </c>
      <c r="I33" s="32"/>
      <c r="J33" s="47">
        <v>3.57441100288138E14</v>
      </c>
      <c r="K33" s="32"/>
      <c r="L33" s="32"/>
      <c r="M33" s="42" t="s">
        <v>878</v>
      </c>
      <c r="N33" s="44"/>
    </row>
    <row r="34" ht="26.25" customHeight="1">
      <c r="A34" s="32"/>
      <c r="B34" s="46" t="s">
        <v>891</v>
      </c>
      <c r="C34" s="42" t="str">
        <f>IF(AND('Check in'!B:B=B34,'Check in'!D:D="Good Condition"),"Not Usable","Usable")</f>
        <v>Usable</v>
      </c>
      <c r="D34" s="47">
        <v>5.0329017E7</v>
      </c>
      <c r="E34" s="42" t="s">
        <v>883</v>
      </c>
      <c r="F34" s="42" t="s">
        <v>892</v>
      </c>
      <c r="G34" s="42">
        <v>1.0</v>
      </c>
      <c r="H34" s="42" t="s">
        <v>893</v>
      </c>
      <c r="I34" s="42" t="s">
        <v>894</v>
      </c>
      <c r="J34" s="47">
        <v>8.67173041276079E14</v>
      </c>
      <c r="K34" s="32"/>
      <c r="L34" s="32"/>
      <c r="M34" s="42" t="s">
        <v>144</v>
      </c>
      <c r="N34" s="44"/>
    </row>
    <row r="35" ht="26.25" customHeight="1">
      <c r="A35" s="32"/>
      <c r="B35" s="46" t="s">
        <v>895</v>
      </c>
      <c r="C35" s="42" t="str">
        <f>IF(AND('Check in'!B:B=B35,'Check in'!D:D="Good Condition"),"Not Usable","Usable")</f>
        <v>Usable</v>
      </c>
      <c r="D35" s="47">
        <v>6.355795E7</v>
      </c>
      <c r="E35" s="42" t="s">
        <v>883</v>
      </c>
      <c r="F35" s="42" t="s">
        <v>896</v>
      </c>
      <c r="G35" s="42">
        <v>1.0</v>
      </c>
      <c r="H35" s="42" t="s">
        <v>219</v>
      </c>
      <c r="I35" s="32"/>
      <c r="J35" s="47">
        <v>8.64931055950225E14</v>
      </c>
      <c r="K35" s="32"/>
      <c r="L35" s="32"/>
      <c r="M35" s="32"/>
      <c r="N35" s="48"/>
    </row>
    <row r="36" ht="26.25" customHeight="1">
      <c r="A36" s="32"/>
      <c r="B36" s="46" t="s">
        <v>897</v>
      </c>
      <c r="C36" s="42" t="str">
        <f>IF(AND('Check in'!B:B=B36,'Check in'!D:D="Good Condition"),"Usable","Not Usable")</f>
        <v>Not Usable</v>
      </c>
      <c r="D36" s="47">
        <v>5.9436506E7</v>
      </c>
      <c r="E36" s="42" t="s">
        <v>883</v>
      </c>
      <c r="F36" s="42" t="s">
        <v>596</v>
      </c>
      <c r="G36" s="42">
        <v>1.0</v>
      </c>
      <c r="H36" s="46" t="s">
        <v>897</v>
      </c>
      <c r="I36" s="32"/>
      <c r="J36" s="47">
        <v>3.55622107185433E14</v>
      </c>
      <c r="K36" s="32"/>
      <c r="L36" s="32"/>
      <c r="M36" s="42" t="s">
        <v>316</v>
      </c>
      <c r="N36" s="48"/>
    </row>
    <row r="37" ht="42.75" customHeight="1">
      <c r="A37" s="32"/>
      <c r="B37" s="46" t="s">
        <v>898</v>
      </c>
      <c r="C37" s="42" t="str">
        <f>IF(AND('Check in'!B:B=B37,'Check in'!D:D="Good Condition"),"Usable","Not Usable")</f>
        <v>Not Usable</v>
      </c>
      <c r="D37" s="47">
        <v>5.6434364E7</v>
      </c>
      <c r="E37" s="42" t="s">
        <v>883</v>
      </c>
      <c r="F37" s="42" t="s">
        <v>899</v>
      </c>
      <c r="G37" s="42">
        <v>1.0</v>
      </c>
      <c r="H37" s="42" t="s">
        <v>219</v>
      </c>
      <c r="I37" s="42" t="s">
        <v>900</v>
      </c>
      <c r="J37" s="47">
        <v>3.57441100355838E14</v>
      </c>
      <c r="K37" s="32"/>
      <c r="L37" s="32"/>
      <c r="M37" s="42" t="s">
        <v>35</v>
      </c>
      <c r="N37" s="44"/>
    </row>
    <row r="38" ht="26.25" customHeight="1">
      <c r="A38" s="32"/>
      <c r="B38" s="46" t="s">
        <v>901</v>
      </c>
      <c r="C38" s="42" t="s">
        <v>902</v>
      </c>
      <c r="D38" s="47">
        <v>5.8488198E7</v>
      </c>
      <c r="E38" s="42" t="s">
        <v>883</v>
      </c>
      <c r="F38" s="42" t="s">
        <v>888</v>
      </c>
      <c r="G38" s="42">
        <v>1.0</v>
      </c>
      <c r="H38" s="46" t="s">
        <v>901</v>
      </c>
      <c r="I38" s="32"/>
      <c r="J38" s="47">
        <v>3.57441100356166E14</v>
      </c>
      <c r="K38" s="32"/>
      <c r="L38" s="32"/>
      <c r="M38" s="32"/>
      <c r="N38" s="48"/>
    </row>
    <row r="39" ht="26.25" customHeight="1">
      <c r="A39" s="32"/>
      <c r="B39" s="46" t="s">
        <v>903</v>
      </c>
      <c r="C39" s="42" t="str">
        <f>IF(AND('Check in'!B:B=B39,'Check in'!D:D="Good Condition"),"Usable","Not Usable")</f>
        <v>Not Usable</v>
      </c>
      <c r="D39" s="47">
        <v>5.6660005E7</v>
      </c>
      <c r="E39" s="42" t="s">
        <v>883</v>
      </c>
      <c r="F39" s="42" t="s">
        <v>904</v>
      </c>
      <c r="G39" s="42">
        <v>1.0</v>
      </c>
      <c r="H39" s="46" t="s">
        <v>903</v>
      </c>
      <c r="I39" s="32"/>
      <c r="J39" s="47">
        <v>3.58846169697376E14</v>
      </c>
      <c r="K39" s="32"/>
      <c r="L39" s="32"/>
      <c r="M39" s="42" t="s">
        <v>878</v>
      </c>
      <c r="N39" s="44"/>
    </row>
    <row r="40" ht="26.25" customHeight="1">
      <c r="A40" s="32"/>
      <c r="B40" s="46" t="s">
        <v>905</v>
      </c>
      <c r="C40" s="42" t="str">
        <f>IF(AND('Check in'!B:B=B40,'Check in'!D:D="Good Condition"),"Usable","Not Usable")</f>
        <v>Not Usable</v>
      </c>
      <c r="D40" s="47">
        <v>5.8757576E7</v>
      </c>
      <c r="E40" s="42" t="s">
        <v>883</v>
      </c>
      <c r="F40" s="42" t="s">
        <v>904</v>
      </c>
      <c r="G40" s="42">
        <v>1.0</v>
      </c>
      <c r="H40" s="42" t="s">
        <v>219</v>
      </c>
      <c r="I40" s="32"/>
      <c r="J40" s="47" t="s">
        <v>906</v>
      </c>
      <c r="K40" s="32"/>
      <c r="L40" s="32"/>
      <c r="M40" s="42" t="s">
        <v>878</v>
      </c>
      <c r="N40" s="44"/>
    </row>
    <row r="41" ht="26.25" customHeight="1">
      <c r="A41" s="32"/>
      <c r="B41" s="46" t="s">
        <v>907</v>
      </c>
      <c r="C41" s="42" t="str">
        <f>IF(AND('Check in'!B:B=B41,'Check in'!D:D="Good Condition"),"Usable","Not Usable")</f>
        <v>Not Usable</v>
      </c>
      <c r="D41" s="47">
        <v>5.8342168E7</v>
      </c>
      <c r="E41" s="42" t="s">
        <v>883</v>
      </c>
      <c r="F41" s="42" t="s">
        <v>893</v>
      </c>
      <c r="G41" s="42">
        <v>1.0</v>
      </c>
      <c r="H41" s="42" t="s">
        <v>893</v>
      </c>
      <c r="I41" s="32"/>
      <c r="J41" s="47">
        <v>5.1100824000708E14</v>
      </c>
      <c r="K41" s="32"/>
      <c r="L41" s="32"/>
      <c r="M41" s="32"/>
      <c r="N41" s="48"/>
    </row>
    <row r="42" ht="26.25" customHeight="1">
      <c r="A42" s="32"/>
      <c r="B42" s="46"/>
      <c r="C42" s="42" t="s">
        <v>908</v>
      </c>
      <c r="D42" s="47">
        <v>5.8808402E7</v>
      </c>
      <c r="E42" s="42" t="s">
        <v>883</v>
      </c>
      <c r="F42" s="42" t="s">
        <v>382</v>
      </c>
      <c r="G42" s="42">
        <v>1.0</v>
      </c>
      <c r="H42" s="42" t="s">
        <v>909</v>
      </c>
      <c r="I42" s="42" t="s">
        <v>910</v>
      </c>
      <c r="J42" s="47" t="s">
        <v>911</v>
      </c>
      <c r="K42" s="32"/>
      <c r="L42" s="32"/>
      <c r="M42" s="42" t="s">
        <v>909</v>
      </c>
      <c r="N42" s="48"/>
    </row>
    <row r="43">
      <c r="A43" s="32"/>
      <c r="B43" s="46" t="s">
        <v>912</v>
      </c>
      <c r="C43" s="42" t="str">
        <f>IF(AND('Check in'!B:B=B43,'Check in'!D:D="Good Condition"),"Usable","Not Usable")</f>
        <v>Not Usable</v>
      </c>
      <c r="D43" s="47">
        <v>5.6601825E7</v>
      </c>
      <c r="E43" s="42" t="s">
        <v>883</v>
      </c>
      <c r="F43" s="42" t="s">
        <v>415</v>
      </c>
      <c r="G43" s="42">
        <v>1.0</v>
      </c>
      <c r="H43" s="42" t="s">
        <v>913</v>
      </c>
      <c r="I43" s="42" t="s">
        <v>894</v>
      </c>
      <c r="J43" s="47">
        <v>3.51813381603563E14</v>
      </c>
      <c r="K43" s="42" t="s">
        <v>914</v>
      </c>
      <c r="L43" s="42" t="s">
        <v>915</v>
      </c>
      <c r="M43" s="42" t="s">
        <v>916</v>
      </c>
      <c r="N43" s="44"/>
    </row>
    <row r="44">
      <c r="A44" s="32"/>
      <c r="B44" s="46" t="s">
        <v>917</v>
      </c>
      <c r="C44" s="42" t="str">
        <f>IF(AND('Check in'!B:B=B44,'Check in'!D:D="Good Condition"),"Usable","Not Usable")</f>
        <v>Not Usable</v>
      </c>
      <c r="D44" s="49" t="s">
        <v>918</v>
      </c>
      <c r="E44" s="42" t="s">
        <v>883</v>
      </c>
      <c r="F44" s="42" t="s">
        <v>417</v>
      </c>
      <c r="G44" s="42">
        <v>1.0</v>
      </c>
      <c r="H44" s="42" t="s">
        <v>913</v>
      </c>
      <c r="I44" s="42" t="s">
        <v>894</v>
      </c>
      <c r="J44" s="47">
        <v>3.51813381607432E14</v>
      </c>
      <c r="K44" s="42" t="s">
        <v>914</v>
      </c>
      <c r="L44" s="42" t="s">
        <v>915</v>
      </c>
      <c r="M44" s="42" t="s">
        <v>916</v>
      </c>
      <c r="N44" s="44"/>
    </row>
    <row r="45">
      <c r="A45" s="32"/>
      <c r="B45" s="46" t="s">
        <v>919</v>
      </c>
      <c r="C45" s="42" t="str">
        <f>IF(AND('Check in'!B:B=B45,'Check in'!D:D="Good Condition"),"Usable","Not Usable")</f>
        <v>Not Usable</v>
      </c>
      <c r="D45" s="49" t="s">
        <v>920</v>
      </c>
      <c r="E45" s="42" t="s">
        <v>883</v>
      </c>
      <c r="F45" s="42" t="s">
        <v>419</v>
      </c>
      <c r="G45" s="42">
        <v>1.0</v>
      </c>
      <c r="H45" s="42" t="s">
        <v>921</v>
      </c>
      <c r="I45" s="42" t="s">
        <v>894</v>
      </c>
      <c r="J45" s="47">
        <v>3.51813381636993E14</v>
      </c>
      <c r="K45" s="42" t="s">
        <v>914</v>
      </c>
      <c r="L45" s="42" t="s">
        <v>922</v>
      </c>
      <c r="M45" s="42" t="s">
        <v>916</v>
      </c>
      <c r="N45" s="44"/>
    </row>
    <row r="46">
      <c r="A46" s="32"/>
      <c r="B46" s="46" t="s">
        <v>923</v>
      </c>
      <c r="C46" s="42" t="str">
        <f>IF(AND('Check in'!B:B=B46,'Check in'!D:D="Good Condition"),"Usable","Not Usable")</f>
        <v>Not Usable</v>
      </c>
      <c r="D46" s="49" t="s">
        <v>924</v>
      </c>
      <c r="E46" s="42" t="s">
        <v>883</v>
      </c>
      <c r="F46" s="42" t="s">
        <v>415</v>
      </c>
      <c r="G46" s="42">
        <v>1.0</v>
      </c>
      <c r="H46" s="42" t="s">
        <v>925</v>
      </c>
      <c r="I46" s="42" t="s">
        <v>894</v>
      </c>
      <c r="J46" s="47">
        <v>3.51813381605006E14</v>
      </c>
      <c r="K46" s="42" t="s">
        <v>914</v>
      </c>
      <c r="L46" s="42" t="s">
        <v>926</v>
      </c>
      <c r="M46" s="42" t="s">
        <v>916</v>
      </c>
      <c r="N46" s="44"/>
    </row>
    <row r="47">
      <c r="A47" s="32"/>
      <c r="B47" s="46" t="s">
        <v>927</v>
      </c>
      <c r="C47" s="42" t="str">
        <f>IF(AND('Check in'!B:B=B47,'Check in'!D:D="Good Condition"),"Usable","Not Usable")</f>
        <v>Not Usable</v>
      </c>
      <c r="D47" s="49" t="s">
        <v>928</v>
      </c>
      <c r="E47" s="42" t="s">
        <v>883</v>
      </c>
      <c r="F47" s="42" t="s">
        <v>415</v>
      </c>
      <c r="G47" s="42">
        <v>1.0</v>
      </c>
      <c r="H47" s="42" t="s">
        <v>929</v>
      </c>
      <c r="I47" s="42" t="s">
        <v>894</v>
      </c>
      <c r="J47" s="47">
        <v>3.51813381595207E14</v>
      </c>
      <c r="K47" s="42" t="s">
        <v>914</v>
      </c>
      <c r="L47" s="42" t="s">
        <v>926</v>
      </c>
      <c r="M47" s="42" t="s">
        <v>916</v>
      </c>
      <c r="N47" s="44"/>
    </row>
    <row r="48">
      <c r="A48" s="32"/>
      <c r="B48" s="46" t="s">
        <v>930</v>
      </c>
      <c r="C48" s="42" t="str">
        <f>IF(AND('Check in'!B:B=B48,'Check in'!D:D="Good Condition"),"Usable","Not Usable")</f>
        <v>Not Usable</v>
      </c>
      <c r="D48" s="49" t="s">
        <v>931</v>
      </c>
      <c r="E48" s="42" t="s">
        <v>883</v>
      </c>
      <c r="F48" s="42" t="s">
        <v>415</v>
      </c>
      <c r="G48" s="42">
        <v>1.0</v>
      </c>
      <c r="H48" s="42" t="s">
        <v>932</v>
      </c>
      <c r="I48" s="42" t="s">
        <v>894</v>
      </c>
      <c r="J48" s="47">
        <v>3.51813381626242E14</v>
      </c>
      <c r="K48" s="42" t="s">
        <v>914</v>
      </c>
      <c r="L48" s="42" t="s">
        <v>922</v>
      </c>
      <c r="M48" s="42" t="s">
        <v>916</v>
      </c>
      <c r="N48" s="44"/>
    </row>
    <row r="49">
      <c r="A49" s="32"/>
      <c r="B49" s="46" t="s">
        <v>933</v>
      </c>
      <c r="C49" s="42" t="str">
        <f>IF(AND('Check in'!B:B=B49,'Check in'!D:D="Good Condition"),"Usable","Not Usable")</f>
        <v>Not Usable</v>
      </c>
      <c r="D49" s="49" t="s">
        <v>934</v>
      </c>
      <c r="E49" s="42" t="s">
        <v>883</v>
      </c>
      <c r="F49" s="42" t="s">
        <v>415</v>
      </c>
      <c r="G49" s="42">
        <v>1.0</v>
      </c>
      <c r="H49" s="42" t="s">
        <v>935</v>
      </c>
      <c r="I49" s="42" t="s">
        <v>894</v>
      </c>
      <c r="J49" s="47">
        <v>3.51813381603698E14</v>
      </c>
      <c r="K49" s="42" t="s">
        <v>914</v>
      </c>
      <c r="L49" s="42" t="s">
        <v>926</v>
      </c>
      <c r="M49" s="42" t="s">
        <v>916</v>
      </c>
      <c r="N49" s="44"/>
    </row>
    <row r="50">
      <c r="A50" s="32"/>
      <c r="B50" s="46" t="s">
        <v>936</v>
      </c>
      <c r="C50" s="42" t="str">
        <f>IF(AND('Check in'!B:B=B50,'Check in'!D:D="Good Condition"),"Usable","Not Usable")</f>
        <v>Not Usable</v>
      </c>
      <c r="D50" s="49" t="s">
        <v>937</v>
      </c>
      <c r="E50" s="42" t="s">
        <v>883</v>
      </c>
      <c r="F50" s="42" t="s">
        <v>415</v>
      </c>
      <c r="G50" s="42">
        <v>1.0</v>
      </c>
      <c r="H50" s="42" t="s">
        <v>938</v>
      </c>
      <c r="I50" s="42" t="s">
        <v>894</v>
      </c>
      <c r="J50" s="47">
        <v>3.51813381601492E14</v>
      </c>
      <c r="K50" s="42" t="s">
        <v>914</v>
      </c>
      <c r="L50" s="42" t="s">
        <v>926</v>
      </c>
      <c r="M50" s="42" t="s">
        <v>916</v>
      </c>
      <c r="N50" s="44"/>
    </row>
    <row r="51">
      <c r="A51" s="32"/>
      <c r="B51" s="46" t="s">
        <v>939</v>
      </c>
      <c r="C51" s="42" t="str">
        <f>IF(AND('Check in'!B:B=B51,'Check in'!D:D="Good Condition"),"Usable","Not Usable")</f>
        <v>Not Usable</v>
      </c>
      <c r="D51" s="49" t="s">
        <v>940</v>
      </c>
      <c r="E51" s="42" t="s">
        <v>883</v>
      </c>
      <c r="F51" s="42"/>
      <c r="G51" s="42">
        <v>1.0</v>
      </c>
      <c r="H51" s="38" t="s">
        <v>219</v>
      </c>
      <c r="I51" s="42" t="s">
        <v>894</v>
      </c>
      <c r="J51" s="47">
        <v>3.51813381609917E14</v>
      </c>
      <c r="K51" s="42" t="s">
        <v>914</v>
      </c>
      <c r="L51" s="42" t="s">
        <v>941</v>
      </c>
      <c r="M51" s="42" t="s">
        <v>916</v>
      </c>
      <c r="N51" s="44"/>
    </row>
    <row r="52">
      <c r="A52" s="32"/>
      <c r="B52" s="46" t="s">
        <v>942</v>
      </c>
      <c r="C52" s="42" t="str">
        <f>IF(AND('Check in'!B:B=B52,'Check in'!D:D="Good Condition"),"Usable","Not Usable")</f>
        <v>Not Usable</v>
      </c>
      <c r="D52" s="50">
        <v>5.0329017E7</v>
      </c>
      <c r="E52" s="42" t="s">
        <v>883</v>
      </c>
      <c r="F52" s="42" t="s">
        <v>144</v>
      </c>
      <c r="G52" s="42">
        <v>1.0</v>
      </c>
      <c r="H52" s="42" t="s">
        <v>893</v>
      </c>
      <c r="I52" s="42" t="s">
        <v>894</v>
      </c>
      <c r="J52" s="47">
        <v>3.51813381599415E14</v>
      </c>
      <c r="K52" s="42" t="s">
        <v>914</v>
      </c>
      <c r="L52" s="42" t="s">
        <v>922</v>
      </c>
      <c r="M52" s="42" t="s">
        <v>916</v>
      </c>
      <c r="N52" s="44"/>
    </row>
    <row r="53">
      <c r="A53" s="32"/>
      <c r="B53" s="46" t="s">
        <v>943</v>
      </c>
      <c r="C53" s="42" t="str">
        <f>IF(AND('Check in'!B:B=B53,'Check in'!D:D="Good Condition"),"Usable","Not Usable")</f>
        <v>Not Usable</v>
      </c>
      <c r="D53" s="49" t="s">
        <v>944</v>
      </c>
      <c r="E53" s="42" t="s">
        <v>883</v>
      </c>
      <c r="F53" s="42" t="s">
        <v>415</v>
      </c>
      <c r="G53" s="42">
        <v>1.0</v>
      </c>
      <c r="H53" s="42" t="s">
        <v>945</v>
      </c>
      <c r="I53" s="42" t="s">
        <v>894</v>
      </c>
      <c r="J53" s="47">
        <v>3.5181338160131E14</v>
      </c>
      <c r="K53" s="42" t="s">
        <v>914</v>
      </c>
      <c r="L53" s="42" t="s">
        <v>922</v>
      </c>
      <c r="M53" s="42" t="s">
        <v>916</v>
      </c>
      <c r="N53" s="44"/>
    </row>
    <row r="54">
      <c r="A54" s="32"/>
      <c r="B54" s="46" t="s">
        <v>946</v>
      </c>
      <c r="C54" s="42" t="str">
        <f>IF(AND('Check in'!B:B=B54,'Check in'!D:D="Good Condition"),"Usable","Not Usable")</f>
        <v>Not Usable</v>
      </c>
      <c r="D54" s="49" t="s">
        <v>947</v>
      </c>
      <c r="E54" s="42" t="s">
        <v>883</v>
      </c>
      <c r="F54" s="42" t="s">
        <v>415</v>
      </c>
      <c r="G54" s="42">
        <v>1.0</v>
      </c>
      <c r="H54" s="42" t="s">
        <v>948</v>
      </c>
      <c r="I54" s="42" t="s">
        <v>894</v>
      </c>
      <c r="J54" s="47">
        <v>3.51813381572792E14</v>
      </c>
      <c r="K54" s="42" t="s">
        <v>914</v>
      </c>
      <c r="L54" s="42" t="s">
        <v>922</v>
      </c>
      <c r="M54" s="42" t="s">
        <v>916</v>
      </c>
      <c r="N54" s="44"/>
    </row>
    <row r="55">
      <c r="A55" s="32"/>
      <c r="B55" s="46" t="s">
        <v>949</v>
      </c>
      <c r="C55" s="42" t="str">
        <f>IF(AND('Check in'!B:B=B55,'Check in'!D:D="Good Condition"),"Usable","Not Usable")</f>
        <v>Not Usable</v>
      </c>
      <c r="D55" s="49" t="s">
        <v>950</v>
      </c>
      <c r="E55" s="42" t="s">
        <v>883</v>
      </c>
      <c r="F55" s="42" t="s">
        <v>415</v>
      </c>
      <c r="G55" s="42">
        <v>1.0</v>
      </c>
      <c r="H55" s="13" t="s">
        <v>951</v>
      </c>
      <c r="I55" s="42" t="s">
        <v>894</v>
      </c>
      <c r="J55" s="47">
        <v>3.51813381596627E14</v>
      </c>
      <c r="K55" s="42" t="s">
        <v>914</v>
      </c>
      <c r="L55" s="42" t="s">
        <v>922</v>
      </c>
      <c r="M55" s="42" t="s">
        <v>916</v>
      </c>
      <c r="N55" s="44"/>
    </row>
    <row r="56">
      <c r="A56" s="32"/>
      <c r="B56" s="46" t="s">
        <v>952</v>
      </c>
      <c r="C56" s="42" t="str">
        <f>IF(AND('Check in'!B:B=B56,'Check in'!D:D="Good Condition"),"Usable","Not Usable")</f>
        <v>Not Usable</v>
      </c>
      <c r="D56" s="49" t="s">
        <v>953</v>
      </c>
      <c r="E56" s="42" t="s">
        <v>883</v>
      </c>
      <c r="F56" s="42" t="s">
        <v>415</v>
      </c>
      <c r="G56" s="42">
        <v>1.0</v>
      </c>
      <c r="H56" s="9" t="s">
        <v>954</v>
      </c>
      <c r="I56" s="42" t="s">
        <v>894</v>
      </c>
      <c r="J56" s="47">
        <v>3.51813381594911E14</v>
      </c>
      <c r="K56" s="42" t="s">
        <v>914</v>
      </c>
      <c r="L56" s="42" t="s">
        <v>922</v>
      </c>
      <c r="M56" s="42" t="s">
        <v>916</v>
      </c>
      <c r="N56" s="44"/>
    </row>
    <row r="57">
      <c r="A57" s="32"/>
      <c r="B57" s="46" t="s">
        <v>955</v>
      </c>
      <c r="C57" s="42" t="str">
        <f>IF(AND('Check in'!B:B=B57,'Check in'!D:D="Good Condition"),"Usable","Not Usable")</f>
        <v>Not Usable</v>
      </c>
      <c r="D57" s="49" t="s">
        <v>956</v>
      </c>
      <c r="E57" s="42" t="s">
        <v>883</v>
      </c>
      <c r="F57" s="42" t="s">
        <v>415</v>
      </c>
      <c r="G57" s="42">
        <v>1.0</v>
      </c>
      <c r="H57" s="9" t="s">
        <v>957</v>
      </c>
      <c r="I57" s="42" t="s">
        <v>894</v>
      </c>
      <c r="J57" s="47">
        <v>3.51813381632711E14</v>
      </c>
      <c r="K57" s="42" t="s">
        <v>914</v>
      </c>
      <c r="L57" s="42" t="s">
        <v>922</v>
      </c>
      <c r="M57" s="42" t="s">
        <v>916</v>
      </c>
      <c r="N57" s="44"/>
    </row>
    <row r="58">
      <c r="A58" s="32"/>
      <c r="B58" s="46" t="s">
        <v>958</v>
      </c>
      <c r="C58" s="42" t="str">
        <f>IF(AND('Check in'!B:B=B58,'Check in'!D:D="Good Condition"),"Usable","Not Usable")</f>
        <v>Not Usable</v>
      </c>
      <c r="D58" s="49" t="s">
        <v>959</v>
      </c>
      <c r="E58" s="42" t="s">
        <v>883</v>
      </c>
      <c r="F58" s="42" t="s">
        <v>415</v>
      </c>
      <c r="G58" s="42">
        <v>1.0</v>
      </c>
      <c r="H58" s="9" t="s">
        <v>960</v>
      </c>
      <c r="I58" s="42" t="s">
        <v>894</v>
      </c>
      <c r="J58" s="47">
        <v>3.51813381608703E14</v>
      </c>
      <c r="K58" s="42" t="s">
        <v>914</v>
      </c>
      <c r="L58" s="42" t="s">
        <v>922</v>
      </c>
      <c r="M58" s="42" t="s">
        <v>916</v>
      </c>
      <c r="N58" s="44"/>
    </row>
    <row r="59">
      <c r="A59" s="32"/>
      <c r="B59" s="46" t="s">
        <v>961</v>
      </c>
      <c r="C59" s="42" t="str">
        <f>IF(AND('Check in'!B:B=B59,'Check in'!D:D="Good Condition"),"Usable","Not Usable")</f>
        <v>Not Usable</v>
      </c>
      <c r="D59" s="49" t="s">
        <v>962</v>
      </c>
      <c r="E59" s="42" t="s">
        <v>883</v>
      </c>
      <c r="F59" s="42" t="s">
        <v>415</v>
      </c>
      <c r="G59" s="42">
        <v>1.0</v>
      </c>
      <c r="H59" s="9" t="s">
        <v>963</v>
      </c>
      <c r="I59" s="42" t="s">
        <v>894</v>
      </c>
      <c r="J59" s="47">
        <v>3.51813381632497E14</v>
      </c>
      <c r="K59" s="42" t="s">
        <v>914</v>
      </c>
      <c r="L59" s="42" t="s">
        <v>922</v>
      </c>
      <c r="M59" s="42" t="s">
        <v>878</v>
      </c>
      <c r="N59" s="44"/>
    </row>
    <row r="60">
      <c r="A60" s="32"/>
      <c r="B60" s="46" t="s">
        <v>964</v>
      </c>
      <c r="C60" s="42" t="str">
        <f>IF(AND('Check in'!B:B=B60,'Check in'!D:D="Good Condition"),"Usable","Not Usable")</f>
        <v>Not Usable</v>
      </c>
      <c r="D60" s="49" t="s">
        <v>965</v>
      </c>
      <c r="E60" s="42" t="s">
        <v>883</v>
      </c>
      <c r="F60" s="42" t="s">
        <v>415</v>
      </c>
      <c r="G60" s="42">
        <v>1.0</v>
      </c>
      <c r="H60" s="9" t="s">
        <v>966</v>
      </c>
      <c r="I60" s="42" t="s">
        <v>894</v>
      </c>
      <c r="J60" s="47">
        <v>3.51813381600932E14</v>
      </c>
      <c r="K60" s="42" t="s">
        <v>914</v>
      </c>
      <c r="L60" s="42" t="s">
        <v>922</v>
      </c>
      <c r="M60" s="42" t="s">
        <v>916</v>
      </c>
      <c r="N60" s="44"/>
    </row>
    <row r="61">
      <c r="A61" s="32"/>
      <c r="B61" s="46" t="s">
        <v>967</v>
      </c>
      <c r="C61" s="42" t="str">
        <f>IF(AND('Check in'!B:B=B61,'Check in'!D:D="Good Condition"),"Usable","Not Usable")</f>
        <v>Not Usable</v>
      </c>
      <c r="D61" s="49" t="s">
        <v>968</v>
      </c>
      <c r="E61" s="42" t="s">
        <v>883</v>
      </c>
      <c r="F61" s="42" t="s">
        <v>415</v>
      </c>
      <c r="G61" s="42">
        <v>1.0</v>
      </c>
      <c r="H61" s="9" t="s">
        <v>969</v>
      </c>
      <c r="I61" s="42" t="s">
        <v>894</v>
      </c>
      <c r="J61" s="47">
        <v>3.5181338160881E14</v>
      </c>
      <c r="K61" s="42" t="s">
        <v>914</v>
      </c>
      <c r="L61" s="42" t="s">
        <v>922</v>
      </c>
      <c r="M61" s="42" t="s">
        <v>916</v>
      </c>
      <c r="N61" s="44"/>
    </row>
    <row r="62">
      <c r="A62" s="32"/>
      <c r="B62" s="46" t="s">
        <v>970</v>
      </c>
      <c r="C62" s="42" t="str">
        <f>IF(AND('Check in'!B:B=B62,'Check in'!D:D="Good Condition"),"Usable","Not Usable")</f>
        <v>Not Usable</v>
      </c>
      <c r="D62" s="49" t="s">
        <v>971</v>
      </c>
      <c r="E62" s="42" t="s">
        <v>883</v>
      </c>
      <c r="F62" s="42" t="s">
        <v>415</v>
      </c>
      <c r="G62" s="42">
        <v>1.0</v>
      </c>
      <c r="H62" s="9" t="s">
        <v>972</v>
      </c>
      <c r="I62" s="42" t="s">
        <v>894</v>
      </c>
      <c r="J62" s="47">
        <v>3.51813381571539E14</v>
      </c>
      <c r="K62" s="42" t="s">
        <v>914</v>
      </c>
      <c r="L62" s="42" t="s">
        <v>922</v>
      </c>
      <c r="M62" s="42" t="s">
        <v>916</v>
      </c>
      <c r="N62" s="44"/>
    </row>
    <row r="63">
      <c r="A63" s="32"/>
      <c r="B63" s="46" t="s">
        <v>973</v>
      </c>
      <c r="C63" s="42" t="str">
        <f>IF(AND('Check in'!B:B=B63,'Check in'!D:D="Good Condition"),"Usable","Not Usable")</f>
        <v>Not Usable</v>
      </c>
      <c r="D63" s="49" t="s">
        <v>974</v>
      </c>
      <c r="E63" s="42" t="s">
        <v>883</v>
      </c>
      <c r="F63" s="42" t="s">
        <v>415</v>
      </c>
      <c r="G63" s="42">
        <v>1.0</v>
      </c>
      <c r="H63" s="42" t="s">
        <v>975</v>
      </c>
      <c r="I63" s="42" t="s">
        <v>894</v>
      </c>
      <c r="J63" s="47">
        <v>3.5181338159496E14</v>
      </c>
      <c r="K63" s="42" t="s">
        <v>914</v>
      </c>
      <c r="L63" s="42" t="s">
        <v>922</v>
      </c>
      <c r="M63" s="42" t="s">
        <v>916</v>
      </c>
      <c r="N63" s="44"/>
    </row>
    <row r="64">
      <c r="A64" s="32"/>
      <c r="B64" s="46" t="s">
        <v>976</v>
      </c>
      <c r="C64" s="42" t="str">
        <f>IF(AND('Check in'!B:B=B64,'Check in'!D:D="Good Condition"),"Usable","Not Usable")</f>
        <v>Not Usable</v>
      </c>
      <c r="D64" s="49" t="s">
        <v>977</v>
      </c>
      <c r="E64" s="42" t="s">
        <v>883</v>
      </c>
      <c r="F64" s="42" t="s">
        <v>415</v>
      </c>
      <c r="G64" s="42">
        <v>1.0</v>
      </c>
      <c r="H64" s="42" t="s">
        <v>978</v>
      </c>
      <c r="I64" s="42" t="s">
        <v>894</v>
      </c>
      <c r="J64" s="47">
        <v>3.51813381635235E14</v>
      </c>
      <c r="K64" s="42" t="s">
        <v>914</v>
      </c>
      <c r="L64" s="42" t="s">
        <v>922</v>
      </c>
      <c r="M64" s="42" t="s">
        <v>916</v>
      </c>
      <c r="N64" s="44"/>
    </row>
    <row r="65">
      <c r="A65" s="32"/>
      <c r="B65" s="46" t="s">
        <v>979</v>
      </c>
      <c r="C65" s="42" t="str">
        <f>IF(AND('Check in'!B:B=B65,'Check in'!D:D="Good Condition"),"Usable","Not Usable")</f>
        <v>Not Usable</v>
      </c>
      <c r="D65" s="49" t="s">
        <v>980</v>
      </c>
      <c r="E65" s="42" t="s">
        <v>883</v>
      </c>
      <c r="F65" s="42" t="s">
        <v>415</v>
      </c>
      <c r="G65" s="42">
        <v>1.0</v>
      </c>
      <c r="H65" s="42" t="s">
        <v>981</v>
      </c>
      <c r="I65" s="42" t="s">
        <v>894</v>
      </c>
      <c r="J65" s="47">
        <v>3.51813381604652E14</v>
      </c>
      <c r="K65" s="42" t="s">
        <v>914</v>
      </c>
      <c r="L65" s="42" t="s">
        <v>922</v>
      </c>
      <c r="M65" s="42" t="s">
        <v>916</v>
      </c>
      <c r="N65" s="44"/>
    </row>
    <row r="66">
      <c r="A66" s="32"/>
      <c r="B66" s="46" t="s">
        <v>982</v>
      </c>
      <c r="C66" s="42" t="str">
        <f>IF(AND('Check in'!B:B=B66,'Check in'!D:D="Good Condition"),"Usable","Not Usable")</f>
        <v>Not Usable</v>
      </c>
      <c r="D66" s="49" t="s">
        <v>983</v>
      </c>
      <c r="E66" s="42" t="s">
        <v>883</v>
      </c>
      <c r="F66" s="42" t="s">
        <v>415</v>
      </c>
      <c r="G66" s="42">
        <v>1.0</v>
      </c>
      <c r="H66" s="42" t="s">
        <v>984</v>
      </c>
      <c r="I66" s="42" t="s">
        <v>894</v>
      </c>
      <c r="J66" s="47">
        <v>3.51813381607721E14</v>
      </c>
      <c r="K66" s="42" t="s">
        <v>914</v>
      </c>
      <c r="L66" s="42" t="s">
        <v>926</v>
      </c>
      <c r="M66" s="42" t="s">
        <v>916</v>
      </c>
      <c r="N66" s="44"/>
    </row>
    <row r="67">
      <c r="A67" s="32"/>
      <c r="B67" s="46" t="s">
        <v>985</v>
      </c>
      <c r="C67" s="42" t="str">
        <f>IF(AND('Check in'!B:B=B67,'Check in'!D:D="Good Condition"),"Usable","Not Usable")</f>
        <v>Not Usable</v>
      </c>
      <c r="D67" s="49" t="s">
        <v>986</v>
      </c>
      <c r="E67" s="42" t="s">
        <v>883</v>
      </c>
      <c r="F67" s="42" t="s">
        <v>415</v>
      </c>
      <c r="G67" s="42">
        <v>1.0</v>
      </c>
      <c r="H67" s="42" t="s">
        <v>987</v>
      </c>
      <c r="I67" s="42" t="s">
        <v>894</v>
      </c>
      <c r="J67" s="47">
        <v>3.51813381598821E14</v>
      </c>
      <c r="K67" s="42" t="s">
        <v>914</v>
      </c>
      <c r="L67" s="42" t="s">
        <v>926</v>
      </c>
      <c r="M67" s="42" t="s">
        <v>916</v>
      </c>
      <c r="N67" s="44"/>
    </row>
    <row r="68">
      <c r="A68" s="32"/>
      <c r="B68" s="46" t="s">
        <v>988</v>
      </c>
      <c r="C68" s="42" t="str">
        <f>IF(AND('Check in'!B:B=B68,'Check in'!D:D="Good Condition"),"Usable","Not Usable")</f>
        <v>Not Usable</v>
      </c>
      <c r="D68" s="49" t="s">
        <v>989</v>
      </c>
      <c r="E68" s="42" t="s">
        <v>883</v>
      </c>
      <c r="F68" s="42" t="s">
        <v>990</v>
      </c>
      <c r="G68" s="42">
        <v>1.0</v>
      </c>
      <c r="H68" s="42" t="s">
        <v>991</v>
      </c>
      <c r="I68" s="42" t="s">
        <v>992</v>
      </c>
      <c r="J68" s="47">
        <v>3.51813381602169E14</v>
      </c>
      <c r="K68" s="42" t="s">
        <v>914</v>
      </c>
      <c r="L68" s="42" t="s">
        <v>922</v>
      </c>
      <c r="M68" s="42" t="s">
        <v>916</v>
      </c>
      <c r="N68" s="44"/>
    </row>
    <row r="69">
      <c r="A69" s="32"/>
      <c r="B69" s="46" t="s">
        <v>993</v>
      </c>
      <c r="C69" s="42" t="str">
        <f>IF(AND('Check in'!B:B=B69,'Check in'!D:D="Good Condition"),"Usable","Not Usable")</f>
        <v>Not Usable</v>
      </c>
      <c r="D69" s="49" t="s">
        <v>994</v>
      </c>
      <c r="E69" s="42" t="s">
        <v>883</v>
      </c>
      <c r="F69" s="42" t="s">
        <v>415</v>
      </c>
      <c r="G69" s="42">
        <v>1.0</v>
      </c>
      <c r="H69" s="42" t="s">
        <v>995</v>
      </c>
      <c r="I69" s="42" t="s">
        <v>894</v>
      </c>
      <c r="J69" s="47">
        <v>3.51813381633982E14</v>
      </c>
      <c r="K69" s="42" t="s">
        <v>914</v>
      </c>
      <c r="L69" s="42" t="s">
        <v>926</v>
      </c>
      <c r="M69" s="42" t="s">
        <v>916</v>
      </c>
      <c r="N69" s="44"/>
    </row>
    <row r="70">
      <c r="A70" s="32"/>
      <c r="B70" s="46" t="s">
        <v>996</v>
      </c>
      <c r="C70" s="42" t="str">
        <f>IF(AND('Check in'!B:B=B70,'Check in'!D:D="Good Condition"),"Usable","Not Usable")</f>
        <v>Not Usable</v>
      </c>
      <c r="D70" s="49" t="s">
        <v>997</v>
      </c>
      <c r="E70" s="42" t="s">
        <v>883</v>
      </c>
      <c r="F70" s="42" t="s">
        <v>415</v>
      </c>
      <c r="G70" s="42">
        <v>1.0</v>
      </c>
      <c r="H70" s="42" t="s">
        <v>998</v>
      </c>
      <c r="I70" s="42" t="s">
        <v>894</v>
      </c>
      <c r="J70" s="47">
        <v>3.51813381572396E14</v>
      </c>
      <c r="K70" s="42" t="s">
        <v>914</v>
      </c>
      <c r="L70" s="42" t="s">
        <v>926</v>
      </c>
      <c r="M70" s="42" t="s">
        <v>916</v>
      </c>
      <c r="N70" s="44"/>
    </row>
    <row r="71">
      <c r="A71" s="32"/>
      <c r="B71" s="46" t="s">
        <v>999</v>
      </c>
      <c r="C71" s="42" t="str">
        <f>IF(AND('Check in'!B:B=B71,'Check in'!D:D="Good Condition"),"Usable","Not Usable")</f>
        <v>Not Usable</v>
      </c>
      <c r="D71" s="49" t="s">
        <v>1000</v>
      </c>
      <c r="E71" s="42" t="s">
        <v>883</v>
      </c>
      <c r="F71" s="42" t="s">
        <v>415</v>
      </c>
      <c r="G71" s="42">
        <v>1.0</v>
      </c>
      <c r="H71" s="42" t="s">
        <v>1001</v>
      </c>
      <c r="I71" s="42" t="s">
        <v>894</v>
      </c>
      <c r="J71" s="47">
        <v>3.51813381632893E14</v>
      </c>
      <c r="K71" s="42" t="s">
        <v>914</v>
      </c>
      <c r="L71" s="42" t="s">
        <v>922</v>
      </c>
      <c r="M71" s="42" t="s">
        <v>916</v>
      </c>
      <c r="N71" s="44"/>
    </row>
    <row r="72">
      <c r="A72" s="32"/>
      <c r="B72" s="46" t="s">
        <v>1002</v>
      </c>
      <c r="C72" s="42" t="str">
        <f>IF(AND('Check in'!B:B=B72,'Check in'!D:D="Good Condition"),"Usable","Not Usable")</f>
        <v>Not Usable</v>
      </c>
      <c r="D72" s="49" t="s">
        <v>1003</v>
      </c>
      <c r="E72" s="42" t="s">
        <v>883</v>
      </c>
      <c r="F72" s="42" t="s">
        <v>415</v>
      </c>
      <c r="G72" s="42">
        <v>1.0</v>
      </c>
      <c r="H72" s="42" t="s">
        <v>1004</v>
      </c>
      <c r="I72" s="42" t="s">
        <v>894</v>
      </c>
      <c r="J72" s="47">
        <v>3.51813381636902E14</v>
      </c>
      <c r="K72" s="42" t="s">
        <v>914</v>
      </c>
      <c r="L72" s="42" t="s">
        <v>926</v>
      </c>
      <c r="M72" s="42" t="s">
        <v>916</v>
      </c>
      <c r="N72" s="44"/>
    </row>
    <row r="73">
      <c r="A73" s="32"/>
      <c r="B73" s="46" t="s">
        <v>1005</v>
      </c>
      <c r="C73" s="42" t="str">
        <f>IF(AND('Check in'!B:B=B73,'Check in'!D:D="Good Condition"),"Usable","Not Usable")</f>
        <v>Not Usable</v>
      </c>
      <c r="D73" s="49" t="s">
        <v>1006</v>
      </c>
      <c r="E73" s="42" t="s">
        <v>883</v>
      </c>
      <c r="F73" s="42" t="s">
        <v>413</v>
      </c>
      <c r="G73" s="42">
        <v>1.0</v>
      </c>
      <c r="H73" s="42" t="s">
        <v>612</v>
      </c>
      <c r="I73" s="42" t="s">
        <v>894</v>
      </c>
      <c r="J73" s="47">
        <v>3.51813381595785E14</v>
      </c>
      <c r="K73" s="42" t="s">
        <v>914</v>
      </c>
      <c r="L73" s="42" t="s">
        <v>922</v>
      </c>
      <c r="M73" s="42" t="s">
        <v>870</v>
      </c>
      <c r="N73" s="44"/>
    </row>
    <row r="74">
      <c r="A74" s="32"/>
      <c r="B74" s="46" t="s">
        <v>1007</v>
      </c>
      <c r="C74" s="42" t="str">
        <f>IF(AND('Check in'!B:B=B74,'Check in'!D:D="Good Condition"),"Usable","Not Usable")</f>
        <v>Not Usable</v>
      </c>
      <c r="D74" s="49" t="s">
        <v>1008</v>
      </c>
      <c r="E74" s="42" t="s">
        <v>883</v>
      </c>
      <c r="F74" s="42" t="s">
        <v>415</v>
      </c>
      <c r="G74" s="42">
        <v>1.0</v>
      </c>
      <c r="H74" s="42" t="s">
        <v>1009</v>
      </c>
      <c r="I74" s="42" t="s">
        <v>894</v>
      </c>
      <c r="J74" s="47">
        <v>3.51813381572891E14</v>
      </c>
      <c r="K74" s="42" t="s">
        <v>914</v>
      </c>
      <c r="L74" s="42" t="s">
        <v>922</v>
      </c>
      <c r="M74" s="42" t="s">
        <v>916</v>
      </c>
      <c r="N74" s="44"/>
    </row>
    <row r="75">
      <c r="A75" s="32"/>
      <c r="B75" s="46" t="s">
        <v>1010</v>
      </c>
      <c r="C75" s="42" t="str">
        <f>IF(AND('Check in'!B:B=B75,'Check in'!D:D="Good Condition"),"Usable","Not Usable")</f>
        <v>Not Usable</v>
      </c>
      <c r="D75" s="49" t="s">
        <v>1011</v>
      </c>
      <c r="E75" s="42" t="s">
        <v>883</v>
      </c>
      <c r="F75" s="42" t="s">
        <v>144</v>
      </c>
      <c r="G75" s="42">
        <v>1.0</v>
      </c>
      <c r="H75" s="42" t="s">
        <v>893</v>
      </c>
      <c r="I75" s="42" t="s">
        <v>894</v>
      </c>
      <c r="J75" s="47">
        <v>3.51813381597856E14</v>
      </c>
      <c r="K75" s="42" t="s">
        <v>914</v>
      </c>
      <c r="L75" s="42" t="s">
        <v>922</v>
      </c>
      <c r="M75" s="42" t="s">
        <v>916</v>
      </c>
      <c r="N75" s="44"/>
    </row>
    <row r="76">
      <c r="A76" s="32"/>
      <c r="B76" s="46" t="s">
        <v>1012</v>
      </c>
      <c r="C76" s="42" t="str">
        <f>IF(AND('Check in'!B:B=B76,'Check in'!D:D="Good Condition"),"Usable","Not Usable")</f>
        <v>Not Usable</v>
      </c>
      <c r="D76" s="49" t="s">
        <v>1013</v>
      </c>
      <c r="E76" s="42" t="s">
        <v>883</v>
      </c>
      <c r="F76" s="42" t="s">
        <v>415</v>
      </c>
      <c r="G76" s="42">
        <v>1.0</v>
      </c>
      <c r="H76" s="42" t="s">
        <v>1014</v>
      </c>
      <c r="I76" s="42" t="s">
        <v>894</v>
      </c>
      <c r="J76" s="47">
        <v>3.51813381599134E14</v>
      </c>
      <c r="K76" s="42" t="s">
        <v>914</v>
      </c>
      <c r="L76" s="42" t="s">
        <v>926</v>
      </c>
      <c r="M76" s="42" t="s">
        <v>916</v>
      </c>
      <c r="N76" s="44"/>
    </row>
    <row r="77">
      <c r="A77" s="32"/>
      <c r="B77" s="46" t="s">
        <v>1015</v>
      </c>
      <c r="C77" s="42" t="str">
        <f>IF(AND('Check in'!B:B=B77,'Check in'!D:D="Good Condition"),"Usable","Not Usable")</f>
        <v>Not Usable</v>
      </c>
      <c r="D77" s="49" t="s">
        <v>1016</v>
      </c>
      <c r="E77" s="42" t="s">
        <v>883</v>
      </c>
      <c r="F77" s="42"/>
      <c r="G77" s="42">
        <v>1.0</v>
      </c>
      <c r="H77" s="42" t="s">
        <v>316</v>
      </c>
      <c r="I77" s="42" t="s">
        <v>894</v>
      </c>
      <c r="J77" s="47">
        <v>3.51813381603092E14</v>
      </c>
      <c r="K77" s="42" t="s">
        <v>914</v>
      </c>
      <c r="L77" s="42" t="s">
        <v>922</v>
      </c>
      <c r="M77" s="42" t="s">
        <v>316</v>
      </c>
      <c r="N77" s="44"/>
    </row>
    <row r="78">
      <c r="A78" s="32"/>
      <c r="B78" s="46" t="s">
        <v>1017</v>
      </c>
      <c r="C78" s="42" t="str">
        <f>IF(AND('Check in'!B:B=B78,'Check in'!D:D="Good Condition"),"Usable","Not Usable")</f>
        <v>Not Usable</v>
      </c>
      <c r="D78" s="49" t="s">
        <v>1018</v>
      </c>
      <c r="E78" s="42" t="s">
        <v>883</v>
      </c>
      <c r="F78" s="42" t="s">
        <v>415</v>
      </c>
      <c r="G78" s="42">
        <v>1.0</v>
      </c>
      <c r="H78" s="42" t="s">
        <v>1019</v>
      </c>
      <c r="I78" s="42" t="s">
        <v>894</v>
      </c>
      <c r="J78" s="47">
        <v>3.51813381607572E14</v>
      </c>
      <c r="K78" s="42" t="s">
        <v>914</v>
      </c>
      <c r="L78" s="42" t="s">
        <v>926</v>
      </c>
      <c r="M78" s="42" t="s">
        <v>916</v>
      </c>
      <c r="N78" s="44"/>
    </row>
    <row r="79">
      <c r="A79" s="32"/>
      <c r="B79" s="46" t="s">
        <v>1020</v>
      </c>
      <c r="C79" s="42" t="s">
        <v>908</v>
      </c>
      <c r="D79" s="49" t="s">
        <v>1021</v>
      </c>
      <c r="E79" s="42" t="s">
        <v>883</v>
      </c>
      <c r="F79" s="42"/>
      <c r="G79" s="42">
        <v>1.0</v>
      </c>
      <c r="H79" s="42"/>
      <c r="I79" s="42" t="s">
        <v>894</v>
      </c>
      <c r="J79" s="47">
        <v>3.51813381595314E14</v>
      </c>
      <c r="K79" s="42" t="s">
        <v>914</v>
      </c>
      <c r="L79" s="42" t="s">
        <v>922</v>
      </c>
      <c r="M79" s="42" t="s">
        <v>916</v>
      </c>
      <c r="N79" s="44"/>
    </row>
    <row r="80">
      <c r="A80" s="32"/>
      <c r="B80" s="46" t="s">
        <v>1022</v>
      </c>
      <c r="C80" s="42" t="str">
        <f>IF(AND('Check in'!B:B=B80,'Check in'!D:D="Good Condition"),"Usable","Not Usable")</f>
        <v>Not Usable</v>
      </c>
      <c r="D80" s="49" t="s">
        <v>1023</v>
      </c>
      <c r="E80" s="42" t="s">
        <v>883</v>
      </c>
      <c r="F80" s="42" t="s">
        <v>415</v>
      </c>
      <c r="G80" s="42">
        <v>1.0</v>
      </c>
      <c r="H80" s="42" t="s">
        <v>1024</v>
      </c>
      <c r="I80" s="42" t="s">
        <v>894</v>
      </c>
      <c r="J80" s="47">
        <v>3.51813381634055E14</v>
      </c>
      <c r="K80" s="42" t="s">
        <v>914</v>
      </c>
      <c r="L80" s="42" t="s">
        <v>926</v>
      </c>
      <c r="M80" s="42" t="s">
        <v>916</v>
      </c>
      <c r="N80" s="44"/>
    </row>
    <row r="81">
      <c r="A81" s="32"/>
      <c r="B81" s="46" t="s">
        <v>1025</v>
      </c>
      <c r="C81" s="42" t="str">
        <f>IF(AND('Check in'!B:B=B81,'Check in'!D:D="Good Condition"),"Usable","Not Usable")</f>
        <v>Not Usable</v>
      </c>
      <c r="D81" s="49" t="s">
        <v>1026</v>
      </c>
      <c r="E81" s="42" t="s">
        <v>883</v>
      </c>
      <c r="F81" s="42" t="s">
        <v>415</v>
      </c>
      <c r="G81" s="42">
        <v>1.0</v>
      </c>
      <c r="H81" s="42" t="s">
        <v>1027</v>
      </c>
      <c r="I81" s="42" t="s">
        <v>894</v>
      </c>
      <c r="J81" s="47">
        <v>3.51813381608653E14</v>
      </c>
      <c r="K81" s="42" t="s">
        <v>914</v>
      </c>
      <c r="L81" s="42" t="s">
        <v>922</v>
      </c>
      <c r="M81" s="42" t="s">
        <v>916</v>
      </c>
      <c r="N81" s="44"/>
    </row>
    <row r="82">
      <c r="A82" s="32"/>
      <c r="B82" s="46" t="s">
        <v>1028</v>
      </c>
      <c r="C82" s="42" t="s">
        <v>908</v>
      </c>
      <c r="D82" s="49" t="s">
        <v>1029</v>
      </c>
      <c r="E82" s="42" t="s">
        <v>883</v>
      </c>
      <c r="F82" s="42"/>
      <c r="G82" s="42">
        <v>1.0</v>
      </c>
      <c r="H82" s="42"/>
      <c r="I82" s="42" t="s">
        <v>894</v>
      </c>
      <c r="J82" s="47">
        <v>3.51813381599373E14</v>
      </c>
      <c r="K82" s="42" t="s">
        <v>914</v>
      </c>
      <c r="L82" s="42" t="s">
        <v>922</v>
      </c>
      <c r="M82" s="42" t="s">
        <v>916</v>
      </c>
      <c r="N82" s="44"/>
    </row>
    <row r="83">
      <c r="A83" s="32"/>
      <c r="B83" s="46" t="s">
        <v>1030</v>
      </c>
      <c r="C83" s="42" t="str">
        <f>IF(AND('Check in'!B:B=B83,'Check in'!D:D="Good Condition"),"Usable","Not Usable")</f>
        <v>Not Usable</v>
      </c>
      <c r="D83" s="49" t="s">
        <v>1031</v>
      </c>
      <c r="E83" s="42" t="s">
        <v>883</v>
      </c>
      <c r="F83" s="42" t="s">
        <v>199</v>
      </c>
      <c r="G83" s="42">
        <v>1.0</v>
      </c>
      <c r="H83" s="42" t="s">
        <v>904</v>
      </c>
      <c r="I83" s="42" t="s">
        <v>1032</v>
      </c>
      <c r="J83" s="47">
        <v>3.51813381634683E14</v>
      </c>
      <c r="K83" s="42" t="s">
        <v>914</v>
      </c>
      <c r="L83" s="42" t="s">
        <v>926</v>
      </c>
      <c r="M83" s="42" t="s">
        <v>878</v>
      </c>
      <c r="N83" s="44"/>
    </row>
    <row r="84">
      <c r="A84" s="32"/>
      <c r="B84" s="46" t="s">
        <v>1033</v>
      </c>
      <c r="C84" s="42" t="str">
        <f>IF(AND('Check in'!B:B=B84,'Check in'!D:D="Good Condition"),"Usable","Not Usable")</f>
        <v>Not Usable</v>
      </c>
      <c r="D84" s="49" t="s">
        <v>1034</v>
      </c>
      <c r="E84" s="42" t="s">
        <v>883</v>
      </c>
      <c r="F84" s="42" t="s">
        <v>415</v>
      </c>
      <c r="G84" s="42">
        <v>1.0</v>
      </c>
      <c r="H84" s="42" t="s">
        <v>1035</v>
      </c>
      <c r="I84" s="42" t="s">
        <v>894</v>
      </c>
      <c r="J84" s="47">
        <v>3.51813381571638E14</v>
      </c>
      <c r="K84" s="42" t="s">
        <v>914</v>
      </c>
      <c r="L84" s="42" t="s">
        <v>922</v>
      </c>
      <c r="M84" s="42" t="s">
        <v>916</v>
      </c>
      <c r="N84" s="44"/>
    </row>
    <row r="85">
      <c r="A85" s="32"/>
      <c r="B85" s="46" t="s">
        <v>1036</v>
      </c>
      <c r="C85" s="42" t="str">
        <f>IF(AND('Check in'!B:B=B85,'Check in'!D:D="Good Condition"),"Usable","Not Usable")</f>
        <v>Not Usable</v>
      </c>
      <c r="D85" s="49" t="s">
        <v>1037</v>
      </c>
      <c r="E85" s="42" t="s">
        <v>883</v>
      </c>
      <c r="F85" s="42" t="s">
        <v>415</v>
      </c>
      <c r="G85" s="42">
        <v>1.0</v>
      </c>
      <c r="H85" s="42" t="s">
        <v>1038</v>
      </c>
      <c r="I85" s="42" t="s">
        <v>894</v>
      </c>
      <c r="J85" s="47">
        <v>3.51813381603613E14</v>
      </c>
      <c r="K85" s="42" t="s">
        <v>914</v>
      </c>
      <c r="L85" s="42" t="s">
        <v>922</v>
      </c>
      <c r="M85" s="42" t="s">
        <v>916</v>
      </c>
      <c r="N85" s="44"/>
    </row>
    <row r="86">
      <c r="A86" s="32"/>
      <c r="B86" s="46" t="s">
        <v>1039</v>
      </c>
      <c r="C86" s="42" t="str">
        <f>IF(AND('Check in'!B:B=B86,'Check in'!D:D="Good Condition"),"Usable","Not Usable")</f>
        <v>Not Usable</v>
      </c>
      <c r="D86" s="49" t="s">
        <v>1040</v>
      </c>
      <c r="E86" s="42" t="s">
        <v>883</v>
      </c>
      <c r="F86" s="42" t="s">
        <v>415</v>
      </c>
      <c r="G86" s="42">
        <v>1.0</v>
      </c>
      <c r="H86" s="42" t="s">
        <v>1041</v>
      </c>
      <c r="I86" s="42" t="s">
        <v>894</v>
      </c>
      <c r="J86" s="47">
        <v>3.51813381601377E14</v>
      </c>
      <c r="K86" s="42" t="s">
        <v>914</v>
      </c>
      <c r="L86" s="42" t="s">
        <v>922</v>
      </c>
      <c r="M86" s="42" t="s">
        <v>916</v>
      </c>
      <c r="N86" s="44"/>
    </row>
    <row r="87">
      <c r="A87" s="32"/>
      <c r="B87" s="46" t="s">
        <v>1042</v>
      </c>
      <c r="C87" s="42" t="str">
        <f>IF(AND('Check in'!B:B=B87,'Check in'!D:D="Good Condition"),"Usable","Not Usable")</f>
        <v>Not Usable</v>
      </c>
      <c r="D87" s="49" t="s">
        <v>1043</v>
      </c>
      <c r="E87" s="42" t="s">
        <v>883</v>
      </c>
      <c r="F87" s="42" t="s">
        <v>415</v>
      </c>
      <c r="G87" s="42">
        <v>1.0</v>
      </c>
      <c r="H87" s="42" t="s">
        <v>1044</v>
      </c>
      <c r="I87" s="42" t="s">
        <v>894</v>
      </c>
      <c r="J87" s="47">
        <v>3.51813381633461E14</v>
      </c>
      <c r="K87" s="42" t="s">
        <v>914</v>
      </c>
      <c r="L87" s="42" t="s">
        <v>922</v>
      </c>
      <c r="M87" s="42" t="s">
        <v>916</v>
      </c>
      <c r="N87" s="44"/>
    </row>
    <row r="88">
      <c r="A88" s="32"/>
      <c r="B88" s="51" t="s">
        <v>1045</v>
      </c>
      <c r="C88" s="42"/>
      <c r="D88" s="42">
        <v>5.6002572E7</v>
      </c>
      <c r="E88" s="42" t="s">
        <v>883</v>
      </c>
      <c r="F88" s="42" t="s">
        <v>1046</v>
      </c>
      <c r="G88" s="42"/>
      <c r="H88" s="42" t="s">
        <v>612</v>
      </c>
      <c r="I88" s="42" t="s">
        <v>1047</v>
      </c>
      <c r="J88" s="47"/>
      <c r="K88" s="42" t="s">
        <v>914</v>
      </c>
      <c r="L88" s="32"/>
      <c r="M88" s="42" t="s">
        <v>916</v>
      </c>
      <c r="N88" s="48"/>
    </row>
    <row r="89">
      <c r="A89" s="32"/>
      <c r="B89" s="51"/>
      <c r="C89" s="42"/>
      <c r="D89" s="32"/>
      <c r="E89" s="42"/>
      <c r="F89" s="42"/>
      <c r="G89" s="42"/>
      <c r="H89" s="32"/>
      <c r="I89" s="32"/>
      <c r="J89" s="47"/>
      <c r="K89" s="32"/>
      <c r="L89" s="32"/>
      <c r="M89" s="32"/>
      <c r="N89" s="48"/>
    </row>
    <row r="90">
      <c r="A90" s="32"/>
      <c r="B90" s="51"/>
      <c r="C90" s="42"/>
      <c r="D90" s="32"/>
      <c r="E90" s="42"/>
      <c r="F90" s="42"/>
      <c r="G90" s="42"/>
      <c r="H90" s="32"/>
      <c r="I90" s="32"/>
      <c r="J90" s="47"/>
      <c r="K90" s="32"/>
      <c r="L90" s="32"/>
      <c r="M90" s="32"/>
      <c r="N90" s="48"/>
    </row>
    <row r="91">
      <c r="A91" s="32"/>
      <c r="B91" s="51" t="s">
        <v>1048</v>
      </c>
      <c r="C91" s="42" t="str">
        <f>IF(AND('Check in'!B:B=B91,'Check in'!D:D="Good Condition"),"Usable","Not Usable")</f>
        <v>Not Usable</v>
      </c>
      <c r="D91" s="32"/>
      <c r="E91" s="42" t="s">
        <v>306</v>
      </c>
      <c r="F91" s="42" t="s">
        <v>336</v>
      </c>
      <c r="G91" s="42">
        <v>1.0</v>
      </c>
      <c r="H91" s="32"/>
      <c r="I91" s="32"/>
      <c r="J91" s="47" t="s">
        <v>1049</v>
      </c>
      <c r="K91" s="32"/>
      <c r="L91" s="32"/>
      <c r="M91" s="32"/>
      <c r="N91" s="48"/>
    </row>
    <row r="92">
      <c r="A92" s="32"/>
      <c r="B92" s="46" t="s">
        <v>249</v>
      </c>
      <c r="C92" s="42" t="str">
        <f>IF(AND('Check in'!B:B=B92,'Check in'!D:D="Good Condition"),"Usable","Not Usable")</f>
        <v>Not Usable</v>
      </c>
      <c r="D92" s="32"/>
      <c r="E92" s="42" t="s">
        <v>306</v>
      </c>
      <c r="F92" s="32"/>
      <c r="G92" s="42">
        <v>1.0</v>
      </c>
      <c r="H92" s="32"/>
      <c r="I92" s="32"/>
      <c r="J92" s="47" t="s">
        <v>1050</v>
      </c>
      <c r="K92" s="32"/>
      <c r="L92" s="32"/>
      <c r="M92" s="32"/>
      <c r="N92" s="48"/>
    </row>
    <row r="93">
      <c r="A93" s="32"/>
      <c r="B93" s="46" t="s">
        <v>1051</v>
      </c>
      <c r="C93" s="42" t="str">
        <f>IF(AND('Check in'!B:B=B93,'Check in'!D:D="Good Condition"),"Usable","Not Usable")</f>
        <v>Not Usable</v>
      </c>
      <c r="D93" s="32"/>
      <c r="E93" s="42" t="s">
        <v>306</v>
      </c>
      <c r="F93" s="42" t="s">
        <v>415</v>
      </c>
      <c r="G93" s="42">
        <v>1.0</v>
      </c>
      <c r="H93" s="42" t="s">
        <v>913</v>
      </c>
      <c r="I93" s="32"/>
      <c r="J93" s="47" t="s">
        <v>1052</v>
      </c>
      <c r="K93" s="32"/>
      <c r="L93" s="42" t="s">
        <v>1053</v>
      </c>
      <c r="M93" s="42" t="s">
        <v>916</v>
      </c>
      <c r="N93" s="44"/>
    </row>
    <row r="94">
      <c r="A94" s="32"/>
      <c r="B94" s="46" t="s">
        <v>1054</v>
      </c>
      <c r="C94" s="42" t="str">
        <f>IF(AND('Check in'!B:B=B94,'Check in'!D:D="Good Condition"),"Usable","Not Usable")</f>
        <v>Not Usable</v>
      </c>
      <c r="D94" s="32"/>
      <c r="E94" s="42" t="s">
        <v>306</v>
      </c>
      <c r="F94" s="42" t="s">
        <v>417</v>
      </c>
      <c r="G94" s="42">
        <v>1.0</v>
      </c>
      <c r="H94" s="42" t="s">
        <v>913</v>
      </c>
      <c r="I94" s="32"/>
      <c r="J94" s="47" t="s">
        <v>1055</v>
      </c>
      <c r="K94" s="32"/>
      <c r="L94" s="32"/>
      <c r="M94" s="42" t="s">
        <v>916</v>
      </c>
      <c r="N94" s="44"/>
    </row>
    <row r="95">
      <c r="A95" s="32"/>
      <c r="B95" s="46" t="s">
        <v>1056</v>
      </c>
      <c r="C95" s="42" t="str">
        <f>IF(AND('Check in'!B:B=B95,'Check in'!D:D="Good Condition"),"Usable","Not Usable")</f>
        <v>Not Usable</v>
      </c>
      <c r="D95" s="32"/>
      <c r="E95" s="42" t="s">
        <v>306</v>
      </c>
      <c r="F95" s="32"/>
      <c r="G95" s="42">
        <v>1.0</v>
      </c>
      <c r="H95" s="32"/>
      <c r="I95" s="32"/>
      <c r="J95" s="47" t="s">
        <v>324</v>
      </c>
      <c r="K95" s="32"/>
      <c r="L95" s="32"/>
      <c r="M95" s="32"/>
      <c r="N95" s="48"/>
    </row>
    <row r="96">
      <c r="A96" s="32"/>
      <c r="B96" s="46" t="s">
        <v>1057</v>
      </c>
      <c r="C96" s="42" t="str">
        <f>IF(AND('Check in'!B:B=B96,'Check in'!D:D="Good Condition"),"Usable","Not Usable")</f>
        <v>Not Usable</v>
      </c>
      <c r="D96" s="32"/>
      <c r="E96" s="42" t="s">
        <v>306</v>
      </c>
      <c r="F96" s="32"/>
      <c r="G96" s="42">
        <v>1.0</v>
      </c>
      <c r="H96" s="32"/>
      <c r="I96" s="32"/>
      <c r="J96" s="47" t="s">
        <v>1058</v>
      </c>
      <c r="K96" s="32"/>
      <c r="L96" s="32"/>
      <c r="M96" s="32"/>
      <c r="N96" s="48"/>
    </row>
    <row r="97">
      <c r="A97" s="32"/>
      <c r="B97" s="46" t="s">
        <v>1059</v>
      </c>
      <c r="C97" s="42" t="str">
        <f>IF(AND('Check in'!B:B=B97,'Check in'!D:D="Good Condition"),"Usable","Not Usable")</f>
        <v>Not Usable</v>
      </c>
      <c r="D97" s="32"/>
      <c r="E97" s="42" t="s">
        <v>306</v>
      </c>
      <c r="F97" s="42" t="s">
        <v>1060</v>
      </c>
      <c r="G97" s="42">
        <v>1.0</v>
      </c>
      <c r="H97" s="42" t="s">
        <v>1060</v>
      </c>
      <c r="I97" s="32"/>
      <c r="J97" s="47" t="s">
        <v>1061</v>
      </c>
      <c r="K97" s="32"/>
      <c r="L97" s="32"/>
      <c r="M97" s="42" t="s">
        <v>82</v>
      </c>
      <c r="N97" s="44"/>
    </row>
    <row r="98">
      <c r="A98" s="32"/>
      <c r="B98" s="46" t="s">
        <v>1062</v>
      </c>
      <c r="C98" s="42" t="str">
        <f>IF(AND('Check in'!B:B=B98,'Check in'!D:D="Good Condition"),"Usable","Not Usable")</f>
        <v>Not Usable</v>
      </c>
      <c r="D98" s="32"/>
      <c r="E98" s="42" t="s">
        <v>306</v>
      </c>
      <c r="F98" s="42" t="s">
        <v>1063</v>
      </c>
      <c r="G98" s="42">
        <v>1.0</v>
      </c>
      <c r="H98" s="42" t="s">
        <v>892</v>
      </c>
      <c r="I98" s="32"/>
      <c r="J98" s="47" t="s">
        <v>1064</v>
      </c>
      <c r="K98" s="32"/>
      <c r="L98" s="42" t="s">
        <v>1065</v>
      </c>
      <c r="M98" s="42" t="s">
        <v>35</v>
      </c>
      <c r="N98" s="44"/>
    </row>
    <row r="99">
      <c r="A99" s="32"/>
      <c r="B99" s="46" t="s">
        <v>1066</v>
      </c>
      <c r="C99" s="42" t="str">
        <f>IF(AND('Check in'!B:B=B99,'Check in'!D:D="Good Condition"),"Usable","Not Usable")</f>
        <v>Not Usable</v>
      </c>
      <c r="D99" s="32"/>
      <c r="E99" s="42" t="s">
        <v>306</v>
      </c>
      <c r="F99" s="32"/>
      <c r="G99" s="42">
        <v>1.0</v>
      </c>
      <c r="H99" s="32"/>
      <c r="I99" s="32"/>
      <c r="J99" s="47" t="s">
        <v>1067</v>
      </c>
      <c r="K99" s="32"/>
      <c r="L99" s="32"/>
      <c r="M99" s="32"/>
      <c r="N99" s="48"/>
    </row>
    <row r="100">
      <c r="A100" s="32"/>
      <c r="B100" s="46" t="s">
        <v>92</v>
      </c>
      <c r="C100" s="42" t="str">
        <f>IF(AND('Check in'!B:B=B100,'Check in'!D:D="Good Condition"),"Usable","Not Usable")</f>
        <v>Not Usable</v>
      </c>
      <c r="D100" s="32"/>
      <c r="E100" s="42" t="s">
        <v>306</v>
      </c>
      <c r="F100" s="42" t="s">
        <v>93</v>
      </c>
      <c r="G100" s="42">
        <v>1.0</v>
      </c>
      <c r="H100" s="42" t="s">
        <v>896</v>
      </c>
      <c r="I100" s="32"/>
      <c r="J100" s="52"/>
      <c r="K100" s="42" t="s">
        <v>1068</v>
      </c>
      <c r="L100" s="42" t="s">
        <v>1069</v>
      </c>
      <c r="M100" s="42" t="s">
        <v>95</v>
      </c>
      <c r="N100" s="44"/>
    </row>
    <row r="101">
      <c r="A101" s="32"/>
      <c r="B101" s="46" t="s">
        <v>754</v>
      </c>
      <c r="C101" s="42" t="str">
        <f>IF(AND('Check in'!B:B=B101,'Check in'!D:D="Good Condition"),"Usable","Not Usable")</f>
        <v>Not Usable</v>
      </c>
      <c r="D101" s="32"/>
      <c r="E101" s="42" t="s">
        <v>306</v>
      </c>
      <c r="F101" s="42" t="s">
        <v>128</v>
      </c>
      <c r="G101" s="42">
        <v>1.0</v>
      </c>
      <c r="H101" s="42" t="s">
        <v>896</v>
      </c>
      <c r="I101" s="32"/>
      <c r="J101" s="52"/>
      <c r="K101" s="42" t="s">
        <v>1068</v>
      </c>
      <c r="L101" s="42" t="s">
        <v>1070</v>
      </c>
      <c r="M101" s="42" t="s">
        <v>95</v>
      </c>
      <c r="N101" s="44"/>
    </row>
    <row r="102">
      <c r="A102" s="32"/>
      <c r="B102" s="46" t="s">
        <v>1071</v>
      </c>
      <c r="C102" s="42" t="str">
        <f>IF(AND('Check in'!B:B=B102,'Check in'!D:D="Good Condition"),"Usable","Not Usable")</f>
        <v>Not Usable</v>
      </c>
      <c r="D102" s="32"/>
      <c r="E102" s="42" t="s">
        <v>306</v>
      </c>
      <c r="F102" s="42" t="s">
        <v>108</v>
      </c>
      <c r="G102" s="42">
        <v>1.0</v>
      </c>
      <c r="H102" s="42" t="s">
        <v>896</v>
      </c>
      <c r="I102" s="42" t="s">
        <v>1072</v>
      </c>
      <c r="J102" s="52"/>
      <c r="K102" s="42" t="s">
        <v>1068</v>
      </c>
      <c r="L102" s="42" t="s">
        <v>1070</v>
      </c>
      <c r="M102" s="42" t="s">
        <v>95</v>
      </c>
      <c r="N102" s="44"/>
    </row>
    <row r="103">
      <c r="A103" s="32"/>
      <c r="B103" s="46" t="s">
        <v>1073</v>
      </c>
      <c r="C103" s="42" t="str">
        <f>IF(AND('Check in'!B:B=B103,'Check in'!D:D="Good Condition"),"Usable","Not Usable")</f>
        <v>Not Usable</v>
      </c>
      <c r="D103" s="32"/>
      <c r="E103" s="42" t="s">
        <v>306</v>
      </c>
      <c r="F103" s="42" t="s">
        <v>42</v>
      </c>
      <c r="G103" s="42">
        <v>1.0</v>
      </c>
      <c r="H103" s="42" t="s">
        <v>896</v>
      </c>
      <c r="I103" s="32"/>
      <c r="J103" s="52"/>
      <c r="K103" s="42" t="s">
        <v>1068</v>
      </c>
      <c r="L103" s="42" t="s">
        <v>1070</v>
      </c>
      <c r="M103" s="42" t="s">
        <v>95</v>
      </c>
      <c r="N103" s="44"/>
    </row>
    <row r="104">
      <c r="A104" s="32"/>
      <c r="B104" s="46" t="s">
        <v>1074</v>
      </c>
      <c r="C104" s="42" t="str">
        <f>IF(AND('Check in'!B:B=B104,'Check in'!D:D="Good Condition"),"Usable","Not Usable")</f>
        <v>Not Usable</v>
      </c>
      <c r="D104" s="32"/>
      <c r="E104" s="42" t="s">
        <v>306</v>
      </c>
      <c r="F104" s="42" t="s">
        <v>104</v>
      </c>
      <c r="G104" s="42">
        <v>1.0</v>
      </c>
      <c r="H104" s="42" t="s">
        <v>896</v>
      </c>
      <c r="I104" s="32"/>
      <c r="J104" s="52"/>
      <c r="K104" s="42" t="s">
        <v>1068</v>
      </c>
      <c r="L104" s="42" t="s">
        <v>1070</v>
      </c>
      <c r="M104" s="42" t="s">
        <v>95</v>
      </c>
      <c r="N104" s="44"/>
    </row>
    <row r="105">
      <c r="A105" s="32"/>
      <c r="B105" s="46" t="s">
        <v>1075</v>
      </c>
      <c r="C105" s="42" t="s">
        <v>1076</v>
      </c>
      <c r="D105" s="32"/>
      <c r="E105" s="42" t="s">
        <v>306</v>
      </c>
      <c r="F105" s="42" t="s">
        <v>382</v>
      </c>
      <c r="G105" s="42">
        <v>1.0</v>
      </c>
      <c r="H105" s="42" t="s">
        <v>909</v>
      </c>
      <c r="I105" s="42" t="s">
        <v>1072</v>
      </c>
      <c r="J105" s="47" t="s">
        <v>1077</v>
      </c>
      <c r="K105" s="42"/>
      <c r="L105" s="42" t="s">
        <v>1078</v>
      </c>
      <c r="M105" s="42" t="s">
        <v>1079</v>
      </c>
      <c r="N105" s="44"/>
    </row>
    <row r="106">
      <c r="A106" s="32"/>
      <c r="C106" s="42" t="str">
        <f>IF(AND('Check in'!B:B=B105,'Check in'!D:D="Good Condition"),"Usable","Not Usable")</f>
        <v>Not Usable</v>
      </c>
      <c r="D106" s="32"/>
      <c r="E106" s="42" t="s">
        <v>306</v>
      </c>
      <c r="F106" s="42" t="s">
        <v>37</v>
      </c>
      <c r="G106" s="42">
        <v>1.0</v>
      </c>
      <c r="H106" s="42" t="s">
        <v>896</v>
      </c>
      <c r="I106" s="42" t="s">
        <v>1072</v>
      </c>
      <c r="J106" s="47"/>
      <c r="K106" s="42" t="s">
        <v>1080</v>
      </c>
      <c r="L106" s="42" t="s">
        <v>1081</v>
      </c>
      <c r="M106" s="42" t="s">
        <v>95</v>
      </c>
      <c r="N106" s="44"/>
    </row>
    <row r="107">
      <c r="A107" s="32"/>
      <c r="B107" s="46" t="s">
        <v>1082</v>
      </c>
      <c r="C107" s="42" t="str">
        <f>IF(AND('Check in'!B:B=B107,'Check in'!D:D="Good Condition"),"Usable","Not Usable")</f>
        <v>Not Usable</v>
      </c>
      <c r="D107" s="32"/>
      <c r="E107" s="42" t="s">
        <v>306</v>
      </c>
      <c r="F107" s="42" t="s">
        <v>316</v>
      </c>
      <c r="G107" s="42">
        <v>1.0</v>
      </c>
      <c r="H107" s="42" t="s">
        <v>219</v>
      </c>
      <c r="I107" s="42" t="s">
        <v>1072</v>
      </c>
      <c r="J107" s="47" t="s">
        <v>1083</v>
      </c>
      <c r="K107" s="42" t="s">
        <v>1068</v>
      </c>
      <c r="L107" s="42" t="s">
        <v>1070</v>
      </c>
      <c r="M107" s="42" t="s">
        <v>316</v>
      </c>
      <c r="N107" s="44"/>
    </row>
    <row r="108">
      <c r="A108" s="32"/>
      <c r="B108" s="46" t="s">
        <v>1084</v>
      </c>
      <c r="C108" s="42" t="str">
        <f>IF(AND('Check in'!B:B=B108,'Check in'!D:D="Good Condition"),"Usable","Not Usable")</f>
        <v>Not Usable</v>
      </c>
      <c r="D108" s="32"/>
      <c r="E108" s="42" t="s">
        <v>306</v>
      </c>
      <c r="F108" s="42" t="s">
        <v>316</v>
      </c>
      <c r="G108" s="42">
        <v>1.0</v>
      </c>
      <c r="H108" s="42" t="s">
        <v>219</v>
      </c>
      <c r="I108" s="42" t="s">
        <v>1072</v>
      </c>
      <c r="J108" s="47" t="s">
        <v>1085</v>
      </c>
      <c r="K108" s="42" t="s">
        <v>1068</v>
      </c>
      <c r="L108" s="42" t="s">
        <v>1070</v>
      </c>
      <c r="M108" s="42" t="s">
        <v>316</v>
      </c>
      <c r="N108" s="44"/>
    </row>
    <row r="109">
      <c r="A109" s="32"/>
      <c r="B109" s="46" t="s">
        <v>1086</v>
      </c>
      <c r="C109" s="42" t="str">
        <f>IF(AND('Check in'!B:B=B109,'Check in'!D:D="Good Condition"),"Usable","Not Usable")</f>
        <v>Not Usable</v>
      </c>
      <c r="D109" s="32"/>
      <c r="E109" s="42" t="s">
        <v>306</v>
      </c>
      <c r="F109" s="42" t="s">
        <v>316</v>
      </c>
      <c r="G109" s="42">
        <v>1.0</v>
      </c>
      <c r="H109" s="42" t="s">
        <v>219</v>
      </c>
      <c r="I109" s="42" t="s">
        <v>1072</v>
      </c>
      <c r="J109" s="47" t="s">
        <v>1087</v>
      </c>
      <c r="K109" s="42" t="s">
        <v>1068</v>
      </c>
      <c r="L109" s="42" t="s">
        <v>1070</v>
      </c>
      <c r="M109" s="42" t="s">
        <v>316</v>
      </c>
      <c r="N109" s="44"/>
    </row>
    <row r="110">
      <c r="A110" s="32"/>
      <c r="B110" s="46" t="s">
        <v>1088</v>
      </c>
      <c r="C110" s="42" t="str">
        <f>IF(AND('Check in'!B:B=B110,'Check in'!D:D="Good Condition"),"Usable","Not Usable")</f>
        <v>Not Usable</v>
      </c>
      <c r="D110" s="32"/>
      <c r="E110" s="42" t="s">
        <v>306</v>
      </c>
      <c r="F110" s="42" t="s">
        <v>316</v>
      </c>
      <c r="G110" s="42">
        <v>1.0</v>
      </c>
      <c r="H110" s="42" t="s">
        <v>219</v>
      </c>
      <c r="I110" s="42" t="s">
        <v>1072</v>
      </c>
      <c r="J110" s="47" t="s">
        <v>1089</v>
      </c>
      <c r="K110" s="42" t="s">
        <v>1068</v>
      </c>
      <c r="L110" s="42" t="s">
        <v>1070</v>
      </c>
      <c r="M110" s="42" t="s">
        <v>316</v>
      </c>
      <c r="N110" s="44"/>
    </row>
    <row r="111">
      <c r="A111" s="32"/>
      <c r="B111" s="46" t="s">
        <v>1090</v>
      </c>
      <c r="C111" s="42" t="str">
        <f>IF(AND('Check in'!B:B=B111,'Check in'!D:D="Good Condition"),"Usable","Not Usable")</f>
        <v>Not Usable</v>
      </c>
      <c r="D111" s="32"/>
      <c r="E111" s="42" t="s">
        <v>306</v>
      </c>
      <c r="F111" s="42" t="s">
        <v>316</v>
      </c>
      <c r="G111" s="42">
        <v>1.0</v>
      </c>
      <c r="H111" s="42" t="s">
        <v>219</v>
      </c>
      <c r="I111" s="42" t="s">
        <v>1072</v>
      </c>
      <c r="J111" s="47" t="s">
        <v>1091</v>
      </c>
      <c r="K111" s="42" t="s">
        <v>1068</v>
      </c>
      <c r="L111" s="42" t="s">
        <v>1070</v>
      </c>
      <c r="M111" s="42" t="s">
        <v>316</v>
      </c>
      <c r="N111" s="44"/>
    </row>
    <row r="112">
      <c r="A112" s="32"/>
      <c r="B112" s="46" t="s">
        <v>1092</v>
      </c>
      <c r="C112" s="42" t="str">
        <f>IF(AND('Check in'!B:B=B112,'Check in'!D:D="Good Condition"),"Usable","Not Usable")</f>
        <v>Not Usable</v>
      </c>
      <c r="D112" s="32"/>
      <c r="E112" s="42" t="s">
        <v>306</v>
      </c>
      <c r="F112" s="42" t="s">
        <v>316</v>
      </c>
      <c r="G112" s="42">
        <v>1.0</v>
      </c>
      <c r="H112" s="42" t="s">
        <v>219</v>
      </c>
      <c r="I112" s="42" t="s">
        <v>1072</v>
      </c>
      <c r="J112" s="47" t="s">
        <v>1093</v>
      </c>
      <c r="K112" s="42" t="s">
        <v>1068</v>
      </c>
      <c r="L112" s="42" t="s">
        <v>1070</v>
      </c>
      <c r="M112" s="42" t="s">
        <v>316</v>
      </c>
      <c r="N112" s="44"/>
    </row>
    <row r="113">
      <c r="A113" s="32"/>
      <c r="B113" s="46" t="s">
        <v>1094</v>
      </c>
      <c r="C113" s="42" t="str">
        <f>IF(AND('Check in'!B:B=B113,'Check in'!D:D="Good Condition"),"Usable","Not Usable")</f>
        <v>Not Usable</v>
      </c>
      <c r="D113" s="32"/>
      <c r="E113" s="42" t="s">
        <v>306</v>
      </c>
      <c r="F113" s="42" t="s">
        <v>316</v>
      </c>
      <c r="G113" s="42">
        <v>1.0</v>
      </c>
      <c r="H113" s="42" t="s">
        <v>219</v>
      </c>
      <c r="I113" s="42" t="s">
        <v>1072</v>
      </c>
      <c r="J113" s="47" t="s">
        <v>1095</v>
      </c>
      <c r="K113" s="42" t="s">
        <v>1068</v>
      </c>
      <c r="L113" s="42" t="s">
        <v>1070</v>
      </c>
      <c r="M113" s="42" t="s">
        <v>316</v>
      </c>
      <c r="N113" s="44"/>
    </row>
    <row r="114">
      <c r="A114" s="32"/>
      <c r="B114" s="46" t="s">
        <v>1096</v>
      </c>
      <c r="C114" s="42" t="str">
        <f>IF(AND('Check in'!B:B=B114,'Check in'!D:D="Good Condition"),"Usable","Not Usable")</f>
        <v>Not Usable</v>
      </c>
      <c r="D114" s="32"/>
      <c r="E114" s="42" t="s">
        <v>306</v>
      </c>
      <c r="F114" s="42" t="s">
        <v>316</v>
      </c>
      <c r="G114" s="42">
        <v>1.0</v>
      </c>
      <c r="H114" s="42" t="s">
        <v>219</v>
      </c>
      <c r="I114" s="42" t="s">
        <v>1072</v>
      </c>
      <c r="J114" s="47" t="s">
        <v>1097</v>
      </c>
      <c r="K114" s="42" t="s">
        <v>1068</v>
      </c>
      <c r="L114" s="42" t="s">
        <v>1070</v>
      </c>
      <c r="M114" s="42" t="s">
        <v>316</v>
      </c>
      <c r="N114" s="44"/>
    </row>
    <row r="115">
      <c r="A115" s="32"/>
      <c r="B115" s="46" t="s">
        <v>1098</v>
      </c>
      <c r="C115" s="42" t="str">
        <f>IF(AND('Check in'!B:B=B115,'Check in'!D:D="Good Condition"),"Usable","Not Usable")</f>
        <v>Not Usable</v>
      </c>
      <c r="D115" s="32"/>
      <c r="E115" s="42" t="s">
        <v>306</v>
      </c>
      <c r="F115" s="42" t="s">
        <v>316</v>
      </c>
      <c r="G115" s="42">
        <v>1.0</v>
      </c>
      <c r="H115" s="42" t="s">
        <v>219</v>
      </c>
      <c r="I115" s="42" t="s">
        <v>1072</v>
      </c>
      <c r="J115" s="47" t="s">
        <v>1099</v>
      </c>
      <c r="K115" s="42" t="s">
        <v>1068</v>
      </c>
      <c r="L115" s="42" t="s">
        <v>1070</v>
      </c>
      <c r="M115" s="42" t="s">
        <v>316</v>
      </c>
      <c r="N115" s="44"/>
    </row>
    <row r="116">
      <c r="A116" s="32"/>
      <c r="B116" s="46" t="s">
        <v>1100</v>
      </c>
      <c r="C116" s="42" t="str">
        <f>IF(AND('Check in'!B:B=B116,'Check in'!D:D="Good Condition"),"Usable","Not Usable")</f>
        <v>Not Usable</v>
      </c>
      <c r="D116" s="32"/>
      <c r="E116" s="42" t="s">
        <v>306</v>
      </c>
      <c r="F116" s="42" t="s">
        <v>316</v>
      </c>
      <c r="G116" s="42">
        <v>1.0</v>
      </c>
      <c r="H116" s="42" t="s">
        <v>219</v>
      </c>
      <c r="I116" s="32"/>
      <c r="J116" s="47" t="s">
        <v>322</v>
      </c>
      <c r="K116" s="42" t="s">
        <v>1068</v>
      </c>
      <c r="L116" s="42" t="s">
        <v>1070</v>
      </c>
      <c r="M116" s="42" t="s">
        <v>316</v>
      </c>
      <c r="N116" s="44"/>
    </row>
    <row r="117">
      <c r="A117" s="32"/>
      <c r="B117" s="31"/>
      <c r="C117" s="42"/>
      <c r="D117" s="32"/>
      <c r="E117" s="42"/>
      <c r="F117" s="53"/>
      <c r="G117" s="42"/>
      <c r="H117" s="32"/>
      <c r="I117" s="32"/>
      <c r="J117" s="47"/>
      <c r="K117" s="42"/>
      <c r="L117" s="42"/>
      <c r="M117" s="42"/>
      <c r="N117" s="44"/>
    </row>
    <row r="118">
      <c r="A118" s="32"/>
      <c r="B118" s="31" t="s">
        <v>1101</v>
      </c>
      <c r="C118" s="42" t="str">
        <f>IF(AND('Check in'!B:B=B118,'Check in'!D:D="Good Condition"),"Usable","Not Usable")</f>
        <v>Not Usable</v>
      </c>
      <c r="D118" s="32"/>
      <c r="E118" s="42" t="s">
        <v>10</v>
      </c>
      <c r="F118" s="53" t="s">
        <v>1102</v>
      </c>
      <c r="G118" s="42">
        <v>1.0</v>
      </c>
      <c r="H118" s="32"/>
      <c r="I118" s="32"/>
      <c r="J118" s="47"/>
      <c r="K118" s="42" t="s">
        <v>1103</v>
      </c>
      <c r="L118" s="42"/>
      <c r="M118" s="42" t="s">
        <v>82</v>
      </c>
      <c r="N118" s="44"/>
    </row>
    <row r="119">
      <c r="A119" s="32"/>
      <c r="B119" s="31" t="s">
        <v>1104</v>
      </c>
      <c r="C119" s="42" t="s">
        <v>1076</v>
      </c>
      <c r="D119" s="32"/>
      <c r="E119" s="42" t="s">
        <v>828</v>
      </c>
      <c r="F119" s="53" t="s">
        <v>1105</v>
      </c>
      <c r="G119" s="42">
        <v>1.0</v>
      </c>
      <c r="H119" s="42" t="s">
        <v>219</v>
      </c>
      <c r="I119" s="32"/>
      <c r="J119" s="47"/>
      <c r="K119" s="32"/>
      <c r="L119" s="42"/>
      <c r="M119" s="42"/>
      <c r="N119" s="44"/>
    </row>
    <row r="120">
      <c r="A120" s="32"/>
      <c r="B120" s="31" t="s">
        <v>79</v>
      </c>
      <c r="C120" s="42" t="str">
        <f>IF(AND('Check in'!B:B=B120,'Check in'!D:D="Good Condition"),"Usable","Not Usable")</f>
        <v>Not Usable</v>
      </c>
      <c r="D120" s="32"/>
      <c r="E120" s="42" t="s">
        <v>10</v>
      </c>
      <c r="F120" s="53" t="s">
        <v>80</v>
      </c>
      <c r="G120" s="42">
        <v>1.0</v>
      </c>
      <c r="H120" s="32"/>
      <c r="I120" s="32"/>
      <c r="J120" s="47" t="s">
        <v>81</v>
      </c>
      <c r="K120" s="32"/>
      <c r="L120" s="42" t="s">
        <v>213</v>
      </c>
      <c r="M120" s="42" t="s">
        <v>82</v>
      </c>
      <c r="N120" s="44"/>
    </row>
    <row r="121">
      <c r="A121" s="32"/>
      <c r="B121" s="31" t="s">
        <v>73</v>
      </c>
      <c r="C121" s="42" t="str">
        <f>IF(AND('Check in'!B:B=B121,'Check in'!D:D="Good Condition"),"Usable","Not Usable")</f>
        <v>Not Usable</v>
      </c>
      <c r="D121" s="32"/>
      <c r="E121" s="42" t="s">
        <v>10</v>
      </c>
      <c r="F121" s="53" t="s">
        <v>74</v>
      </c>
      <c r="G121" s="42">
        <v>1.0</v>
      </c>
      <c r="H121" s="32"/>
      <c r="I121" s="32"/>
      <c r="J121" s="47" t="s">
        <v>76</v>
      </c>
      <c r="K121" s="32"/>
      <c r="L121" s="32"/>
      <c r="M121" s="42" t="s">
        <v>82</v>
      </c>
      <c r="N121" s="44"/>
    </row>
    <row r="122">
      <c r="A122" s="32"/>
      <c r="B122" s="31"/>
      <c r="C122" s="42" t="s">
        <v>1076</v>
      </c>
      <c r="D122" s="32"/>
      <c r="E122" s="42" t="s">
        <v>10</v>
      </c>
      <c r="F122" s="53" t="s">
        <v>97</v>
      </c>
      <c r="G122" s="42">
        <v>1.0</v>
      </c>
      <c r="H122" s="42" t="s">
        <v>834</v>
      </c>
      <c r="I122" s="42" t="s">
        <v>1106</v>
      </c>
      <c r="J122" s="47" t="s">
        <v>98</v>
      </c>
      <c r="K122" s="32"/>
      <c r="L122" s="42" t="s">
        <v>1107</v>
      </c>
      <c r="M122" s="42"/>
      <c r="N122" s="44"/>
    </row>
    <row r="123">
      <c r="A123" s="32"/>
      <c r="B123" s="31" t="s">
        <v>1108</v>
      </c>
      <c r="C123" s="42" t="str">
        <f>IF(AND('Check in'!B:B=B123,'Check in'!D:D="Good Condition"),"Usable","Not Usable")</f>
        <v>Not Usable</v>
      </c>
      <c r="D123" s="32"/>
      <c r="E123" s="42" t="s">
        <v>10</v>
      </c>
      <c r="F123" s="53" t="s">
        <v>93</v>
      </c>
      <c r="G123" s="42">
        <v>1.0</v>
      </c>
      <c r="H123" s="42" t="s">
        <v>834</v>
      </c>
      <c r="I123" s="42" t="s">
        <v>1106</v>
      </c>
      <c r="J123" s="47" t="s">
        <v>94</v>
      </c>
      <c r="K123" s="32"/>
      <c r="L123" s="42" t="s">
        <v>1109</v>
      </c>
      <c r="M123" s="42" t="s">
        <v>95</v>
      </c>
      <c r="N123" s="44"/>
    </row>
    <row r="124">
      <c r="A124" s="32"/>
      <c r="B124" s="31" t="s">
        <v>107</v>
      </c>
      <c r="C124" s="42" t="str">
        <f>IF(AND('Check in'!B:B=B124,'Check in'!D:D="Good Condition"),"Usable","Not Usable")</f>
        <v>Not Usable</v>
      </c>
      <c r="D124" s="32"/>
      <c r="E124" s="42" t="s">
        <v>10</v>
      </c>
      <c r="F124" s="53" t="s">
        <v>1110</v>
      </c>
      <c r="G124" s="42">
        <v>1.0</v>
      </c>
      <c r="H124" s="32"/>
      <c r="I124" s="42" t="s">
        <v>1111</v>
      </c>
      <c r="J124" s="47" t="s">
        <v>109</v>
      </c>
      <c r="K124" s="32"/>
      <c r="L124" s="42" t="s">
        <v>1112</v>
      </c>
      <c r="M124" s="42" t="s">
        <v>95</v>
      </c>
      <c r="N124" s="44"/>
    </row>
    <row r="125">
      <c r="A125" s="32"/>
      <c r="B125" s="31"/>
      <c r="C125" s="42" t="s">
        <v>1076</v>
      </c>
      <c r="D125" s="32"/>
      <c r="E125" s="42" t="s">
        <v>10</v>
      </c>
      <c r="F125" s="53" t="s">
        <v>128</v>
      </c>
      <c r="G125" s="42">
        <v>1.0</v>
      </c>
      <c r="H125" s="42" t="s">
        <v>834</v>
      </c>
      <c r="I125" s="42" t="s">
        <v>1111</v>
      </c>
      <c r="J125" s="47" t="s">
        <v>129</v>
      </c>
      <c r="K125" s="32"/>
      <c r="L125" s="42" t="s">
        <v>1113</v>
      </c>
      <c r="M125" s="42"/>
      <c r="N125" s="44"/>
    </row>
    <row r="126">
      <c r="A126" s="32"/>
      <c r="B126" s="31" t="s">
        <v>1114</v>
      </c>
      <c r="C126" s="42" t="str">
        <f>IF(AND('Check in'!B:B=B126,'Check in'!D:D="Good Condition"),"Usable","Not Usable")</f>
        <v>Not Usable</v>
      </c>
      <c r="D126" s="32"/>
      <c r="E126" s="42" t="s">
        <v>10</v>
      </c>
      <c r="F126" s="53" t="s">
        <v>42</v>
      </c>
      <c r="G126" s="42">
        <v>1.0</v>
      </c>
      <c r="H126" s="32"/>
      <c r="I126" s="32"/>
      <c r="J126" s="47" t="s">
        <v>56</v>
      </c>
      <c r="K126" s="32"/>
      <c r="L126" s="32"/>
      <c r="M126" s="42" t="s">
        <v>95</v>
      </c>
      <c r="N126" s="44"/>
    </row>
    <row r="127">
      <c r="A127" s="32"/>
      <c r="B127" s="31" t="s">
        <v>103</v>
      </c>
      <c r="C127" s="42" t="str">
        <f>IF(AND('Check in'!B:B=B127,'Check in'!D:D="Good Condition"),"Usable","Not Usable")</f>
        <v>Not Usable</v>
      </c>
      <c r="D127" s="32"/>
      <c r="E127" s="42" t="s">
        <v>10</v>
      </c>
      <c r="F127" s="53" t="s">
        <v>104</v>
      </c>
      <c r="G127" s="42">
        <v>1.0</v>
      </c>
      <c r="H127" s="32"/>
      <c r="I127" s="32"/>
      <c r="J127" s="47" t="s">
        <v>105</v>
      </c>
      <c r="K127" s="32"/>
      <c r="L127" s="42" t="s">
        <v>1115</v>
      </c>
      <c r="M127" s="42" t="s">
        <v>95</v>
      </c>
      <c r="N127" s="44"/>
    </row>
    <row r="128">
      <c r="A128" s="32"/>
      <c r="B128" s="31" t="s">
        <v>59</v>
      </c>
      <c r="C128" s="42" t="str">
        <f>IF(AND('Check in'!B:B=B128,'Check in'!D:D="Good Condition"),"Usable","Not Usable")</f>
        <v>Not Usable</v>
      </c>
      <c r="D128" s="32"/>
      <c r="E128" s="42" t="s">
        <v>10</v>
      </c>
      <c r="F128" s="53" t="s">
        <v>1116</v>
      </c>
      <c r="G128" s="42">
        <v>1.0</v>
      </c>
      <c r="H128" s="32"/>
      <c r="I128" s="32"/>
      <c r="J128" s="47" t="s">
        <v>1117</v>
      </c>
      <c r="K128" s="32"/>
      <c r="L128" s="42" t="s">
        <v>1118</v>
      </c>
      <c r="M128" s="42" t="s">
        <v>95</v>
      </c>
      <c r="N128" s="44"/>
    </row>
    <row r="129">
      <c r="A129" s="32"/>
      <c r="B129" s="31" t="s">
        <v>123</v>
      </c>
      <c r="C129" s="42" t="str">
        <f>IF(AND('Check in'!B:B=B129,'Check in'!D:D="Good Condition"),"Usable","Not Usable")</f>
        <v>Not Usable</v>
      </c>
      <c r="D129" s="32"/>
      <c r="E129" s="42" t="s">
        <v>10</v>
      </c>
      <c r="F129" s="53" t="s">
        <v>1119</v>
      </c>
      <c r="G129" s="42">
        <v>1.0</v>
      </c>
      <c r="H129" s="32"/>
      <c r="I129" s="32"/>
      <c r="J129" s="52"/>
      <c r="K129" s="32"/>
      <c r="L129" s="32"/>
      <c r="M129" s="42" t="s">
        <v>95</v>
      </c>
      <c r="N129" s="44"/>
    </row>
    <row r="130">
      <c r="A130" s="32"/>
      <c r="B130" s="31" t="s">
        <v>119</v>
      </c>
      <c r="C130" s="42" t="str">
        <f>IF(AND('Check in'!B:B=B130,'Check in'!D:D="Good Condition"),"Usable","Not Usable")</f>
        <v>Not Usable</v>
      </c>
      <c r="D130" s="32"/>
      <c r="E130" s="42" t="s">
        <v>10</v>
      </c>
      <c r="F130" s="42" t="s">
        <v>1120</v>
      </c>
      <c r="G130" s="42">
        <v>1.0</v>
      </c>
      <c r="H130" s="32"/>
      <c r="I130" s="32"/>
      <c r="J130" s="47" t="s">
        <v>121</v>
      </c>
      <c r="K130" s="32"/>
      <c r="L130" s="32"/>
      <c r="M130" s="42" t="s">
        <v>95</v>
      </c>
      <c r="N130" s="44"/>
    </row>
    <row r="131">
      <c r="A131" s="32"/>
      <c r="B131" s="31"/>
      <c r="C131" s="42" t="s">
        <v>908</v>
      </c>
      <c r="D131" s="32"/>
      <c r="E131" s="42" t="s">
        <v>158</v>
      </c>
      <c r="F131" s="53" t="s">
        <v>47</v>
      </c>
      <c r="G131" s="42">
        <v>1.0</v>
      </c>
      <c r="H131" s="42" t="s">
        <v>1121</v>
      </c>
      <c r="I131" s="42" t="s">
        <v>857</v>
      </c>
      <c r="J131" s="47" t="s">
        <v>169</v>
      </c>
      <c r="K131" s="32"/>
      <c r="L131" s="42"/>
      <c r="M131" s="42" t="s">
        <v>52</v>
      </c>
      <c r="N131" s="44"/>
    </row>
    <row r="132">
      <c r="A132" s="32"/>
      <c r="B132" s="31"/>
      <c r="C132" s="42" t="s">
        <v>908</v>
      </c>
      <c r="D132" s="32"/>
      <c r="E132" s="42" t="s">
        <v>10</v>
      </c>
      <c r="F132" s="53" t="s">
        <v>54</v>
      </c>
      <c r="G132" s="42">
        <v>1.0</v>
      </c>
      <c r="H132" s="42" t="s">
        <v>1121</v>
      </c>
      <c r="I132" s="42"/>
      <c r="J132" s="47" t="s">
        <v>56</v>
      </c>
      <c r="K132" s="32"/>
      <c r="L132" s="42" t="s">
        <v>1122</v>
      </c>
      <c r="M132" s="42" t="s">
        <v>52</v>
      </c>
      <c r="N132" s="44"/>
    </row>
    <row r="133">
      <c r="A133" s="32"/>
      <c r="B133" s="31" t="s">
        <v>46</v>
      </c>
      <c r="C133" s="42" t="str">
        <f>IF(AND('Check in'!B:B=B133,'Check in'!D:D="Good Condition"),"Usable","Not Usable")</f>
        <v>Not Usable</v>
      </c>
      <c r="D133" s="32"/>
      <c r="E133" s="42" t="s">
        <v>10</v>
      </c>
      <c r="F133" s="53" t="s">
        <v>47</v>
      </c>
      <c r="G133" s="42">
        <v>1.0</v>
      </c>
      <c r="H133" s="42" t="s">
        <v>1121</v>
      </c>
      <c r="I133" s="42" t="s">
        <v>49</v>
      </c>
      <c r="J133" s="47" t="s">
        <v>50</v>
      </c>
      <c r="K133" s="32"/>
      <c r="L133" s="42" t="s">
        <v>1123</v>
      </c>
      <c r="M133" s="42" t="s">
        <v>52</v>
      </c>
      <c r="N133" s="44"/>
    </row>
    <row r="134">
      <c r="A134" s="32"/>
      <c r="B134" s="42" t="s">
        <v>64</v>
      </c>
      <c r="C134" s="42" t="str">
        <f>IF(AND('Check in'!B:B=B134,'Check in'!D:D="Good Condition"),"Usable","Not Usable")</f>
        <v>Not Usable</v>
      </c>
      <c r="D134" s="32"/>
      <c r="E134" s="42" t="s">
        <v>10</v>
      </c>
      <c r="F134" s="53" t="s">
        <v>390</v>
      </c>
      <c r="G134" s="42">
        <v>1.0</v>
      </c>
      <c r="H134" s="32"/>
      <c r="I134" s="32"/>
      <c r="J134" s="47"/>
      <c r="K134" s="32"/>
      <c r="L134" s="42" t="s">
        <v>1124</v>
      </c>
      <c r="M134" s="42" t="s">
        <v>916</v>
      </c>
      <c r="N134" s="44"/>
    </row>
    <row r="135">
      <c r="A135" s="32"/>
      <c r="B135" s="31" t="s">
        <v>157</v>
      </c>
      <c r="C135" s="42" t="str">
        <f>IF(AND('Check in'!B:B=B135,'Check in'!D:D="Good Condition"),"Usable","Not Usable")</f>
        <v>Not Usable</v>
      </c>
      <c r="D135" s="32"/>
      <c r="E135" s="42" t="s">
        <v>10</v>
      </c>
      <c r="F135" s="53" t="s">
        <v>1125</v>
      </c>
      <c r="G135" s="42">
        <v>1.0</v>
      </c>
      <c r="H135" s="32"/>
      <c r="I135" s="32"/>
      <c r="J135" s="47"/>
      <c r="K135" s="32"/>
      <c r="L135" s="42" t="s">
        <v>1126</v>
      </c>
      <c r="M135" s="42" t="s">
        <v>916</v>
      </c>
      <c r="N135" s="44"/>
    </row>
    <row r="136">
      <c r="A136" s="32"/>
      <c r="B136" s="31" t="s">
        <v>23</v>
      </c>
      <c r="C136" s="42" t="str">
        <f>IF(AND('Check in'!B:B=B136,'Check in'!D:D="Good Condition"),"Usable","Not Usable")</f>
        <v>Not Usable</v>
      </c>
      <c r="D136" s="32"/>
      <c r="E136" s="42" t="s">
        <v>10</v>
      </c>
      <c r="F136" s="53" t="s">
        <v>24</v>
      </c>
      <c r="G136" s="42">
        <v>1.0</v>
      </c>
      <c r="H136" s="32"/>
      <c r="I136" s="32"/>
      <c r="J136" s="47"/>
      <c r="K136" s="32"/>
      <c r="L136" s="42" t="s">
        <v>213</v>
      </c>
      <c r="M136" s="42" t="s">
        <v>16</v>
      </c>
      <c r="N136" s="44"/>
    </row>
    <row r="137">
      <c r="A137" s="32"/>
      <c r="B137" s="31" t="s">
        <v>31</v>
      </c>
      <c r="C137" s="42" t="str">
        <f>IF(AND('Check in'!B:B=B137,'Check in'!D:D="Good Condition"),"Usable","Not Usable")</f>
        <v>Not Usable</v>
      </c>
      <c r="D137" s="32"/>
      <c r="E137" s="42" t="s">
        <v>10</v>
      </c>
      <c r="F137" s="53" t="s">
        <v>1127</v>
      </c>
      <c r="G137" s="42">
        <v>1.0</v>
      </c>
      <c r="H137" s="42" t="s">
        <v>892</v>
      </c>
      <c r="I137" s="42" t="s">
        <v>33</v>
      </c>
      <c r="J137" s="47"/>
      <c r="K137" s="32"/>
      <c r="L137" s="42" t="s">
        <v>1128</v>
      </c>
      <c r="M137" s="42" t="s">
        <v>35</v>
      </c>
      <c r="N137" s="44"/>
    </row>
    <row r="138">
      <c r="A138" s="32"/>
      <c r="B138" s="31" t="s">
        <v>84</v>
      </c>
      <c r="C138" s="42" t="str">
        <f>IF(AND('Check in'!B:B=B138,'Check in'!D:D="Good Condition"),"Usable","Not Usable")</f>
        <v>Not Usable</v>
      </c>
      <c r="D138" s="32"/>
      <c r="E138" s="42" t="s">
        <v>10</v>
      </c>
      <c r="F138" s="53" t="s">
        <v>85</v>
      </c>
      <c r="G138" s="42">
        <v>1.0</v>
      </c>
      <c r="H138" s="32"/>
      <c r="I138" s="32"/>
      <c r="J138" s="47" t="s">
        <v>1129</v>
      </c>
      <c r="K138" s="32"/>
      <c r="L138" s="42" t="s">
        <v>1130</v>
      </c>
      <c r="M138" s="42" t="s">
        <v>82</v>
      </c>
      <c r="N138" s="44"/>
    </row>
    <row r="139">
      <c r="A139" s="32"/>
      <c r="B139" s="31" t="s">
        <v>171</v>
      </c>
      <c r="C139" s="42" t="s">
        <v>1076</v>
      </c>
      <c r="D139" s="32"/>
      <c r="E139" s="42" t="s">
        <v>158</v>
      </c>
      <c r="F139" s="53" t="s">
        <v>1116</v>
      </c>
      <c r="G139" s="42">
        <v>1.0</v>
      </c>
      <c r="H139" s="42"/>
      <c r="I139" s="42" t="s">
        <v>857</v>
      </c>
      <c r="J139" s="47" t="s">
        <v>173</v>
      </c>
      <c r="K139" s="32"/>
      <c r="L139" s="42"/>
      <c r="M139" s="42" t="s">
        <v>916</v>
      </c>
      <c r="N139" s="44"/>
    </row>
    <row r="140">
      <c r="A140" s="32"/>
      <c r="B140" s="31" t="s">
        <v>88</v>
      </c>
      <c r="C140" s="42" t="str">
        <f>IF(AND('Check in'!B:B=B140,'Check in'!D:D="Good Condition"),"Usable","Not Usable")</f>
        <v>Not Usable</v>
      </c>
      <c r="D140" s="32"/>
      <c r="E140" s="42" t="s">
        <v>10</v>
      </c>
      <c r="F140" s="53" t="s">
        <v>89</v>
      </c>
      <c r="G140" s="42">
        <v>1.0</v>
      </c>
      <c r="H140" s="32"/>
      <c r="I140" s="32"/>
      <c r="J140" s="47" t="s">
        <v>90</v>
      </c>
      <c r="K140" s="32"/>
      <c r="L140" s="42" t="s">
        <v>1131</v>
      </c>
      <c r="M140" s="42" t="s">
        <v>16</v>
      </c>
      <c r="N140" s="44"/>
    </row>
    <row r="141">
      <c r="A141" s="32"/>
      <c r="C141" s="42"/>
      <c r="D141" s="32"/>
      <c r="E141" s="31" t="s">
        <v>158</v>
      </c>
      <c r="F141" s="53" t="s">
        <v>390</v>
      </c>
      <c r="G141" s="42">
        <v>1.0</v>
      </c>
      <c r="H141" s="42" t="s">
        <v>1132</v>
      </c>
      <c r="I141" s="42" t="s">
        <v>857</v>
      </c>
      <c r="J141" s="47" t="s">
        <v>1133</v>
      </c>
      <c r="K141" s="32"/>
      <c r="L141" s="42" t="s">
        <v>1134</v>
      </c>
      <c r="M141" s="42" t="s">
        <v>916</v>
      </c>
      <c r="N141" s="44"/>
    </row>
    <row r="142">
      <c r="A142" s="32"/>
      <c r="B142" s="31" t="s">
        <v>448</v>
      </c>
      <c r="C142" s="42" t="str">
        <f>IF(AND('Check in'!B:B=B142,'Check in'!D:D="Good Condition"),"Usable","Not Usable")</f>
        <v>Not Usable</v>
      </c>
      <c r="D142" s="32"/>
      <c r="E142" s="42" t="s">
        <v>306</v>
      </c>
      <c r="F142" s="53" t="s">
        <v>1125</v>
      </c>
      <c r="G142" s="42">
        <v>1.0</v>
      </c>
      <c r="H142" s="32"/>
      <c r="I142" s="32"/>
      <c r="J142" s="47" t="s">
        <v>1135</v>
      </c>
      <c r="K142" s="32"/>
      <c r="L142" s="42" t="s">
        <v>213</v>
      </c>
      <c r="M142" s="42" t="s">
        <v>916</v>
      </c>
      <c r="N142" s="44"/>
    </row>
    <row r="143" ht="16.5" customHeight="1">
      <c r="A143" s="32"/>
      <c r="B143" s="31" t="s">
        <v>1136</v>
      </c>
      <c r="C143" s="42" t="str">
        <f>IF(AND('Check in'!B:B=B143,'Check in'!D:D="Good Condition"),"Usable","Not Usable")</f>
        <v>Not Usable</v>
      </c>
      <c r="D143" s="32"/>
      <c r="E143" s="42" t="s">
        <v>1137</v>
      </c>
      <c r="F143" s="42" t="s">
        <v>1102</v>
      </c>
      <c r="G143" s="42">
        <v>1.0</v>
      </c>
      <c r="H143" s="32"/>
      <c r="I143" s="32"/>
      <c r="J143" s="34"/>
      <c r="K143" s="32"/>
      <c r="L143" s="32"/>
      <c r="M143" s="42" t="s">
        <v>82</v>
      </c>
      <c r="N143" s="44"/>
    </row>
    <row r="144">
      <c r="A144" s="32"/>
      <c r="B144" s="42" t="s">
        <v>1138</v>
      </c>
      <c r="C144" s="42" t="str">
        <f>IF(AND('Check in'!B:B=B144,'Check in'!D:D="Good Condition"),"Usable","Not Usable")</f>
        <v>Not Usable</v>
      </c>
      <c r="D144" s="32"/>
      <c r="E144" s="42" t="s">
        <v>1139</v>
      </c>
      <c r="F144" s="42" t="s">
        <v>1102</v>
      </c>
      <c r="G144" s="42">
        <v>1.0</v>
      </c>
      <c r="H144" s="32"/>
      <c r="I144" s="32"/>
      <c r="J144" s="34"/>
      <c r="K144" s="32"/>
      <c r="L144" s="32"/>
      <c r="M144" s="42" t="s">
        <v>82</v>
      </c>
      <c r="N144" s="44"/>
    </row>
    <row r="145" ht="16.5" customHeight="1">
      <c r="A145" s="32"/>
      <c r="B145" s="31" t="s">
        <v>1140</v>
      </c>
      <c r="C145" s="42" t="str">
        <f>IF(AND('Check in'!B:B=B145,'Check in'!D:D="Good Condition"),"Usable","Not Usable")</f>
        <v>Not Usable</v>
      </c>
      <c r="D145" s="32"/>
      <c r="E145" s="42" t="s">
        <v>1141</v>
      </c>
      <c r="F145" s="42" t="s">
        <v>1102</v>
      </c>
      <c r="G145" s="42">
        <v>1.0</v>
      </c>
      <c r="H145" s="32"/>
      <c r="I145" s="32"/>
      <c r="J145" s="34"/>
      <c r="K145" s="32"/>
      <c r="L145" s="32"/>
      <c r="M145" s="42" t="s">
        <v>82</v>
      </c>
      <c r="N145" s="44"/>
    </row>
    <row r="146" ht="16.5" customHeight="1">
      <c r="A146" s="32"/>
      <c r="B146" s="31" t="s">
        <v>1142</v>
      </c>
      <c r="C146" s="42" t="str">
        <f>IF(AND('Check in'!B:B=B146,'Check in'!D:D="Good Condition"),"Usable","Not Usable")</f>
        <v>Not Usable</v>
      </c>
      <c r="D146" s="32"/>
      <c r="E146" s="42" t="s">
        <v>1143</v>
      </c>
      <c r="F146" s="32"/>
      <c r="G146" s="32"/>
      <c r="H146" s="42" t="s">
        <v>1144</v>
      </c>
      <c r="I146" s="32"/>
      <c r="J146" s="34"/>
      <c r="K146" s="32"/>
      <c r="L146" s="32"/>
      <c r="M146" s="32"/>
      <c r="N146" s="48"/>
    </row>
    <row r="147">
      <c r="A147" s="32"/>
      <c r="B147" s="31" t="s">
        <v>1145</v>
      </c>
      <c r="C147" s="42" t="str">
        <f>IF(AND('Check in'!B:B=B147,'Check in'!D:D="Good Condition"),"Usable","Not Usable")</f>
        <v>Not Usable</v>
      </c>
      <c r="D147" s="32"/>
      <c r="E147" s="42" t="s">
        <v>1146</v>
      </c>
      <c r="F147" s="32"/>
      <c r="G147" s="32"/>
      <c r="H147" s="42" t="s">
        <v>1144</v>
      </c>
      <c r="I147" s="32"/>
      <c r="J147" s="34"/>
      <c r="K147" s="32"/>
      <c r="L147" s="32"/>
      <c r="M147" s="32"/>
      <c r="N147" s="48"/>
    </row>
    <row r="148">
      <c r="A148" s="32"/>
      <c r="B148" s="31" t="s">
        <v>1147</v>
      </c>
      <c r="C148" s="42" t="str">
        <f>IF(AND('Check in'!B:B=B148,'Check in'!D:D="Good Condition"),"Usable","Not Usable")</f>
        <v>Not Usable</v>
      </c>
      <c r="D148" s="32"/>
      <c r="E148" s="13" t="s">
        <v>1148</v>
      </c>
      <c r="F148" s="32"/>
      <c r="G148" s="32"/>
      <c r="H148" s="13" t="s">
        <v>1149</v>
      </c>
      <c r="I148" s="32"/>
      <c r="J148" s="34"/>
      <c r="K148" s="32"/>
      <c r="L148" s="32"/>
      <c r="M148" s="32"/>
      <c r="N148" s="48"/>
    </row>
    <row r="149">
      <c r="A149" s="32"/>
      <c r="B149" s="31" t="s">
        <v>1150</v>
      </c>
      <c r="C149" s="42" t="str">
        <f>IF(AND('Check in'!B:B=B149,'Check in'!D:D="Good Condition"),"Usable","Not Usable")</f>
        <v>Not Usable</v>
      </c>
      <c r="D149" s="32"/>
      <c r="E149" s="13" t="s">
        <v>1148</v>
      </c>
      <c r="F149" s="32"/>
      <c r="G149" s="32"/>
      <c r="H149" s="13" t="s">
        <v>1149</v>
      </c>
      <c r="I149" s="32"/>
      <c r="J149" s="34"/>
      <c r="K149" s="32"/>
      <c r="L149" s="32"/>
      <c r="M149" s="32"/>
      <c r="N149" s="48"/>
    </row>
    <row r="150">
      <c r="A150" s="32"/>
      <c r="B150" s="31" t="s">
        <v>1151</v>
      </c>
      <c r="C150" s="42" t="str">
        <f>IF(AND('Check in'!B:B=B150,'Check in'!D:D="Good Condition"),"Usable","Not Usable")</f>
        <v>Not Usable</v>
      </c>
      <c r="D150" s="32"/>
      <c r="E150" s="42" t="s">
        <v>1152</v>
      </c>
      <c r="F150" s="32"/>
      <c r="G150" s="32"/>
      <c r="H150" s="13" t="s">
        <v>1149</v>
      </c>
      <c r="I150" s="32"/>
      <c r="J150" s="34"/>
      <c r="K150" s="32"/>
      <c r="L150" s="32"/>
      <c r="M150" s="32"/>
      <c r="N150" s="48"/>
    </row>
    <row r="151">
      <c r="A151" s="32"/>
      <c r="B151" s="31" t="s">
        <v>1153</v>
      </c>
      <c r="C151" s="42" t="str">
        <f>IF(AND('Check in'!B:B=B151,'Check in'!D:D="Good Condition"),"Usable","Not Usable")</f>
        <v>Not Usable</v>
      </c>
      <c r="D151" s="32"/>
      <c r="E151" s="42" t="s">
        <v>1154</v>
      </c>
      <c r="F151" s="32"/>
      <c r="G151" s="32"/>
      <c r="H151" s="32"/>
      <c r="I151" s="32"/>
      <c r="J151" s="34"/>
      <c r="K151" s="32"/>
      <c r="L151" s="32"/>
      <c r="M151" s="32"/>
      <c r="N151" s="48"/>
    </row>
    <row r="152">
      <c r="A152" s="32"/>
      <c r="B152" s="31" t="s">
        <v>1155</v>
      </c>
      <c r="C152" s="42" t="str">
        <f>IF(AND('Check in'!B:B=B152,'Check in'!D:D="Good Condition"),"Usable","Not Usable")</f>
        <v>Not Usable</v>
      </c>
      <c r="D152" s="32"/>
      <c r="E152" s="42" t="s">
        <v>1156</v>
      </c>
      <c r="F152" s="32"/>
      <c r="G152" s="32"/>
      <c r="H152" s="32"/>
      <c r="I152" s="32"/>
      <c r="J152" s="34"/>
      <c r="K152" s="32"/>
      <c r="L152" s="32"/>
      <c r="M152" s="32"/>
      <c r="N152" s="48"/>
    </row>
    <row r="153">
      <c r="A153" s="32"/>
      <c r="B153" s="31" t="s">
        <v>1157</v>
      </c>
      <c r="C153" s="42" t="str">
        <f>IF(AND('Check in'!B:B=B153,'Check in'!D:D="Good Condition"),"Usable","Not Usable")</f>
        <v>Not Usable</v>
      </c>
      <c r="D153" s="32"/>
      <c r="E153" s="42" t="s">
        <v>1158</v>
      </c>
      <c r="F153" s="32"/>
      <c r="G153" s="32"/>
      <c r="H153" s="32"/>
      <c r="I153" s="32"/>
      <c r="J153" s="34"/>
      <c r="K153" s="32"/>
      <c r="L153" s="32"/>
      <c r="M153" s="32"/>
      <c r="N153" s="48"/>
    </row>
    <row r="154">
      <c r="A154" s="32"/>
      <c r="B154" s="31" t="s">
        <v>1159</v>
      </c>
      <c r="C154" s="42" t="str">
        <f>IF(AND('Check in'!B:B=B154,'Check in'!D:D="Good Condition"),"Usable","Not Usable")</f>
        <v>Not Usable</v>
      </c>
      <c r="D154" s="32"/>
      <c r="E154" s="42" t="s">
        <v>1160</v>
      </c>
      <c r="F154" s="32"/>
      <c r="G154" s="32"/>
      <c r="H154" s="32"/>
      <c r="I154" s="32"/>
      <c r="J154" s="34"/>
      <c r="K154" s="32"/>
      <c r="L154" s="32"/>
      <c r="M154" s="32"/>
      <c r="N154" s="48"/>
    </row>
    <row r="155">
      <c r="A155" s="32"/>
      <c r="B155" s="31" t="s">
        <v>1161</v>
      </c>
      <c r="C155" s="42" t="str">
        <f>IF(AND('Check in'!B:B=B155,'Check in'!D:D="Good Condition"),"Usable","Not Usable")</f>
        <v>Not Usable</v>
      </c>
      <c r="D155" s="32"/>
      <c r="E155" s="42" t="s">
        <v>1162</v>
      </c>
      <c r="F155" s="32"/>
      <c r="G155" s="32"/>
      <c r="H155" s="32"/>
      <c r="I155" s="32"/>
      <c r="J155" s="34"/>
      <c r="K155" s="32"/>
      <c r="L155" s="32"/>
      <c r="M155" s="32"/>
      <c r="N155" s="48"/>
    </row>
    <row r="156">
      <c r="A156" s="32"/>
      <c r="B156" s="31" t="s">
        <v>1163</v>
      </c>
      <c r="C156" s="42" t="str">
        <f>IF(AND('Check in'!B:B=B156,'Check in'!D:D="Good Condition"),"Usable","Not Usable")</f>
        <v>Not Usable</v>
      </c>
      <c r="D156" s="32"/>
      <c r="E156" s="42" t="s">
        <v>1164</v>
      </c>
      <c r="F156" s="32"/>
      <c r="G156" s="32"/>
      <c r="H156" s="32"/>
      <c r="I156" s="32"/>
      <c r="J156" s="34"/>
      <c r="K156" s="32"/>
      <c r="L156" s="32"/>
      <c r="M156" s="32"/>
      <c r="N156" s="48"/>
    </row>
    <row r="157">
      <c r="A157" s="32"/>
      <c r="B157" s="31" t="s">
        <v>1165</v>
      </c>
      <c r="C157" s="42" t="str">
        <f>IF(AND('Check in'!B:B=B157,'Check in'!D:D="Good Condition"),"Usable","Not Usable")</f>
        <v>Not Usable</v>
      </c>
      <c r="D157" s="32"/>
      <c r="E157" s="42" t="s">
        <v>1164</v>
      </c>
      <c r="F157" s="32"/>
      <c r="G157" s="32"/>
      <c r="H157" s="32"/>
      <c r="I157" s="32"/>
      <c r="J157" s="34"/>
      <c r="K157" s="32"/>
      <c r="L157" s="32"/>
      <c r="M157" s="32"/>
      <c r="N157" s="48"/>
    </row>
    <row r="158">
      <c r="A158" s="32"/>
      <c r="B158" s="31" t="s">
        <v>1166</v>
      </c>
      <c r="C158" s="42" t="str">
        <f>IF(AND('Check in'!B:B=B158,'Check in'!D:D="Good Condition"),"Usable","Not Usable")</f>
        <v>Not Usable</v>
      </c>
      <c r="D158" s="32"/>
      <c r="E158" s="42" t="s">
        <v>1164</v>
      </c>
      <c r="F158" s="32"/>
      <c r="G158" s="32"/>
      <c r="H158" s="32"/>
      <c r="I158" s="32"/>
      <c r="J158" s="34"/>
      <c r="K158" s="32"/>
      <c r="L158" s="32"/>
      <c r="M158" s="32"/>
      <c r="N158" s="48"/>
    </row>
    <row r="159">
      <c r="A159" s="32"/>
      <c r="B159" s="31" t="s">
        <v>1167</v>
      </c>
      <c r="C159" s="42" t="str">
        <f>IF(AND('Check in'!B:B=B159,'Check in'!D:D="Good Condition"),"Usable","Not Usable")</f>
        <v>Not Usable</v>
      </c>
      <c r="D159" s="32"/>
      <c r="E159" s="42" t="s">
        <v>1164</v>
      </c>
      <c r="F159" s="32"/>
      <c r="G159" s="32"/>
      <c r="H159" s="32"/>
      <c r="I159" s="32"/>
      <c r="J159" s="34"/>
      <c r="K159" s="32"/>
      <c r="L159" s="32"/>
      <c r="M159" s="32"/>
      <c r="N159" s="48"/>
    </row>
    <row r="160">
      <c r="A160" s="32"/>
      <c r="B160" s="31" t="s">
        <v>1168</v>
      </c>
      <c r="C160" s="42" t="str">
        <f>IF(AND('Check in'!B:B=B160,'Check in'!D:D="Good Condition"),"Usable","Not Usable")</f>
        <v>Not Usable</v>
      </c>
      <c r="D160" s="32"/>
      <c r="E160" s="42" t="s">
        <v>1169</v>
      </c>
      <c r="F160" s="32"/>
      <c r="G160" s="32"/>
      <c r="H160" s="32"/>
      <c r="I160" s="32"/>
      <c r="J160" s="34"/>
      <c r="K160" s="32"/>
      <c r="L160" s="32"/>
      <c r="M160" s="32"/>
      <c r="N160" s="48"/>
    </row>
    <row r="161">
      <c r="A161" s="32"/>
      <c r="B161" s="31" t="s">
        <v>1170</v>
      </c>
      <c r="C161" s="42" t="str">
        <f>IF(AND('Check in'!B:B=B161,'Check in'!D:D="Good Condition"),"Usable","Not Usable")</f>
        <v>Not Usable</v>
      </c>
      <c r="D161" s="32"/>
      <c r="E161" s="42" t="s">
        <v>1169</v>
      </c>
      <c r="F161" s="32"/>
      <c r="G161" s="32"/>
      <c r="H161" s="32"/>
      <c r="I161" s="32"/>
      <c r="J161" s="34"/>
      <c r="K161" s="32"/>
      <c r="L161" s="32"/>
      <c r="M161" s="32"/>
      <c r="N161" s="48"/>
    </row>
    <row r="162">
      <c r="A162" s="32"/>
      <c r="B162" s="31" t="s">
        <v>1171</v>
      </c>
      <c r="C162" s="42" t="str">
        <f>IF(AND('Check in'!B:B=B162,'Check in'!D:D="Good Condition"),"Usable","Not Usable")</f>
        <v>Not Usable</v>
      </c>
      <c r="D162" s="32"/>
      <c r="E162" s="42" t="s">
        <v>1172</v>
      </c>
      <c r="F162" s="32"/>
      <c r="G162" s="32"/>
      <c r="H162" s="32"/>
      <c r="I162" s="32"/>
      <c r="J162" s="34"/>
      <c r="K162" s="32"/>
      <c r="L162" s="32"/>
      <c r="M162" s="32"/>
      <c r="N162" s="48"/>
    </row>
    <row r="163">
      <c r="A163" s="32"/>
      <c r="B163" s="31" t="s">
        <v>1173</v>
      </c>
      <c r="C163" s="42" t="str">
        <f>IF(AND('Check in'!B:B=B163,'Check in'!D:D="Good Condition"),"Usable","Not Usable")</f>
        <v>Not Usable</v>
      </c>
      <c r="D163" s="32"/>
      <c r="E163" s="42" t="s">
        <v>1174</v>
      </c>
      <c r="F163" s="32"/>
      <c r="G163" s="32"/>
      <c r="H163" s="32"/>
      <c r="I163" s="32"/>
      <c r="J163" s="34"/>
      <c r="K163" s="32"/>
      <c r="L163" s="32"/>
      <c r="M163" s="32"/>
      <c r="N163" s="48"/>
    </row>
    <row r="164">
      <c r="A164" s="32"/>
      <c r="B164" s="31" t="s">
        <v>1175</v>
      </c>
      <c r="C164" s="42" t="str">
        <f>IF(AND('Check in'!B:B=B164,'Check in'!D:D="Good Condition"),"Usable","Not Usable")</f>
        <v>Not Usable</v>
      </c>
      <c r="D164" s="32"/>
      <c r="E164" s="42" t="s">
        <v>1176</v>
      </c>
      <c r="F164" s="32"/>
      <c r="G164" s="32"/>
      <c r="H164" s="32"/>
      <c r="I164" s="32"/>
      <c r="J164" s="34"/>
      <c r="K164" s="32"/>
      <c r="L164" s="32"/>
      <c r="M164" s="32"/>
      <c r="N164" s="48"/>
    </row>
    <row r="165">
      <c r="A165" s="32"/>
      <c r="B165" s="31" t="s">
        <v>1177</v>
      </c>
      <c r="C165" s="42" t="str">
        <f>IF(AND('Check in'!B:B=B165,'Check in'!D:D="Good Condition"),"Usable","Not Usable")</f>
        <v>Not Usable</v>
      </c>
      <c r="D165" s="32"/>
      <c r="E165" s="42" t="s">
        <v>1178</v>
      </c>
      <c r="F165" s="32"/>
      <c r="G165" s="32"/>
      <c r="H165" s="42" t="s">
        <v>219</v>
      </c>
      <c r="I165" s="32"/>
      <c r="J165" s="34"/>
      <c r="K165" s="32"/>
      <c r="L165" s="32"/>
      <c r="M165" s="32"/>
      <c r="N165" s="48"/>
    </row>
    <row r="166">
      <c r="A166" s="32"/>
      <c r="B166" s="54"/>
      <c r="C166" s="42" t="str">
        <f>IF(AND('Check in'!B:B=B166,'Check in'!D:D="Good Condition"),"Usable","Not Usable")</f>
        <v>Not Usable</v>
      </c>
      <c r="D166" s="32"/>
      <c r="E166" s="42" t="s">
        <v>1179</v>
      </c>
      <c r="F166" s="32"/>
      <c r="G166" s="33"/>
      <c r="H166" s="42" t="s">
        <v>1180</v>
      </c>
      <c r="I166" s="33"/>
      <c r="J166" s="34"/>
      <c r="K166" s="32"/>
      <c r="L166" s="32"/>
      <c r="M166" s="32"/>
      <c r="N166" s="48"/>
    </row>
    <row r="167">
      <c r="A167" s="32"/>
      <c r="B167" s="54"/>
      <c r="C167" s="42" t="str">
        <f>IF(AND('Check in'!B:B=B167,'Check in'!D:D="Good Condition"),"Usable","Not Usable")</f>
        <v>Not Usable</v>
      </c>
      <c r="D167" s="32"/>
      <c r="E167" s="42" t="s">
        <v>1181</v>
      </c>
      <c r="F167" s="32"/>
      <c r="G167" s="33"/>
      <c r="H167" s="42" t="s">
        <v>1180</v>
      </c>
      <c r="I167" s="33"/>
      <c r="J167" s="34"/>
      <c r="K167" s="32"/>
      <c r="L167" s="32"/>
      <c r="M167" s="32"/>
      <c r="N167" s="48"/>
    </row>
    <row r="168">
      <c r="A168" s="32"/>
      <c r="B168" s="54"/>
      <c r="C168" s="42" t="str">
        <f>IF(AND('Check in'!B:B=B168,'Check in'!D:D="Good Condition"),"Usable","Not Usable")</f>
        <v>Not Usable</v>
      </c>
      <c r="D168" s="32"/>
      <c r="E168" s="42" t="s">
        <v>1182</v>
      </c>
      <c r="F168" s="32"/>
      <c r="G168" s="33"/>
      <c r="H168" s="42" t="s">
        <v>1180</v>
      </c>
      <c r="I168" s="33"/>
      <c r="J168" s="34"/>
      <c r="K168" s="32"/>
      <c r="L168" s="32"/>
      <c r="M168" s="32"/>
      <c r="N168" s="48"/>
    </row>
    <row r="169">
      <c r="A169" s="32"/>
      <c r="B169" s="31" t="s">
        <v>1183</v>
      </c>
      <c r="C169" s="42" t="str">
        <f>IF(AND('Check in'!B:B=B169,'Check in'!D:D="Good Condition"),"Usable","Not Usable")</f>
        <v>Not Usable</v>
      </c>
      <c r="D169" s="32"/>
      <c r="E169" s="42" t="s">
        <v>1148</v>
      </c>
      <c r="F169" s="32"/>
      <c r="G169" s="33"/>
      <c r="H169" s="42"/>
      <c r="I169" s="33"/>
      <c r="J169" s="34"/>
      <c r="K169" s="32"/>
      <c r="L169" s="32"/>
      <c r="M169" s="32"/>
      <c r="N169" s="48"/>
    </row>
    <row r="170">
      <c r="A170" s="32"/>
      <c r="B170" s="46" t="s">
        <v>1184</v>
      </c>
      <c r="C170" s="42" t="str">
        <f>IF(AND('Check in'!B:B=B170,'Check in'!D:D="Good Condition"),"Usable","Not Usable")</f>
        <v>Not Usable</v>
      </c>
      <c r="D170" s="32"/>
      <c r="E170" s="42" t="s">
        <v>1185</v>
      </c>
      <c r="F170" s="42" t="s">
        <v>95</v>
      </c>
      <c r="G170" s="47"/>
      <c r="H170" s="55" t="s">
        <v>1186</v>
      </c>
      <c r="I170" s="47">
        <v>1.0</v>
      </c>
      <c r="J170" s="34"/>
      <c r="K170" s="32"/>
      <c r="L170" s="32"/>
      <c r="M170" s="32"/>
      <c r="N170" s="48"/>
    </row>
    <row r="171">
      <c r="A171" s="32"/>
      <c r="B171" s="46" t="s">
        <v>1161</v>
      </c>
      <c r="C171" s="42" t="str">
        <f>IF(AND('Check in'!B:B=B171,'Check in'!D:D="Good Condition"),"Usable","Not Usable")</f>
        <v>Not Usable</v>
      </c>
      <c r="D171" s="32"/>
      <c r="E171" s="42" t="s">
        <v>1187</v>
      </c>
      <c r="F171" s="42" t="s">
        <v>95</v>
      </c>
      <c r="G171" s="47"/>
      <c r="H171" s="55" t="s">
        <v>1188</v>
      </c>
      <c r="I171" s="47">
        <v>1.0</v>
      </c>
      <c r="J171" s="34"/>
      <c r="K171" s="32"/>
      <c r="L171" s="32"/>
      <c r="M171" s="32"/>
      <c r="N171" s="48"/>
    </row>
    <row r="172">
      <c r="A172" s="32"/>
      <c r="B172" s="46" t="s">
        <v>1189</v>
      </c>
      <c r="C172" s="42" t="str">
        <f>IF(AND('Check in'!B:B=B172,'Check in'!D:D="Good Condition"),"Usable","Not Usable")</f>
        <v>Not Usable</v>
      </c>
      <c r="D172" s="32"/>
      <c r="E172" s="42" t="s">
        <v>1190</v>
      </c>
      <c r="F172" s="42" t="s">
        <v>95</v>
      </c>
      <c r="G172" s="47"/>
      <c r="H172" s="55" t="s">
        <v>1186</v>
      </c>
      <c r="I172" s="47">
        <v>1.0</v>
      </c>
      <c r="J172" s="34"/>
      <c r="K172" s="32"/>
      <c r="L172" s="32"/>
      <c r="M172" s="32"/>
      <c r="N172" s="48"/>
    </row>
    <row r="173">
      <c r="A173" s="32"/>
      <c r="B173" s="46" t="s">
        <v>1191</v>
      </c>
      <c r="C173" s="42" t="str">
        <f>IF(AND('Check in'!B:B=B173,'Check in'!D:D="Good Condition"),"Usable","Not Usable")</f>
        <v>Not Usable</v>
      </c>
      <c r="D173" s="32"/>
      <c r="E173" s="42" t="s">
        <v>1192</v>
      </c>
      <c r="F173" s="42" t="s">
        <v>95</v>
      </c>
      <c r="G173" s="47"/>
      <c r="H173" s="55" t="s">
        <v>1186</v>
      </c>
      <c r="I173" s="47">
        <v>1.0</v>
      </c>
      <c r="J173" s="34"/>
      <c r="K173" s="32"/>
      <c r="L173" s="32"/>
      <c r="M173" s="32"/>
      <c r="N173" s="48"/>
    </row>
    <row r="174">
      <c r="A174" s="32"/>
      <c r="B174" s="46" t="s">
        <v>1193</v>
      </c>
      <c r="C174" s="42" t="str">
        <f>IF(AND('Check in'!B:B=B174,'Check in'!D:D="Good Condition"),"Usable","Not Usable")</f>
        <v>Not Usable</v>
      </c>
      <c r="D174" s="32"/>
      <c r="E174" s="42" t="s">
        <v>1194</v>
      </c>
      <c r="F174" s="42" t="s">
        <v>95</v>
      </c>
      <c r="G174" s="47"/>
      <c r="H174" s="55" t="s">
        <v>1195</v>
      </c>
      <c r="I174" s="47">
        <v>1.0</v>
      </c>
      <c r="J174" s="34"/>
      <c r="K174" s="32"/>
      <c r="L174" s="32"/>
      <c r="M174" s="32"/>
      <c r="N174" s="48"/>
    </row>
    <row r="175">
      <c r="A175" s="32"/>
      <c r="B175" s="46" t="s">
        <v>1196</v>
      </c>
      <c r="C175" s="42" t="str">
        <f>IF(AND('Check in'!B:B=B175,'Check in'!D:D="Good Condition"),"Usable","Not Usable")</f>
        <v>Not Usable</v>
      </c>
      <c r="D175" s="32"/>
      <c r="E175" s="13" t="s">
        <v>1148</v>
      </c>
      <c r="F175" s="42" t="s">
        <v>95</v>
      </c>
      <c r="G175" s="47"/>
      <c r="H175" s="55" t="s">
        <v>1197</v>
      </c>
      <c r="I175" s="47">
        <v>1.0</v>
      </c>
      <c r="J175" s="34"/>
      <c r="K175" s="32"/>
      <c r="L175" s="32"/>
      <c r="M175" s="32"/>
      <c r="N175" s="48"/>
    </row>
    <row r="176">
      <c r="A176" s="32"/>
      <c r="B176" s="46" t="s">
        <v>1198</v>
      </c>
      <c r="C176" s="42" t="str">
        <f>IF(AND('Check in'!B:B=B176,'Check in'!D:D="Good Condition"),"Usable","Not Usable")</f>
        <v>Not Usable</v>
      </c>
      <c r="D176" s="32"/>
      <c r="E176" s="55" t="s">
        <v>1199</v>
      </c>
      <c r="F176" s="42" t="s">
        <v>95</v>
      </c>
      <c r="G176" s="47"/>
      <c r="H176" s="55" t="s">
        <v>1197</v>
      </c>
      <c r="I176" s="47">
        <v>1.0</v>
      </c>
      <c r="J176" s="34"/>
      <c r="K176" s="32"/>
      <c r="L176" s="32"/>
      <c r="M176" s="32"/>
      <c r="N176" s="48"/>
    </row>
    <row r="177">
      <c r="A177" s="32"/>
      <c r="B177" s="46" t="s">
        <v>1153</v>
      </c>
      <c r="C177" s="42" t="str">
        <f>IF(AND('Check in'!B:B=B177,'Check in'!D:D="Good Condition"),"Usable","Not Usable")</f>
        <v>Not Usable</v>
      </c>
      <c r="D177" s="32"/>
      <c r="E177" s="42" t="s">
        <v>1200</v>
      </c>
      <c r="F177" s="42" t="s">
        <v>95</v>
      </c>
      <c r="G177" s="47"/>
      <c r="H177" s="55" t="s">
        <v>1201</v>
      </c>
      <c r="I177" s="47">
        <v>1.0</v>
      </c>
      <c r="J177" s="34"/>
      <c r="K177" s="32"/>
      <c r="L177" s="32"/>
      <c r="M177" s="32"/>
      <c r="N177" s="48"/>
    </row>
    <row r="178">
      <c r="A178" s="32"/>
      <c r="B178" s="46" t="s">
        <v>1155</v>
      </c>
      <c r="C178" s="42" t="str">
        <f>IF(AND('Check in'!B:B=B178,'Check in'!D:D="Good Condition"),"Usable","Not Usable")</f>
        <v>Not Usable</v>
      </c>
      <c r="D178" s="32"/>
      <c r="E178" s="42" t="s">
        <v>1202</v>
      </c>
      <c r="F178" s="42" t="s">
        <v>95</v>
      </c>
      <c r="G178" s="47"/>
      <c r="H178" s="56"/>
      <c r="I178" s="47">
        <v>1.0</v>
      </c>
      <c r="J178" s="34"/>
      <c r="K178" s="32"/>
      <c r="L178" s="32"/>
      <c r="M178" s="32"/>
      <c r="N178" s="48"/>
    </row>
    <row r="179">
      <c r="A179" s="32"/>
      <c r="B179" s="46" t="s">
        <v>244</v>
      </c>
      <c r="C179" s="42" t="str">
        <f>IF(AND('Check in'!B:B=B179,'Check in'!D:D="Good Condition"),"Usable","Not Usable")</f>
        <v>Not Usable</v>
      </c>
      <c r="D179" s="32"/>
      <c r="E179" s="32"/>
      <c r="F179" s="42" t="s">
        <v>95</v>
      </c>
      <c r="G179" s="47"/>
      <c r="H179" s="55" t="s">
        <v>1203</v>
      </c>
      <c r="I179" s="47">
        <v>1.0</v>
      </c>
      <c r="J179" s="34"/>
      <c r="K179" s="32"/>
      <c r="L179" s="32"/>
      <c r="M179" s="32"/>
      <c r="N179" s="48"/>
    </row>
    <row r="180">
      <c r="A180" s="32"/>
      <c r="B180" s="46" t="s">
        <v>1204</v>
      </c>
      <c r="C180" s="42" t="str">
        <f>IF(AND('Check in'!B:B=B180,'Check in'!D:D="Good Condition"),"Usable","Not Usable")</f>
        <v>Not Usable</v>
      </c>
      <c r="D180" s="32"/>
      <c r="E180" s="32"/>
      <c r="F180" s="42" t="s">
        <v>95</v>
      </c>
      <c r="G180" s="47"/>
      <c r="H180" s="55" t="s">
        <v>1203</v>
      </c>
      <c r="I180" s="47">
        <v>1.0</v>
      </c>
      <c r="J180" s="34"/>
      <c r="K180" s="32"/>
      <c r="L180" s="32"/>
      <c r="M180" s="32"/>
      <c r="N180" s="48"/>
    </row>
    <row r="181">
      <c r="A181" s="32"/>
      <c r="B181" s="46" t="s">
        <v>260</v>
      </c>
      <c r="C181" s="42" t="str">
        <f>IF(AND('Check in'!B:B=B181,'Check in'!D:D="Good Condition"),"Usable","Not Usable")</f>
        <v>Not Usable</v>
      </c>
      <c r="D181" s="32"/>
      <c r="E181" s="32"/>
      <c r="F181" s="42" t="s">
        <v>95</v>
      </c>
      <c r="G181" s="47"/>
      <c r="H181" s="55" t="s">
        <v>1203</v>
      </c>
      <c r="I181" s="47">
        <v>1.0</v>
      </c>
      <c r="J181" s="34"/>
      <c r="K181" s="32"/>
      <c r="L181" s="32"/>
      <c r="M181" s="32"/>
      <c r="N181" s="48"/>
    </row>
    <row r="182">
      <c r="A182" s="32"/>
      <c r="B182" s="46" t="s">
        <v>68</v>
      </c>
      <c r="C182" s="42" t="str">
        <f>IF(AND('Check in'!B:B=B182,'Check in'!D:D="Good Condition"),"Usable","Not Usable")</f>
        <v>Not Usable</v>
      </c>
      <c r="D182" s="32"/>
      <c r="E182" s="32"/>
      <c r="F182" s="42" t="s">
        <v>95</v>
      </c>
      <c r="G182" s="47"/>
      <c r="H182" s="55" t="s">
        <v>1203</v>
      </c>
      <c r="I182" s="47">
        <v>1.0</v>
      </c>
      <c r="J182" s="34"/>
      <c r="K182" s="32"/>
      <c r="L182" s="32"/>
      <c r="M182" s="32"/>
      <c r="N182" s="48"/>
    </row>
    <row r="183">
      <c r="A183" s="32"/>
      <c r="B183" s="46" t="s">
        <v>1205</v>
      </c>
      <c r="C183" s="42" t="str">
        <f>IF(AND('Check in'!B:B=B183,'Check in'!D:D="Good Condition"),"Usable","Not Usable")</f>
        <v>Not Usable</v>
      </c>
      <c r="D183" s="32"/>
      <c r="E183" s="42" t="s">
        <v>1206</v>
      </c>
      <c r="F183" s="42"/>
      <c r="G183" s="47"/>
      <c r="H183" s="55"/>
      <c r="I183" s="47"/>
      <c r="J183" s="34"/>
      <c r="K183" s="32"/>
      <c r="L183" s="32"/>
      <c r="M183" s="32"/>
      <c r="N183" s="48"/>
    </row>
    <row r="184">
      <c r="A184" s="32"/>
      <c r="B184" s="46" t="s">
        <v>1207</v>
      </c>
      <c r="C184" s="42" t="str">
        <f>IF(AND('Check in'!B:B=B184,'Check in'!D:D="Good Condition"),"Usable","Not Usable")</f>
        <v>Not Usable</v>
      </c>
      <c r="D184" s="32"/>
      <c r="E184" s="42" t="s">
        <v>1208</v>
      </c>
      <c r="F184" s="42"/>
      <c r="G184" s="47"/>
      <c r="H184" s="55"/>
      <c r="I184" s="47"/>
      <c r="J184" s="34"/>
      <c r="K184" s="32"/>
      <c r="L184" s="32"/>
      <c r="M184" s="32"/>
      <c r="N184" s="48"/>
    </row>
    <row r="185">
      <c r="A185" s="32"/>
      <c r="B185" s="46" t="s">
        <v>1209</v>
      </c>
      <c r="C185" s="42" t="str">
        <f>IF(AND('Check in'!B:B=B185,'Check in'!D:D="Good Condition"),"Usable","Not Usable")</f>
        <v>Not Usable</v>
      </c>
      <c r="D185" s="32"/>
      <c r="E185" s="42" t="s">
        <v>1210</v>
      </c>
      <c r="F185" s="42"/>
      <c r="G185" s="47"/>
      <c r="H185" s="55"/>
      <c r="I185" s="47"/>
      <c r="J185" s="34"/>
      <c r="K185" s="32"/>
      <c r="L185" s="32"/>
      <c r="M185" s="32"/>
      <c r="N185" s="48"/>
    </row>
    <row r="186">
      <c r="A186" s="32"/>
      <c r="B186" s="46" t="s">
        <v>1211</v>
      </c>
      <c r="C186" s="42" t="str">
        <f>IF(AND('Check in'!B:B=B186,'Check in'!D:D="Good Condition"),"Usable","Not Usable")</f>
        <v>Not Usable</v>
      </c>
      <c r="D186" s="32"/>
      <c r="E186" s="42" t="s">
        <v>1212</v>
      </c>
      <c r="F186" s="42"/>
      <c r="G186" s="47"/>
      <c r="H186" s="55"/>
      <c r="I186" s="47"/>
      <c r="J186" s="34"/>
      <c r="K186" s="32"/>
      <c r="L186" s="32"/>
      <c r="M186" s="32"/>
      <c r="N186" s="48"/>
    </row>
    <row r="187">
      <c r="A187" s="32"/>
      <c r="B187" s="46" t="s">
        <v>1213</v>
      </c>
      <c r="C187" s="42" t="str">
        <f>IF(AND('Check in'!B:B=B187,'Check in'!D:D="Good Condition"),"Usable","Not Usable")</f>
        <v>Not Usable</v>
      </c>
      <c r="D187" s="32"/>
      <c r="E187" s="42" t="s">
        <v>1214</v>
      </c>
      <c r="F187" s="42"/>
      <c r="G187" s="47"/>
      <c r="H187" s="55"/>
      <c r="I187" s="47"/>
      <c r="J187" s="34"/>
      <c r="K187" s="32"/>
      <c r="L187" s="32"/>
      <c r="M187" s="32"/>
      <c r="N187" s="48"/>
    </row>
    <row r="188">
      <c r="A188" s="32"/>
      <c r="B188" s="46" t="s">
        <v>1215</v>
      </c>
      <c r="C188" s="42" t="str">
        <f>IF(AND('Check in'!B:B=B188,'Check in'!D:D="Good Condition"),"Usable","Not Usable")</f>
        <v>Not Usable</v>
      </c>
      <c r="D188" s="32"/>
      <c r="E188" s="42" t="s">
        <v>1214</v>
      </c>
      <c r="F188" s="42"/>
      <c r="G188" s="47"/>
      <c r="H188" s="55"/>
      <c r="I188" s="47"/>
      <c r="J188" s="34"/>
      <c r="K188" s="32"/>
      <c r="L188" s="32"/>
      <c r="M188" s="32"/>
      <c r="N188" s="48"/>
    </row>
    <row r="189">
      <c r="A189" s="32"/>
      <c r="B189" s="46" t="s">
        <v>1216</v>
      </c>
      <c r="C189" s="42" t="str">
        <f>IF(AND('Check in'!B:B=B189,'Check in'!D:D="Good Condition"),"Usable","Not Usable")</f>
        <v>Not Usable</v>
      </c>
      <c r="D189" s="32"/>
      <c r="E189" s="42" t="s">
        <v>1217</v>
      </c>
      <c r="F189" s="42"/>
      <c r="G189" s="47"/>
      <c r="H189" s="55"/>
      <c r="I189" s="47"/>
      <c r="J189" s="34"/>
      <c r="K189" s="32"/>
      <c r="L189" s="32"/>
      <c r="M189" s="32"/>
      <c r="N189" s="48"/>
    </row>
    <row r="190">
      <c r="A190" s="32"/>
      <c r="B190" s="46"/>
      <c r="C190" s="42" t="str">
        <f>IF(AND('Check in'!B:B=B190,'Check in'!D:D="Good Condition"),"Usable","Not Usable")</f>
        <v>Not Usable</v>
      </c>
      <c r="D190" s="32"/>
      <c r="E190" s="32"/>
      <c r="F190" s="42"/>
      <c r="G190" s="47"/>
      <c r="H190" s="55"/>
      <c r="I190" s="47"/>
      <c r="J190" s="34"/>
      <c r="K190" s="32"/>
      <c r="L190" s="32"/>
      <c r="M190" s="32"/>
      <c r="N190" s="48"/>
    </row>
    <row r="191">
      <c r="A191" s="32"/>
      <c r="B191" s="31" t="s">
        <v>1218</v>
      </c>
      <c r="C191" s="42" t="str">
        <f>IF(AND('Check in'!B:B=B191,'Check in'!D:D="Good Condition"),"Usable","Not Usable")</f>
        <v>Not Usable</v>
      </c>
      <c r="D191" s="32"/>
      <c r="E191" s="42" t="s">
        <v>1219</v>
      </c>
      <c r="F191" s="32"/>
      <c r="G191" s="32"/>
      <c r="H191" s="32"/>
      <c r="I191" s="32"/>
      <c r="J191" s="34"/>
      <c r="K191" s="32"/>
      <c r="L191" s="32"/>
      <c r="M191" s="32"/>
      <c r="N191" s="48"/>
    </row>
    <row r="192">
      <c r="A192" s="32"/>
      <c r="B192" s="31" t="s">
        <v>1220</v>
      </c>
      <c r="C192" s="42" t="str">
        <f>IF(AND('Check in'!B:B=B192,'Check in'!D:D="Good Condition"),"Usable","Not Usable")</f>
        <v>Not Usable</v>
      </c>
      <c r="D192" s="32"/>
      <c r="E192" s="42" t="s">
        <v>1221</v>
      </c>
      <c r="F192" s="32"/>
      <c r="G192" s="32"/>
      <c r="H192" s="32"/>
      <c r="I192" s="32"/>
      <c r="J192" s="34"/>
      <c r="K192" s="32"/>
      <c r="L192" s="32"/>
      <c r="M192" s="32"/>
      <c r="N192" s="48"/>
    </row>
    <row r="193">
      <c r="A193" s="32"/>
      <c r="B193" s="31" t="s">
        <v>1222</v>
      </c>
      <c r="C193" s="42" t="str">
        <f>IF(AND('Check in'!B:B=B193,'Check in'!D:D="Good Condition"),"Usable","Not Usable")</f>
        <v>Not Usable</v>
      </c>
      <c r="D193" s="32"/>
      <c r="E193" s="42" t="s">
        <v>1223</v>
      </c>
      <c r="F193" s="32"/>
      <c r="G193" s="32"/>
      <c r="H193" s="32"/>
      <c r="I193" s="32"/>
      <c r="J193" s="34"/>
      <c r="K193" s="32"/>
      <c r="L193" s="32"/>
      <c r="M193" s="32"/>
      <c r="N193" s="48"/>
    </row>
    <row r="194">
      <c r="A194" s="32"/>
      <c r="B194" s="31" t="s">
        <v>1224</v>
      </c>
      <c r="C194" s="42" t="str">
        <f>IF(AND('Check in'!B:B=B194,'Check in'!D:D="Good Condition"),"Usable","Not Usable")</f>
        <v>Not Usable</v>
      </c>
      <c r="D194" s="32"/>
      <c r="E194" s="42" t="s">
        <v>1225</v>
      </c>
      <c r="F194" s="32"/>
      <c r="G194" s="32"/>
      <c r="H194" s="32"/>
      <c r="I194" s="32"/>
      <c r="J194" s="34"/>
      <c r="K194" s="32"/>
      <c r="L194" s="32"/>
      <c r="M194" s="32"/>
      <c r="N194" s="48"/>
    </row>
    <row r="195">
      <c r="A195" s="32"/>
      <c r="B195" s="31" t="s">
        <v>1226</v>
      </c>
      <c r="C195" s="42" t="str">
        <f>IF(AND('Check in'!B:B=B195,'Check in'!D:D="Good Condition"),"Usable","Not Usable")</f>
        <v>Not Usable</v>
      </c>
      <c r="D195" s="32"/>
      <c r="E195" s="42" t="s">
        <v>1227</v>
      </c>
      <c r="F195" s="32"/>
      <c r="G195" s="32"/>
      <c r="H195" s="42" t="s">
        <v>1228</v>
      </c>
      <c r="I195" s="32"/>
      <c r="J195" s="34"/>
      <c r="K195" s="32"/>
      <c r="L195" s="32"/>
      <c r="M195" s="32"/>
      <c r="N195" s="48"/>
    </row>
    <row r="196">
      <c r="A196" s="32"/>
      <c r="B196" s="31" t="s">
        <v>1229</v>
      </c>
      <c r="C196" s="42" t="str">
        <f>IF(AND('Check in'!B:B=B196,'Check in'!D:D="Good Condition"),"Usable","Not Usable")</f>
        <v>Not Usable</v>
      </c>
      <c r="D196" s="32"/>
      <c r="E196" s="42" t="s">
        <v>1227</v>
      </c>
      <c r="F196" s="32"/>
      <c r="G196" s="32"/>
      <c r="H196" s="42" t="s">
        <v>1228</v>
      </c>
      <c r="I196" s="32"/>
      <c r="J196" s="34"/>
      <c r="K196" s="32"/>
      <c r="L196" s="32"/>
      <c r="M196" s="32"/>
      <c r="N196" s="48"/>
    </row>
    <row r="197">
      <c r="A197" s="32"/>
      <c r="B197" s="31" t="s">
        <v>1145</v>
      </c>
      <c r="C197" s="42" t="str">
        <f>IF(AND('Check in'!B:B=B197,'Check in'!D:D="Good Condition"),"Usable","Not Usable")</f>
        <v>Not Usable</v>
      </c>
      <c r="D197" s="32"/>
      <c r="E197" s="42" t="s">
        <v>1227</v>
      </c>
      <c r="F197" s="32"/>
      <c r="G197" s="32"/>
      <c r="H197" s="42" t="s">
        <v>1228</v>
      </c>
      <c r="I197" s="32"/>
      <c r="J197" s="34"/>
      <c r="K197" s="32"/>
      <c r="L197" s="32"/>
      <c r="M197" s="32"/>
      <c r="N197" s="48"/>
    </row>
    <row r="198">
      <c r="A198" s="32"/>
      <c r="B198" s="31" t="s">
        <v>1230</v>
      </c>
      <c r="C198" s="42" t="str">
        <f>IF(AND('Check in'!B:B=B198,'Check in'!D:D="Good Condition"),"Usable","Not Usable")</f>
        <v>Not Usable</v>
      </c>
      <c r="D198" s="32"/>
      <c r="E198" s="42" t="s">
        <v>1227</v>
      </c>
      <c r="F198" s="32"/>
      <c r="G198" s="32"/>
      <c r="H198" s="42" t="s">
        <v>1228</v>
      </c>
      <c r="I198" s="32"/>
      <c r="J198" s="34"/>
      <c r="K198" s="32"/>
      <c r="L198" s="32"/>
      <c r="M198" s="32"/>
      <c r="N198" s="48"/>
    </row>
    <row r="199">
      <c r="A199" s="32"/>
      <c r="B199" s="31" t="s">
        <v>1231</v>
      </c>
      <c r="C199" s="42" t="str">
        <f>IF(AND('Check in'!B:B=B199,'Check in'!D:D="Good Condition"),"Usable","Not Usable")</f>
        <v>Not Usable</v>
      </c>
      <c r="D199" s="32"/>
      <c r="E199" s="42" t="s">
        <v>1227</v>
      </c>
      <c r="F199" s="32"/>
      <c r="G199" s="32"/>
      <c r="H199" s="42" t="s">
        <v>1228</v>
      </c>
      <c r="I199" s="32"/>
      <c r="J199" s="34"/>
      <c r="K199" s="32"/>
      <c r="L199" s="32"/>
      <c r="M199" s="32"/>
      <c r="N199" s="48"/>
    </row>
    <row r="200">
      <c r="A200" s="32"/>
      <c r="B200" s="31" t="s">
        <v>1232</v>
      </c>
      <c r="C200" s="42" t="str">
        <f>IF(AND('Check in'!B:B=B200,'Check in'!D:D="Good Condition"),"Usable","Not Usable")</f>
        <v>Not Usable</v>
      </c>
      <c r="D200" s="32"/>
      <c r="E200" s="42" t="s">
        <v>1233</v>
      </c>
      <c r="F200" s="32"/>
      <c r="G200" s="32"/>
      <c r="H200" s="42" t="s">
        <v>1228</v>
      </c>
      <c r="I200" s="32"/>
      <c r="J200" s="34"/>
      <c r="K200" s="32"/>
      <c r="L200" s="32"/>
      <c r="M200" s="32"/>
      <c r="N200" s="48"/>
    </row>
    <row r="201">
      <c r="A201" s="32"/>
      <c r="B201" s="31" t="s">
        <v>1234</v>
      </c>
      <c r="C201" s="42" t="str">
        <f>IF(AND('Check in'!B:B=B201,'Check in'!D:D="Good Condition"),"Usable","Not Usable")</f>
        <v>Not Usable</v>
      </c>
      <c r="D201" s="32"/>
      <c r="E201" s="42" t="s">
        <v>1233</v>
      </c>
      <c r="F201" s="32"/>
      <c r="G201" s="32"/>
      <c r="H201" s="42" t="s">
        <v>1228</v>
      </c>
      <c r="I201" s="32"/>
      <c r="J201" s="34"/>
      <c r="K201" s="32"/>
      <c r="L201" s="32"/>
      <c r="M201" s="32"/>
      <c r="N201" s="48"/>
    </row>
    <row r="202">
      <c r="A202" s="32"/>
      <c r="B202" s="31" t="s">
        <v>1235</v>
      </c>
      <c r="C202" s="42" t="str">
        <f>IF(AND('Check in'!B:B=B202,'Check in'!D:D="Good Condition"),"Usable","Not Usable")</f>
        <v>Not Usable</v>
      </c>
      <c r="D202" s="32"/>
      <c r="E202" s="42" t="s">
        <v>1236</v>
      </c>
      <c r="F202" s="32"/>
      <c r="G202" s="32"/>
      <c r="H202" s="32"/>
      <c r="I202" s="32"/>
      <c r="J202" s="34"/>
      <c r="K202" s="32"/>
      <c r="L202" s="32"/>
      <c r="M202" s="32"/>
      <c r="N202" s="48"/>
    </row>
    <row r="203">
      <c r="A203" s="32"/>
      <c r="B203" s="31" t="s">
        <v>1237</v>
      </c>
      <c r="C203" s="42" t="str">
        <f>IF(AND('Check in'!B:B=B203,'Check in'!D:D="Good Condition"),"Usable","Not Usable")</f>
        <v>Not Usable</v>
      </c>
      <c r="D203" s="32"/>
      <c r="E203" s="42" t="s">
        <v>1236</v>
      </c>
      <c r="F203" s="32"/>
      <c r="G203" s="32"/>
      <c r="H203" s="32"/>
      <c r="I203" s="32"/>
      <c r="J203" s="34"/>
      <c r="K203" s="32"/>
      <c r="L203" s="32"/>
      <c r="M203" s="32"/>
      <c r="N203" s="48"/>
    </row>
    <row r="204">
      <c r="A204" s="32"/>
      <c r="B204" s="31" t="s">
        <v>1238</v>
      </c>
      <c r="C204" s="42" t="str">
        <f>IF(AND('Check in'!B:B=B204,'Check in'!D:D="Good Condition"),"Usable","Not Usable")</f>
        <v>Not Usable</v>
      </c>
      <c r="D204" s="32"/>
      <c r="E204" s="42" t="s">
        <v>1236</v>
      </c>
      <c r="F204" s="32"/>
      <c r="G204" s="32"/>
      <c r="H204" s="32"/>
      <c r="I204" s="32"/>
      <c r="J204" s="34"/>
      <c r="K204" s="32"/>
      <c r="L204" s="32"/>
      <c r="M204" s="32"/>
      <c r="N204" s="48"/>
    </row>
    <row r="205">
      <c r="A205" s="32"/>
      <c r="B205" s="31" t="s">
        <v>1239</v>
      </c>
      <c r="C205" s="42" t="str">
        <f>IF(AND('Check in'!B:B=B205,'Check in'!D:D="Good Condition"),"Usable","Not Usable")</f>
        <v>Not Usable</v>
      </c>
      <c r="D205" s="32"/>
      <c r="E205" s="42" t="s">
        <v>1236</v>
      </c>
      <c r="F205" s="32"/>
      <c r="G205" s="32"/>
      <c r="H205" s="32"/>
      <c r="I205" s="32"/>
      <c r="J205" s="34"/>
      <c r="K205" s="32"/>
      <c r="L205" s="32"/>
      <c r="M205" s="32"/>
      <c r="N205" s="48"/>
    </row>
    <row r="206">
      <c r="A206" s="32"/>
      <c r="B206" s="31" t="s">
        <v>1240</v>
      </c>
      <c r="C206" s="42" t="str">
        <f>IF(AND('Check in'!B:B=B206,'Check in'!D:D="Good Condition"),"Usable","Not Usable")</f>
        <v>Not Usable</v>
      </c>
      <c r="D206" s="32"/>
      <c r="E206" s="42" t="s">
        <v>1241</v>
      </c>
      <c r="F206" s="32"/>
      <c r="G206" s="32"/>
      <c r="H206" s="32"/>
      <c r="I206" s="32"/>
      <c r="J206" s="34"/>
      <c r="K206" s="32"/>
      <c r="L206" s="32"/>
      <c r="M206" s="32"/>
      <c r="N206" s="48"/>
    </row>
    <row r="207">
      <c r="A207" s="32"/>
      <c r="B207" s="31"/>
      <c r="C207" s="42" t="str">
        <f>IF(AND('Check in'!B:B=B207,'Check in'!D:D="Good Condition"),"Usable","Not Usable")</f>
        <v>Not Usable</v>
      </c>
      <c r="D207" s="32"/>
      <c r="E207" s="42"/>
      <c r="F207" s="32"/>
      <c r="G207" s="32"/>
      <c r="H207" s="32"/>
      <c r="I207" s="32"/>
      <c r="J207" s="34"/>
      <c r="K207" s="32"/>
      <c r="L207" s="32"/>
      <c r="M207" s="32"/>
      <c r="N207" s="48"/>
    </row>
    <row r="208">
      <c r="A208" s="32"/>
      <c r="B208" s="46" t="s">
        <v>1242</v>
      </c>
      <c r="C208" s="42" t="str">
        <f>IF(AND('Check in'!B:B=B208,'Check in'!D:D="Good Condition"),"Usable","Not Usable")</f>
        <v>Not Usable</v>
      </c>
      <c r="D208" s="32"/>
      <c r="E208" s="42" t="s">
        <v>1243</v>
      </c>
      <c r="F208" s="42" t="s">
        <v>95</v>
      </c>
      <c r="G208" s="47"/>
      <c r="H208" s="55" t="s">
        <v>1244</v>
      </c>
      <c r="I208" s="47">
        <v>1.0</v>
      </c>
      <c r="J208" s="34"/>
      <c r="K208" s="32"/>
      <c r="L208" s="32"/>
      <c r="M208" s="32"/>
      <c r="N208" s="48"/>
    </row>
    <row r="209">
      <c r="A209" s="32"/>
      <c r="B209" s="46" t="s">
        <v>1245</v>
      </c>
      <c r="C209" s="42" t="str">
        <f>IF(AND('Check in'!B:B=B209,'Check in'!D:D="Good Condition"),"Usable","Not Usable")</f>
        <v>Not Usable</v>
      </c>
      <c r="D209" s="32"/>
      <c r="E209" s="32"/>
      <c r="F209" s="42" t="s">
        <v>95</v>
      </c>
      <c r="G209" s="47"/>
      <c r="H209" s="55" t="s">
        <v>1246</v>
      </c>
      <c r="I209" s="47">
        <v>1.0</v>
      </c>
      <c r="J209" s="34"/>
      <c r="K209" s="32"/>
      <c r="L209" s="32"/>
      <c r="M209" s="32"/>
      <c r="N209" s="48"/>
    </row>
    <row r="210">
      <c r="A210" s="32"/>
      <c r="B210" s="46" t="s">
        <v>1247</v>
      </c>
      <c r="C210" s="42" t="str">
        <f>IF(AND('Check in'!B:B=B210,'Check in'!D:D="Good Condition"),"Usable","Not Usable")</f>
        <v>Not Usable</v>
      </c>
      <c r="D210" s="32"/>
      <c r="E210" s="32"/>
      <c r="F210" s="42" t="s">
        <v>95</v>
      </c>
      <c r="G210" s="47"/>
      <c r="H210" s="55" t="s">
        <v>1246</v>
      </c>
      <c r="I210" s="47">
        <v>1.0</v>
      </c>
      <c r="J210" s="34"/>
      <c r="K210" s="32"/>
      <c r="L210" s="32"/>
      <c r="M210" s="32"/>
      <c r="N210" s="48"/>
    </row>
    <row r="211">
      <c r="A211" s="32"/>
      <c r="B211" s="57" t="s">
        <v>1248</v>
      </c>
      <c r="C211" s="42" t="str">
        <f>IF(AND('Check in'!B:B=B211,'Check in'!D:D="Good Condition"),"Usable","Not Usable")</f>
        <v>Not Usable</v>
      </c>
      <c r="D211" s="32"/>
      <c r="E211" s="42" t="s">
        <v>1249</v>
      </c>
      <c r="F211" s="42" t="s">
        <v>35</v>
      </c>
      <c r="G211" s="33"/>
      <c r="H211" s="42" t="s">
        <v>219</v>
      </c>
      <c r="I211" s="33"/>
      <c r="J211" s="34"/>
      <c r="K211" s="32"/>
      <c r="L211" s="32"/>
      <c r="M211" s="42" t="s">
        <v>35</v>
      </c>
      <c r="N211" s="44"/>
    </row>
    <row r="212">
      <c r="A212" s="32"/>
      <c r="B212" s="58" t="s">
        <v>1250</v>
      </c>
      <c r="C212" s="42" t="str">
        <f>IF(AND('Check in'!B:B=B212,'Check in'!D:D="Good Condition"),"Usable","Not Usable")</f>
        <v>Not Usable</v>
      </c>
      <c r="D212" s="32"/>
      <c r="E212" s="42" t="s">
        <v>1249</v>
      </c>
      <c r="F212" s="42" t="s">
        <v>35</v>
      </c>
      <c r="G212" s="33"/>
      <c r="H212" s="42" t="s">
        <v>219</v>
      </c>
      <c r="I212" s="33"/>
      <c r="J212" s="34"/>
      <c r="K212" s="32"/>
      <c r="L212" s="32"/>
      <c r="M212" s="42" t="s">
        <v>35</v>
      </c>
      <c r="N212" s="44"/>
    </row>
    <row r="213">
      <c r="A213" s="32"/>
      <c r="B213" s="59" t="s">
        <v>1251</v>
      </c>
      <c r="C213" s="42" t="str">
        <f>IF(AND('Check in'!B:B=B213,'Check in'!D:D="Good Condition"),"Usable","Not Usable")</f>
        <v>Not Usable</v>
      </c>
      <c r="D213" s="32"/>
      <c r="E213" s="42" t="s">
        <v>1249</v>
      </c>
      <c r="F213" s="42" t="s">
        <v>35</v>
      </c>
      <c r="G213" s="33"/>
      <c r="H213" s="42" t="s">
        <v>219</v>
      </c>
      <c r="I213" s="33"/>
      <c r="J213" s="34"/>
      <c r="K213" s="32"/>
      <c r="L213" s="32"/>
      <c r="M213" s="42" t="s">
        <v>35</v>
      </c>
      <c r="N213" s="44"/>
    </row>
    <row r="214">
      <c r="A214" s="32"/>
      <c r="B214" s="58" t="s">
        <v>1252</v>
      </c>
      <c r="C214" s="42" t="str">
        <f>IF(AND('Check in'!B:B=B214,'Check in'!D:D="Good Condition"),"Usable","Not Usable")</f>
        <v>Not Usable</v>
      </c>
      <c r="D214" s="32"/>
      <c r="E214" s="42" t="s">
        <v>1249</v>
      </c>
      <c r="F214" s="42" t="s">
        <v>35</v>
      </c>
      <c r="G214" s="33"/>
      <c r="H214" s="42" t="s">
        <v>219</v>
      </c>
      <c r="I214" s="33"/>
      <c r="J214" s="34"/>
      <c r="K214" s="32"/>
      <c r="L214" s="32"/>
      <c r="M214" s="42" t="s">
        <v>35</v>
      </c>
      <c r="N214" s="44"/>
    </row>
    <row r="215">
      <c r="A215" s="32"/>
      <c r="B215" s="59" t="s">
        <v>731</v>
      </c>
      <c r="C215" s="42" t="str">
        <f>IF(AND('Check in'!B:B=B215,'Check in'!D:D="Good Condition"),"Usable","Not Usable")</f>
        <v>Not Usable</v>
      </c>
      <c r="D215" s="32"/>
      <c r="E215" s="42" t="s">
        <v>1249</v>
      </c>
      <c r="F215" s="42" t="s">
        <v>35</v>
      </c>
      <c r="G215" s="33"/>
      <c r="H215" s="42" t="s">
        <v>219</v>
      </c>
      <c r="I215" s="33"/>
      <c r="J215" s="34"/>
      <c r="K215" s="32"/>
      <c r="L215" s="32"/>
      <c r="M215" s="42" t="s">
        <v>35</v>
      </c>
      <c r="N215" s="44"/>
    </row>
    <row r="216">
      <c r="A216" s="32"/>
      <c r="B216" s="58" t="s">
        <v>1253</v>
      </c>
      <c r="C216" s="42" t="str">
        <f>IF(AND('Check in'!B:B=B216,'Check in'!D:D="Good Condition"),"Usable","Not Usable")</f>
        <v>Not Usable</v>
      </c>
      <c r="D216" s="32"/>
      <c r="E216" s="42" t="s">
        <v>1249</v>
      </c>
      <c r="F216" s="42" t="s">
        <v>35</v>
      </c>
      <c r="G216" s="33"/>
      <c r="H216" s="42" t="s">
        <v>219</v>
      </c>
      <c r="I216" s="33"/>
      <c r="J216" s="34"/>
      <c r="K216" s="32"/>
      <c r="L216" s="32"/>
      <c r="M216" s="42" t="s">
        <v>35</v>
      </c>
      <c r="N216" s="44"/>
    </row>
    <row r="217">
      <c r="A217" s="32"/>
      <c r="B217" s="59" t="s">
        <v>1254</v>
      </c>
      <c r="C217" s="42" t="str">
        <f>IF(AND('Check in'!B:B=B217,'Check in'!D:D="Good Condition"),"Usable","Not Usable")</f>
        <v>Not Usable</v>
      </c>
      <c r="D217" s="32"/>
      <c r="E217" s="42" t="s">
        <v>1249</v>
      </c>
      <c r="F217" s="42" t="s">
        <v>35</v>
      </c>
      <c r="G217" s="33"/>
      <c r="H217" s="42" t="s">
        <v>219</v>
      </c>
      <c r="I217" s="33"/>
      <c r="J217" s="34"/>
      <c r="K217" s="32"/>
      <c r="L217" s="32"/>
      <c r="M217" s="42" t="s">
        <v>35</v>
      </c>
      <c r="N217" s="44"/>
    </row>
    <row r="218">
      <c r="A218" s="32"/>
      <c r="B218" s="58" t="s">
        <v>1255</v>
      </c>
      <c r="C218" s="42" t="str">
        <f>IF(AND('Check in'!B:B=B218,'Check in'!D:D="Good Condition"),"Usable","Not Usable")</f>
        <v>Not Usable</v>
      </c>
      <c r="D218" s="32"/>
      <c r="E218" s="42" t="s">
        <v>1249</v>
      </c>
      <c r="F218" s="42" t="s">
        <v>35</v>
      </c>
      <c r="G218" s="33"/>
      <c r="H218" s="42" t="s">
        <v>219</v>
      </c>
      <c r="I218" s="33"/>
      <c r="J218" s="34"/>
      <c r="K218" s="32"/>
      <c r="L218" s="32"/>
      <c r="M218" s="42" t="s">
        <v>35</v>
      </c>
      <c r="N218" s="44"/>
    </row>
    <row r="219">
      <c r="A219" s="32"/>
      <c r="B219" s="59" t="s">
        <v>1256</v>
      </c>
      <c r="C219" s="42" t="str">
        <f>IF(AND('Check in'!B:B=B219,'Check in'!D:D="Good Condition"),"Usable","Not Usable")</f>
        <v>Not Usable</v>
      </c>
      <c r="D219" s="32"/>
      <c r="E219" s="42" t="s">
        <v>1249</v>
      </c>
      <c r="F219" s="42" t="s">
        <v>35</v>
      </c>
      <c r="G219" s="33"/>
      <c r="H219" s="42" t="s">
        <v>219</v>
      </c>
      <c r="I219" s="33"/>
      <c r="J219" s="34"/>
      <c r="K219" s="32"/>
      <c r="L219" s="32"/>
      <c r="M219" s="42" t="s">
        <v>35</v>
      </c>
      <c r="N219" s="44"/>
    </row>
    <row r="220">
      <c r="A220" s="32"/>
      <c r="B220" s="58" t="s">
        <v>1257</v>
      </c>
      <c r="C220" s="42" t="str">
        <f>IF(AND('Check in'!B:B=B220,'Check in'!D:D="Good Condition"),"Usable","Not Usable")</f>
        <v>Not Usable</v>
      </c>
      <c r="D220" s="32"/>
      <c r="E220" s="42" t="s">
        <v>1249</v>
      </c>
      <c r="F220" s="42" t="s">
        <v>35</v>
      </c>
      <c r="G220" s="33"/>
      <c r="H220" s="42" t="s">
        <v>219</v>
      </c>
      <c r="I220" s="33"/>
      <c r="J220" s="34"/>
      <c r="K220" s="32"/>
      <c r="L220" s="32"/>
      <c r="M220" s="42" t="s">
        <v>35</v>
      </c>
      <c r="N220" s="44"/>
    </row>
    <row r="221">
      <c r="A221" s="32"/>
      <c r="B221" s="59" t="s">
        <v>1258</v>
      </c>
      <c r="C221" s="42" t="str">
        <f>IF(AND('Check in'!B:B=B221,'Check in'!D:D="Good Condition"),"Usable","Not Usable")</f>
        <v>Not Usable</v>
      </c>
      <c r="D221" s="32"/>
      <c r="E221" s="42" t="s">
        <v>1249</v>
      </c>
      <c r="F221" s="42" t="s">
        <v>35</v>
      </c>
      <c r="G221" s="33"/>
      <c r="H221" s="42" t="s">
        <v>219</v>
      </c>
      <c r="I221" s="33"/>
      <c r="J221" s="34"/>
      <c r="K221" s="32"/>
      <c r="L221" s="32"/>
      <c r="M221" s="42" t="s">
        <v>35</v>
      </c>
      <c r="N221" s="44"/>
    </row>
    <row r="222">
      <c r="A222" s="32"/>
      <c r="B222" s="58" t="s">
        <v>1259</v>
      </c>
      <c r="C222" s="42" t="str">
        <f>IF(AND('Check in'!B:B=B222,'Check in'!D:D="Good Condition"),"Usable","Not Usable")</f>
        <v>Not Usable</v>
      </c>
      <c r="D222" s="32"/>
      <c r="E222" s="42" t="s">
        <v>1249</v>
      </c>
      <c r="F222" s="42" t="s">
        <v>35</v>
      </c>
      <c r="G222" s="33"/>
      <c r="H222" s="42" t="s">
        <v>219</v>
      </c>
      <c r="I222" s="33"/>
      <c r="J222" s="34"/>
      <c r="K222" s="32"/>
      <c r="L222" s="32"/>
      <c r="M222" s="42" t="s">
        <v>35</v>
      </c>
      <c r="N222" s="44"/>
    </row>
    <row r="223">
      <c r="A223" s="42"/>
      <c r="B223" s="42"/>
      <c r="C223" s="42" t="s">
        <v>1076</v>
      </c>
      <c r="D223" s="42"/>
      <c r="E223" s="42" t="s">
        <v>213</v>
      </c>
      <c r="F223" s="42" t="s">
        <v>1260</v>
      </c>
      <c r="G223" s="42">
        <v>1.0</v>
      </c>
      <c r="H223" s="42" t="s">
        <v>1261</v>
      </c>
      <c r="I223" s="42"/>
      <c r="J223" s="45"/>
      <c r="K223" s="42"/>
      <c r="L223" s="42" t="s">
        <v>1262</v>
      </c>
      <c r="M223" s="42" t="s">
        <v>1261</v>
      </c>
      <c r="N223" s="44"/>
    </row>
    <row r="224">
      <c r="A224" s="60"/>
      <c r="B224" s="60"/>
      <c r="C224" s="42"/>
      <c r="D224" s="60"/>
      <c r="E224" s="60"/>
      <c r="F224" s="60"/>
      <c r="G224" s="60"/>
      <c r="H224" s="60"/>
      <c r="I224" s="60"/>
      <c r="J224" s="61"/>
      <c r="K224" s="60"/>
      <c r="L224" s="60"/>
      <c r="M224" s="60"/>
      <c r="N224" s="62"/>
    </row>
    <row r="225">
      <c r="A225" s="60"/>
      <c r="B225" s="60"/>
      <c r="C225" s="42" t="str">
        <f>IF(AND('Check in'!B:B=B225,'Check in'!D:D="Good Condition"),"Usable","Not Usable")</f>
        <v>Not Usable</v>
      </c>
      <c r="D225" s="60"/>
      <c r="E225" s="60"/>
      <c r="F225" s="60"/>
      <c r="G225" s="60"/>
      <c r="H225" s="60"/>
      <c r="I225" s="60"/>
      <c r="J225" s="61"/>
      <c r="K225" s="60"/>
      <c r="L225" s="60"/>
      <c r="M225" s="60"/>
      <c r="N225" s="62"/>
    </row>
    <row r="226">
      <c r="A226" s="32"/>
      <c r="B226" s="54"/>
      <c r="C226" s="42" t="str">
        <f>IF(AND('Check in'!B:B=B226,'Check in'!D:D="Good Condition"),"Usable","Not Usable")</f>
        <v>Not Usable</v>
      </c>
      <c r="D226" s="32"/>
      <c r="E226" s="55" t="s">
        <v>1263</v>
      </c>
      <c r="F226" s="42" t="s">
        <v>612</v>
      </c>
      <c r="G226" s="63"/>
      <c r="H226" s="55" t="s">
        <v>1264</v>
      </c>
      <c r="I226" s="63"/>
      <c r="J226" s="34"/>
      <c r="K226" s="32"/>
      <c r="L226" s="32"/>
      <c r="M226" s="42" t="s">
        <v>95</v>
      </c>
      <c r="N226" s="44"/>
    </row>
    <row r="227">
      <c r="A227" s="32"/>
      <c r="B227" s="54"/>
      <c r="C227" s="42" t="str">
        <f>IF(AND('Check in'!B:B=B227,'Check in'!D:D="Good Condition"),"Usable","Not Usable")</f>
        <v>Not Usable</v>
      </c>
      <c r="D227" s="32"/>
      <c r="E227" s="55" t="s">
        <v>1265</v>
      </c>
      <c r="F227" s="42" t="s">
        <v>612</v>
      </c>
      <c r="G227" s="63"/>
      <c r="H227" s="55" t="s">
        <v>1264</v>
      </c>
      <c r="I227" s="63"/>
      <c r="J227" s="34"/>
      <c r="K227" s="32"/>
      <c r="L227" s="32"/>
      <c r="M227" s="42" t="s">
        <v>95</v>
      </c>
      <c r="N227" s="44"/>
    </row>
    <row r="228">
      <c r="A228" s="32"/>
      <c r="B228" s="54"/>
      <c r="C228" s="42" t="str">
        <f>IF(AND('Check in'!B:B=B228,'Check in'!D:D="Good Condition"),"Usable","Not Usable")</f>
        <v>Not Usable</v>
      </c>
      <c r="D228" s="32"/>
      <c r="E228" s="55" t="s">
        <v>1266</v>
      </c>
      <c r="F228" s="42" t="s">
        <v>612</v>
      </c>
      <c r="G228" s="63"/>
      <c r="H228" s="55" t="s">
        <v>1267</v>
      </c>
      <c r="I228" s="63"/>
      <c r="J228" s="34"/>
      <c r="K228" s="32"/>
      <c r="L228" s="32"/>
      <c r="M228" s="42" t="s">
        <v>95</v>
      </c>
      <c r="N228" s="44"/>
    </row>
    <row r="229">
      <c r="A229" s="32"/>
      <c r="B229" s="54"/>
      <c r="C229" s="42" t="str">
        <f>IF(AND('Check in'!B:B=B229,'Check in'!D:D="Good Condition"),"Usable","Not Usable")</f>
        <v>Not Usable</v>
      </c>
      <c r="D229" s="32"/>
      <c r="E229" s="55" t="s">
        <v>1266</v>
      </c>
      <c r="F229" s="42" t="s">
        <v>612</v>
      </c>
      <c r="G229" s="63"/>
      <c r="H229" s="55" t="s">
        <v>1267</v>
      </c>
      <c r="I229" s="63"/>
      <c r="J229" s="34"/>
      <c r="K229" s="32"/>
      <c r="L229" s="32"/>
      <c r="M229" s="42" t="s">
        <v>95</v>
      </c>
      <c r="N229" s="44"/>
    </row>
    <row r="230">
      <c r="A230" s="32"/>
      <c r="B230" s="54"/>
      <c r="C230" s="42" t="str">
        <f>IF(AND('Check in'!B:B=B230,'Check in'!D:D="Good Condition"),"Usable","Not Usable")</f>
        <v>Not Usable</v>
      </c>
      <c r="D230" s="32"/>
      <c r="E230" s="55" t="s">
        <v>1268</v>
      </c>
      <c r="F230" s="42" t="s">
        <v>612</v>
      </c>
      <c r="G230" s="63"/>
      <c r="H230" s="55" t="s">
        <v>1267</v>
      </c>
      <c r="I230" s="63"/>
      <c r="J230" s="34"/>
      <c r="K230" s="32"/>
      <c r="L230" s="32"/>
      <c r="M230" s="42" t="s">
        <v>95</v>
      </c>
      <c r="N230" s="44"/>
    </row>
    <row r="231">
      <c r="A231" s="32"/>
      <c r="B231" s="54"/>
      <c r="C231" s="42" t="str">
        <f>IF(AND('Check in'!B:B=B231,'Check in'!D:D="Good Condition"),"Usable","Not Usable")</f>
        <v>Not Usable</v>
      </c>
      <c r="D231" s="32"/>
      <c r="E231" s="55" t="s">
        <v>1269</v>
      </c>
      <c r="F231" s="42" t="s">
        <v>612</v>
      </c>
      <c r="G231" s="63"/>
      <c r="H231" s="55" t="s">
        <v>1267</v>
      </c>
      <c r="I231" s="63"/>
      <c r="J231" s="34"/>
      <c r="K231" s="32"/>
      <c r="L231" s="32"/>
      <c r="M231" s="42" t="s">
        <v>95</v>
      </c>
      <c r="N231" s="44"/>
    </row>
    <row r="232">
      <c r="A232" s="32"/>
      <c r="B232" s="54"/>
      <c r="C232" s="42" t="str">
        <f>IF(AND('Check in'!B:B=B232,'Check in'!D:D="Good Condition"),"Usable","Not Usable")</f>
        <v>Not Usable</v>
      </c>
      <c r="D232" s="32"/>
      <c r="E232" s="55" t="s">
        <v>1270</v>
      </c>
      <c r="F232" s="42" t="s">
        <v>612</v>
      </c>
      <c r="G232" s="63"/>
      <c r="H232" s="55" t="s">
        <v>1149</v>
      </c>
      <c r="I232" s="63"/>
      <c r="J232" s="34"/>
      <c r="K232" s="32"/>
      <c r="L232" s="32"/>
      <c r="M232" s="42" t="s">
        <v>95</v>
      </c>
      <c r="N232" s="44"/>
    </row>
    <row r="233">
      <c r="A233" s="32"/>
      <c r="B233" s="54"/>
      <c r="C233" s="42" t="str">
        <f>IF(AND('Check in'!B:B=B233,'Check in'!D:D="Good Condition"),"Usable","Not Usable")</f>
        <v>Not Usable</v>
      </c>
      <c r="D233" s="32"/>
      <c r="E233" s="55" t="s">
        <v>1271</v>
      </c>
      <c r="F233" s="42" t="s">
        <v>612</v>
      </c>
      <c r="G233" s="63"/>
      <c r="H233" s="55" t="s">
        <v>1149</v>
      </c>
      <c r="I233" s="63"/>
      <c r="J233" s="34"/>
      <c r="K233" s="32"/>
      <c r="L233" s="32"/>
      <c r="M233" s="42" t="s">
        <v>95</v>
      </c>
      <c r="N233" s="44"/>
    </row>
    <row r="234">
      <c r="A234" s="32"/>
      <c r="B234" s="54"/>
      <c r="C234" s="42" t="str">
        <f>IF(AND('Check in'!B:B=B234,'Check in'!D:D="Good Condition"),"Usable","Not Usable")</f>
        <v>Not Usable</v>
      </c>
      <c r="D234" s="32"/>
      <c r="E234" s="55" t="s">
        <v>1272</v>
      </c>
      <c r="F234" s="42" t="s">
        <v>612</v>
      </c>
      <c r="G234" s="63"/>
      <c r="H234" s="55" t="s">
        <v>1149</v>
      </c>
      <c r="I234" s="63"/>
      <c r="J234" s="34"/>
      <c r="K234" s="32"/>
      <c r="L234" s="32"/>
      <c r="M234" s="42" t="s">
        <v>95</v>
      </c>
      <c r="N234" s="44"/>
    </row>
    <row r="235">
      <c r="A235" s="32"/>
      <c r="B235" s="54"/>
      <c r="C235" s="42" t="str">
        <f>IF(AND('Check in'!B:B=B235,'Check in'!D:D="Good Condition"),"Usable","Not Usable")</f>
        <v>Not Usable</v>
      </c>
      <c r="D235" s="32"/>
      <c r="E235" s="55" t="s">
        <v>1273</v>
      </c>
      <c r="F235" s="42" t="s">
        <v>612</v>
      </c>
      <c r="G235" s="63"/>
      <c r="H235" s="55" t="s">
        <v>1149</v>
      </c>
      <c r="I235" s="63"/>
      <c r="J235" s="34"/>
      <c r="K235" s="32"/>
      <c r="L235" s="32"/>
      <c r="M235" s="42" t="s">
        <v>95</v>
      </c>
      <c r="N235" s="44"/>
    </row>
    <row r="236">
      <c r="A236" s="32"/>
      <c r="B236" s="54"/>
      <c r="C236" s="42" t="str">
        <f>IF(AND('Check in'!B:B=B236,'Check in'!D:D="Good Condition"),"Usable","Not Usable")</f>
        <v>Not Usable</v>
      </c>
      <c r="D236" s="32"/>
      <c r="E236" s="55" t="s">
        <v>1274</v>
      </c>
      <c r="F236" s="42" t="s">
        <v>612</v>
      </c>
      <c r="G236" s="63"/>
      <c r="H236" s="55" t="s">
        <v>1149</v>
      </c>
      <c r="I236" s="63"/>
      <c r="J236" s="34"/>
      <c r="K236" s="32"/>
      <c r="L236" s="32"/>
      <c r="M236" s="42" t="s">
        <v>95</v>
      </c>
      <c r="N236" s="44"/>
    </row>
    <row r="237">
      <c r="A237" s="32"/>
      <c r="B237" s="54"/>
      <c r="C237" s="42" t="str">
        <f>IF(AND('Check in'!B:B=B237,'Check in'!D:D="Good Condition"),"Usable","Not Usable")</f>
        <v>Not Usable</v>
      </c>
      <c r="D237" s="32"/>
      <c r="E237" s="55" t="s">
        <v>1275</v>
      </c>
      <c r="F237" s="42" t="s">
        <v>612</v>
      </c>
      <c r="G237" s="63"/>
      <c r="H237" s="55" t="s">
        <v>1149</v>
      </c>
      <c r="I237" s="63"/>
      <c r="J237" s="34"/>
      <c r="K237" s="32"/>
      <c r="L237" s="32"/>
      <c r="M237" s="42" t="s">
        <v>95</v>
      </c>
      <c r="N237" s="44"/>
    </row>
    <row r="238">
      <c r="A238" s="32"/>
      <c r="B238" s="54"/>
      <c r="C238" s="42" t="str">
        <f>IF(AND('Check in'!B:B=B238,'Check in'!D:D="Good Condition"),"Usable","Not Usable")</f>
        <v>Not Usable</v>
      </c>
      <c r="D238" s="32"/>
      <c r="E238" s="55" t="s">
        <v>1276</v>
      </c>
      <c r="F238" s="42" t="s">
        <v>612</v>
      </c>
      <c r="G238" s="63"/>
      <c r="H238" s="55" t="s">
        <v>1149</v>
      </c>
      <c r="I238" s="63"/>
      <c r="J238" s="34"/>
      <c r="K238" s="32"/>
      <c r="L238" s="32"/>
      <c r="M238" s="42" t="s">
        <v>95</v>
      </c>
      <c r="N238" s="44"/>
    </row>
    <row r="239">
      <c r="A239" s="32"/>
      <c r="B239" s="54"/>
      <c r="C239" s="42" t="str">
        <f>IF(AND('Check in'!B:B=B239,'Check in'!D:D="Good Condition"),"Usable","Not Usable")</f>
        <v>Not Usable</v>
      </c>
      <c r="D239" s="32"/>
      <c r="E239" s="55" t="s">
        <v>1277</v>
      </c>
      <c r="F239" s="42" t="s">
        <v>612</v>
      </c>
      <c r="G239" s="63"/>
      <c r="H239" s="55" t="s">
        <v>1149</v>
      </c>
      <c r="I239" s="63"/>
      <c r="J239" s="34"/>
      <c r="K239" s="32"/>
      <c r="L239" s="32"/>
      <c r="M239" s="42" t="s">
        <v>95</v>
      </c>
      <c r="N239" s="44"/>
    </row>
    <row r="240">
      <c r="A240" s="32"/>
      <c r="B240" s="54"/>
      <c r="C240" s="42" t="str">
        <f>IF(AND('Check in'!B:B=B240,'Check in'!D:D="Good Condition"),"Usable","Not Usable")</f>
        <v>Not Usable</v>
      </c>
      <c r="D240" s="32"/>
      <c r="E240" s="55" t="s">
        <v>1278</v>
      </c>
      <c r="F240" s="42" t="s">
        <v>612</v>
      </c>
      <c r="G240" s="63"/>
      <c r="H240" s="55" t="s">
        <v>1149</v>
      </c>
      <c r="I240" s="63"/>
      <c r="J240" s="34"/>
      <c r="K240" s="32"/>
      <c r="L240" s="32"/>
      <c r="M240" s="42" t="s">
        <v>95</v>
      </c>
      <c r="N240" s="44"/>
    </row>
    <row r="241">
      <c r="A241" s="32"/>
      <c r="B241" s="54"/>
      <c r="C241" s="42" t="str">
        <f>IF(AND('Check in'!B:B=B241,'Check in'!D:D="Good Condition"),"Usable","Not Usable")</f>
        <v>Not Usable</v>
      </c>
      <c r="D241" s="32"/>
      <c r="E241" s="55" t="s">
        <v>1279</v>
      </c>
      <c r="F241" s="42" t="s">
        <v>612</v>
      </c>
      <c r="G241" s="63"/>
      <c r="H241" s="55" t="s">
        <v>1149</v>
      </c>
      <c r="I241" s="63"/>
      <c r="J241" s="34"/>
      <c r="K241" s="32"/>
      <c r="L241" s="32"/>
      <c r="M241" s="42" t="s">
        <v>95</v>
      </c>
      <c r="N241" s="44"/>
    </row>
    <row r="242">
      <c r="A242" s="32"/>
      <c r="B242" s="54"/>
      <c r="C242" s="42" t="str">
        <f>IF(AND('Check in'!B:B=B242,'Check in'!D:D="Good Condition"),"Usable","Not Usable")</f>
        <v>Not Usable</v>
      </c>
      <c r="D242" s="32"/>
      <c r="E242" s="55" t="s">
        <v>1280</v>
      </c>
      <c r="F242" s="42" t="s">
        <v>612</v>
      </c>
      <c r="G242" s="63"/>
      <c r="H242" s="55" t="s">
        <v>1149</v>
      </c>
      <c r="I242" s="63"/>
      <c r="J242" s="34"/>
      <c r="K242" s="32"/>
      <c r="L242" s="32"/>
      <c r="M242" s="42" t="s">
        <v>95</v>
      </c>
      <c r="N242" s="44"/>
    </row>
    <row r="243">
      <c r="A243" s="32"/>
      <c r="B243" s="54"/>
      <c r="C243" s="42" t="str">
        <f>IF(AND('Check in'!B:B=B243,'Check in'!D:D="Good Condition"),"Usable","Not Usable")</f>
        <v>Not Usable</v>
      </c>
      <c r="D243" s="32"/>
      <c r="E243" s="55" t="s">
        <v>1281</v>
      </c>
      <c r="F243" s="42" t="s">
        <v>612</v>
      </c>
      <c r="G243" s="63"/>
      <c r="H243" s="55" t="s">
        <v>1149</v>
      </c>
      <c r="I243" s="63"/>
      <c r="J243" s="34"/>
      <c r="K243" s="32"/>
      <c r="L243" s="32"/>
      <c r="M243" s="42" t="s">
        <v>95</v>
      </c>
      <c r="N243" s="44"/>
    </row>
    <row r="244">
      <c r="A244" s="32"/>
      <c r="B244" s="54"/>
      <c r="C244" s="42" t="str">
        <f>IF(AND('Check in'!B:B=B244,'Check in'!D:D="Good Condition"),"Usable","Not Usable")</f>
        <v>Not Usable</v>
      </c>
      <c r="D244" s="32"/>
      <c r="E244" s="55" t="s">
        <v>1282</v>
      </c>
      <c r="F244" s="42" t="s">
        <v>612</v>
      </c>
      <c r="G244" s="63"/>
      <c r="H244" s="55" t="s">
        <v>1149</v>
      </c>
      <c r="I244" s="63"/>
      <c r="J244" s="34"/>
      <c r="K244" s="32"/>
      <c r="L244" s="32"/>
      <c r="M244" s="42" t="s">
        <v>95</v>
      </c>
      <c r="N244" s="44"/>
    </row>
    <row r="245">
      <c r="A245" s="32"/>
      <c r="B245" s="54"/>
      <c r="C245" s="42" t="str">
        <f>IF(AND('Check in'!B:B=B245,'Check in'!D:D="Good Condition"),"Usable","Not Usable")</f>
        <v>Not Usable</v>
      </c>
      <c r="D245" s="32"/>
      <c r="E245" s="55" t="s">
        <v>1283</v>
      </c>
      <c r="F245" s="42" t="s">
        <v>612</v>
      </c>
      <c r="G245" s="63"/>
      <c r="H245" s="55" t="s">
        <v>1201</v>
      </c>
      <c r="I245" s="63"/>
      <c r="J245" s="34"/>
      <c r="K245" s="32"/>
      <c r="L245" s="32"/>
      <c r="M245" s="42" t="s">
        <v>95</v>
      </c>
      <c r="N245" s="44"/>
    </row>
    <row r="246">
      <c r="A246" s="32"/>
      <c r="B246" s="54"/>
      <c r="C246" s="42" t="str">
        <f>IF(AND('Check in'!B:B=B246,'Check in'!D:D="Good Condition"),"Usable","Not Usable")</f>
        <v>Not Usable</v>
      </c>
      <c r="D246" s="32"/>
      <c r="E246" s="55" t="s">
        <v>1284</v>
      </c>
      <c r="F246" s="42" t="s">
        <v>612</v>
      </c>
      <c r="G246" s="56"/>
      <c r="H246" s="55" t="s">
        <v>1201</v>
      </c>
      <c r="I246" s="56"/>
      <c r="J246" s="34"/>
      <c r="K246" s="32"/>
      <c r="L246" s="32"/>
      <c r="M246" s="42" t="s">
        <v>95</v>
      </c>
      <c r="N246" s="44"/>
    </row>
    <row r="247">
      <c r="A247" s="32"/>
      <c r="B247" s="54"/>
      <c r="C247" s="42" t="str">
        <f>IF(AND('Check in'!B:B=B247,'Check in'!D:D="Good Condition"),"Usable","Not Usable")</f>
        <v>Not Usable</v>
      </c>
      <c r="D247" s="32"/>
      <c r="E247" s="55" t="s">
        <v>1285</v>
      </c>
      <c r="F247" s="42" t="s">
        <v>612</v>
      </c>
      <c r="G247" s="56"/>
      <c r="H247" s="56"/>
      <c r="I247" s="56"/>
      <c r="J247" s="34"/>
      <c r="K247" s="32"/>
      <c r="L247" s="32"/>
      <c r="M247" s="42" t="s">
        <v>95</v>
      </c>
      <c r="N247" s="44"/>
    </row>
    <row r="248">
      <c r="A248" s="32"/>
      <c r="B248" s="54"/>
      <c r="C248" s="42" t="str">
        <f>IF(AND('Check in'!B:B=B248,'Check in'!D:D="Good Condition"),"Usable","Not Usable")</f>
        <v>Not Usable</v>
      </c>
      <c r="D248" s="32"/>
      <c r="E248" s="55" t="s">
        <v>1286</v>
      </c>
      <c r="F248" s="42" t="s">
        <v>612</v>
      </c>
      <c r="G248" s="56"/>
      <c r="H248" s="56"/>
      <c r="I248" s="56"/>
      <c r="J248" s="34"/>
      <c r="K248" s="32"/>
      <c r="L248" s="32"/>
      <c r="M248" s="42" t="s">
        <v>95</v>
      </c>
      <c r="N248" s="44"/>
    </row>
    <row r="249">
      <c r="A249" s="32"/>
      <c r="B249" s="54"/>
      <c r="C249" s="42" t="str">
        <f>IF(AND('Check in'!B:B=B249,'Check in'!D:D="Good Condition"),"Usable","Not Usable")</f>
        <v>Not Usable</v>
      </c>
      <c r="D249" s="32"/>
      <c r="E249" s="55" t="s">
        <v>524</v>
      </c>
      <c r="F249" s="42" t="s">
        <v>612</v>
      </c>
      <c r="G249" s="63"/>
      <c r="H249" s="55" t="s">
        <v>1203</v>
      </c>
      <c r="I249" s="63"/>
      <c r="J249" s="34"/>
      <c r="K249" s="32"/>
      <c r="L249" s="32"/>
      <c r="M249" s="42" t="s">
        <v>95</v>
      </c>
      <c r="N249" s="44"/>
    </row>
    <row r="250">
      <c r="A250" s="32"/>
      <c r="B250" s="54"/>
      <c r="C250" s="42" t="str">
        <f>IF(AND('Check in'!B:B=B250,'Check in'!D:D="Good Condition"),"Usable","Not Usable")</f>
        <v>Not Usable</v>
      </c>
      <c r="D250" s="32"/>
      <c r="E250" s="55" t="s">
        <v>1287</v>
      </c>
      <c r="F250" s="42" t="s">
        <v>612</v>
      </c>
      <c r="G250" s="63"/>
      <c r="H250" s="55" t="s">
        <v>1203</v>
      </c>
      <c r="I250" s="63"/>
      <c r="J250" s="34"/>
      <c r="K250" s="32"/>
      <c r="L250" s="32"/>
      <c r="M250" s="42" t="s">
        <v>95</v>
      </c>
      <c r="N250" s="44"/>
    </row>
    <row r="251">
      <c r="A251" s="32"/>
      <c r="B251" s="54"/>
      <c r="C251" s="42" t="str">
        <f>IF(AND('Check in'!B:B=B251,'Check in'!D:D="Good Condition"),"Usable","Not Usable")</f>
        <v>Not Usable</v>
      </c>
      <c r="D251" s="32"/>
      <c r="E251" s="55" t="s">
        <v>1288</v>
      </c>
      <c r="F251" s="42" t="s">
        <v>612</v>
      </c>
      <c r="G251" s="63"/>
      <c r="H251" s="55" t="s">
        <v>1203</v>
      </c>
      <c r="I251" s="63"/>
      <c r="J251" s="34"/>
      <c r="K251" s="32"/>
      <c r="L251" s="32"/>
      <c r="M251" s="42" t="s">
        <v>95</v>
      </c>
      <c r="N251" s="44"/>
    </row>
    <row r="252">
      <c r="A252" s="32"/>
      <c r="B252" s="54"/>
      <c r="C252" s="42" t="str">
        <f>IF(AND('Check in'!B:B=B252,'Check in'!D:D="Good Condition"),"Usable","Not Usable")</f>
        <v>Not Usable</v>
      </c>
      <c r="D252" s="32"/>
      <c r="E252" s="55" t="s">
        <v>1289</v>
      </c>
      <c r="F252" s="42" t="s">
        <v>612</v>
      </c>
      <c r="G252" s="63"/>
      <c r="H252" s="55" t="s">
        <v>1203</v>
      </c>
      <c r="I252" s="63"/>
      <c r="J252" s="34"/>
      <c r="K252" s="32"/>
      <c r="L252" s="32"/>
      <c r="M252" s="42" t="s">
        <v>95</v>
      </c>
      <c r="N252" s="44"/>
    </row>
    <row r="253">
      <c r="A253" s="32"/>
      <c r="B253" s="54"/>
      <c r="C253" s="42" t="str">
        <f>IF(AND('Check in'!B:B=B253,'Check in'!D:D="Good Condition"),"Usable","Not Usable")</f>
        <v>Not Usable</v>
      </c>
      <c r="D253" s="32"/>
      <c r="E253" s="55" t="s">
        <v>1290</v>
      </c>
      <c r="F253" s="42" t="s">
        <v>612</v>
      </c>
      <c r="G253" s="63"/>
      <c r="H253" s="55" t="s">
        <v>1291</v>
      </c>
      <c r="I253" s="63"/>
      <c r="J253" s="34"/>
      <c r="K253" s="32"/>
      <c r="L253" s="32"/>
      <c r="M253" s="42" t="s">
        <v>95</v>
      </c>
      <c r="N253" s="44"/>
    </row>
    <row r="254">
      <c r="A254" s="32"/>
      <c r="B254" s="54"/>
      <c r="C254" s="42" t="str">
        <f>IF(AND('Check in'!B:B=B254,'Check in'!D:D="Good Condition"),"Usable","Not Usable")</f>
        <v>Not Usable</v>
      </c>
      <c r="D254" s="32"/>
      <c r="E254" s="55" t="s">
        <v>1292</v>
      </c>
      <c r="F254" s="42" t="s">
        <v>612</v>
      </c>
      <c r="G254" s="63"/>
      <c r="H254" s="55" t="s">
        <v>1291</v>
      </c>
      <c r="I254" s="63"/>
      <c r="J254" s="34"/>
      <c r="K254" s="32"/>
      <c r="L254" s="32"/>
      <c r="M254" s="42" t="s">
        <v>95</v>
      </c>
      <c r="N254" s="44"/>
    </row>
    <row r="255">
      <c r="A255" s="32"/>
      <c r="B255" s="54"/>
      <c r="C255" s="42" t="str">
        <f>IF(AND('Check in'!B:B=B255,'Check in'!D:D="Good Condition"),"Usable","Not Usable")</f>
        <v>Not Usable</v>
      </c>
      <c r="D255" s="32"/>
      <c r="E255" s="55" t="s">
        <v>1293</v>
      </c>
      <c r="F255" s="42" t="s">
        <v>612</v>
      </c>
      <c r="G255" s="63"/>
      <c r="H255" s="55" t="s">
        <v>1291</v>
      </c>
      <c r="I255" s="63"/>
      <c r="J255" s="34"/>
      <c r="K255" s="32"/>
      <c r="L255" s="32"/>
      <c r="M255" s="42" t="s">
        <v>95</v>
      </c>
      <c r="N255" s="44"/>
    </row>
    <row r="256">
      <c r="A256" s="32"/>
      <c r="B256" s="54"/>
      <c r="C256" s="42" t="str">
        <f>IF(AND('Check in'!B:B=B256,'Check in'!D:D="Good Condition"),"Usable","Not Usable")</f>
        <v>Not Usable</v>
      </c>
      <c r="D256" s="32"/>
      <c r="E256" s="55" t="s">
        <v>1294</v>
      </c>
      <c r="F256" s="42" t="s">
        <v>612</v>
      </c>
      <c r="G256" s="63"/>
      <c r="H256" s="55" t="s">
        <v>1291</v>
      </c>
      <c r="I256" s="63"/>
      <c r="J256" s="34"/>
      <c r="K256" s="32"/>
      <c r="L256" s="32"/>
      <c r="M256" s="42" t="s">
        <v>95</v>
      </c>
      <c r="N256" s="44"/>
    </row>
    <row r="257">
      <c r="A257" s="32"/>
      <c r="B257" s="54"/>
      <c r="C257" s="42" t="str">
        <f>IF(AND('Check in'!B:B=B257,'Check in'!D:D="Good Condition"),"Usable","Not Usable")</f>
        <v>Not Usable</v>
      </c>
      <c r="D257" s="32"/>
      <c r="E257" s="55" t="s">
        <v>1295</v>
      </c>
      <c r="F257" s="42" t="s">
        <v>612</v>
      </c>
      <c r="G257" s="63"/>
      <c r="H257" s="55" t="s">
        <v>1296</v>
      </c>
      <c r="I257" s="63"/>
      <c r="J257" s="34"/>
      <c r="K257" s="32"/>
      <c r="L257" s="32"/>
      <c r="M257" s="42" t="s">
        <v>95</v>
      </c>
      <c r="N257" s="44"/>
    </row>
    <row r="258">
      <c r="A258" s="32"/>
      <c r="B258" s="54"/>
      <c r="C258" s="42" t="str">
        <f>IF(AND('Check in'!B:B=B258,'Check in'!D:D="Good Condition"),"Usable","Not Usable")</f>
        <v>Not Usable</v>
      </c>
      <c r="D258" s="32"/>
      <c r="E258" s="55" t="s">
        <v>1295</v>
      </c>
      <c r="F258" s="42" t="s">
        <v>612</v>
      </c>
      <c r="G258" s="63"/>
      <c r="H258" s="55" t="s">
        <v>1296</v>
      </c>
      <c r="I258" s="63"/>
      <c r="J258" s="34"/>
      <c r="K258" s="32"/>
      <c r="L258" s="32"/>
      <c r="M258" s="42" t="s">
        <v>95</v>
      </c>
      <c r="N258" s="44"/>
    </row>
    <row r="259">
      <c r="A259" s="32"/>
      <c r="B259" s="54"/>
      <c r="C259" s="42" t="str">
        <f>IF(AND('Check in'!B:B=B259,'Check in'!D:D="Good Condition"),"Usable","Not Usable")</f>
        <v>Not Usable</v>
      </c>
      <c r="D259" s="32"/>
      <c r="E259" s="55" t="s">
        <v>1297</v>
      </c>
      <c r="F259" s="42" t="s">
        <v>612</v>
      </c>
      <c r="G259" s="63"/>
      <c r="H259" s="55" t="s">
        <v>1298</v>
      </c>
      <c r="I259" s="63"/>
      <c r="J259" s="34"/>
      <c r="K259" s="32"/>
      <c r="L259" s="32"/>
      <c r="M259" s="42" t="s">
        <v>95</v>
      </c>
      <c r="N259" s="44"/>
    </row>
    <row r="260">
      <c r="A260" s="32"/>
      <c r="B260" s="54"/>
      <c r="C260" s="42" t="str">
        <f>IF(AND('Check in'!B:B=B260,'Check in'!D:D="Good Condition"),"Usable","Not Usable")</f>
        <v>Not Usable</v>
      </c>
      <c r="D260" s="32"/>
      <c r="E260" s="55" t="s">
        <v>1299</v>
      </c>
      <c r="F260" s="42" t="s">
        <v>612</v>
      </c>
      <c r="G260" s="63"/>
      <c r="H260" s="55" t="s">
        <v>1298</v>
      </c>
      <c r="I260" s="63"/>
      <c r="J260" s="34"/>
      <c r="K260" s="32"/>
      <c r="L260" s="32"/>
      <c r="M260" s="42" t="s">
        <v>95</v>
      </c>
      <c r="N260" s="44"/>
    </row>
    <row r="261">
      <c r="A261" s="32"/>
      <c r="B261" s="54"/>
      <c r="C261" s="42" t="str">
        <f>IF(AND('Check in'!B:B=B261,'Check in'!D:D="Good Condition"),"Usable","Not Usable")</f>
        <v>Not Usable</v>
      </c>
      <c r="D261" s="32"/>
      <c r="E261" s="55" t="s">
        <v>1300</v>
      </c>
      <c r="F261" s="42" t="s">
        <v>612</v>
      </c>
      <c r="G261" s="63"/>
      <c r="H261" s="55" t="s">
        <v>1298</v>
      </c>
      <c r="I261" s="63"/>
      <c r="J261" s="34"/>
      <c r="K261" s="32"/>
      <c r="L261" s="32"/>
      <c r="M261" s="42" t="s">
        <v>95</v>
      </c>
      <c r="N261" s="44"/>
    </row>
    <row r="262">
      <c r="A262" s="32"/>
      <c r="B262" s="54"/>
      <c r="C262" s="42" t="str">
        <f>IF(AND('Check in'!B:B=B262,'Check in'!D:D="Good Condition"),"Usable","Not Usable")</f>
        <v>Not Usable</v>
      </c>
      <c r="D262" s="32"/>
      <c r="E262" s="55" t="s">
        <v>1301</v>
      </c>
      <c r="F262" s="42" t="s">
        <v>612</v>
      </c>
      <c r="G262" s="63"/>
      <c r="H262" s="55" t="s">
        <v>1298</v>
      </c>
      <c r="I262" s="63"/>
      <c r="J262" s="34"/>
      <c r="K262" s="32"/>
      <c r="L262" s="32"/>
      <c r="M262" s="42" t="s">
        <v>95</v>
      </c>
      <c r="N262" s="44"/>
    </row>
    <row r="263">
      <c r="A263" s="32"/>
      <c r="B263" s="54"/>
      <c r="C263" s="42" t="str">
        <f>IF(AND('Check in'!B:B=B263,'Check in'!D:D="Good Condition"),"Usable","Not Usable")</f>
        <v>Not Usable</v>
      </c>
      <c r="D263" s="32"/>
      <c r="E263" s="55" t="s">
        <v>1302</v>
      </c>
      <c r="F263" s="42" t="s">
        <v>612</v>
      </c>
      <c r="G263" s="63"/>
      <c r="H263" s="55" t="s">
        <v>1298</v>
      </c>
      <c r="I263" s="63"/>
      <c r="J263" s="34"/>
      <c r="K263" s="32"/>
      <c r="L263" s="32"/>
      <c r="M263" s="42" t="s">
        <v>95</v>
      </c>
      <c r="N263" s="44"/>
    </row>
    <row r="264">
      <c r="A264" s="32"/>
      <c r="B264" s="54"/>
      <c r="C264" s="42" t="str">
        <f>IF(AND('Check in'!B:B=B264,'Check in'!D:D="Good Condition"),"Usable","Not Usable")</f>
        <v>Not Usable</v>
      </c>
      <c r="D264" s="32"/>
      <c r="E264" s="55" t="s">
        <v>1303</v>
      </c>
      <c r="F264" s="42" t="s">
        <v>612</v>
      </c>
      <c r="G264" s="63"/>
      <c r="H264" s="55" t="s">
        <v>1298</v>
      </c>
      <c r="I264" s="63"/>
      <c r="J264" s="34"/>
      <c r="K264" s="32"/>
      <c r="L264" s="32"/>
      <c r="M264" s="42" t="s">
        <v>95</v>
      </c>
      <c r="N264" s="44"/>
    </row>
    <row r="265">
      <c r="A265" s="32"/>
      <c r="B265" s="54"/>
      <c r="C265" s="42" t="str">
        <f>IF(AND('Check in'!B:B=B265,'Check in'!D:D="Good Condition"),"Usable","Not Usable")</f>
        <v>Not Usable</v>
      </c>
      <c r="D265" s="32"/>
      <c r="E265" s="55" t="s">
        <v>1304</v>
      </c>
      <c r="F265" s="42" t="s">
        <v>612</v>
      </c>
      <c r="G265" s="63"/>
      <c r="H265" s="55" t="s">
        <v>1298</v>
      </c>
      <c r="I265" s="63"/>
      <c r="J265" s="34"/>
      <c r="K265" s="32"/>
      <c r="L265" s="32"/>
      <c r="M265" s="42" t="s">
        <v>95</v>
      </c>
      <c r="N265" s="44"/>
    </row>
    <row r="266">
      <c r="A266" s="32"/>
      <c r="B266" s="54"/>
      <c r="C266" s="42" t="str">
        <f>IF(AND('Check in'!B:B=B266,'Check in'!D:D="Good Condition"),"Usable","Not Usable")</f>
        <v>Not Usable</v>
      </c>
      <c r="D266" s="32"/>
      <c r="E266" s="55" t="s">
        <v>1305</v>
      </c>
      <c r="F266" s="42" t="s">
        <v>612</v>
      </c>
      <c r="G266" s="63"/>
      <c r="H266" s="55" t="s">
        <v>1298</v>
      </c>
      <c r="I266" s="63"/>
      <c r="J266" s="34"/>
      <c r="K266" s="32"/>
      <c r="L266" s="32"/>
      <c r="M266" s="42" t="s">
        <v>95</v>
      </c>
      <c r="N266" s="44"/>
    </row>
    <row r="267">
      <c r="A267" s="32"/>
      <c r="B267" s="54"/>
      <c r="C267" s="42" t="str">
        <f>IF(AND('Check in'!B:B=B267,'Check in'!D:D="Good Condition"),"Usable","Not Usable")</f>
        <v>Not Usable</v>
      </c>
      <c r="D267" s="32"/>
      <c r="E267" s="55" t="s">
        <v>1306</v>
      </c>
      <c r="F267" s="42" t="s">
        <v>612</v>
      </c>
      <c r="G267" s="63"/>
      <c r="H267" s="55" t="s">
        <v>1298</v>
      </c>
      <c r="I267" s="63"/>
      <c r="J267" s="34"/>
      <c r="K267" s="32"/>
      <c r="L267" s="32"/>
      <c r="M267" s="42" t="s">
        <v>95</v>
      </c>
      <c r="N267" s="44"/>
    </row>
    <row r="268">
      <c r="A268" s="32"/>
      <c r="B268" s="54"/>
      <c r="C268" s="42" t="str">
        <f>IF(AND('Check in'!B:B=B268,'Check in'!D:D="Good Condition"),"Usable","Not Usable")</f>
        <v>Not Usable</v>
      </c>
      <c r="D268" s="32"/>
      <c r="E268" s="55" t="s">
        <v>1307</v>
      </c>
      <c r="F268" s="42" t="s">
        <v>612</v>
      </c>
      <c r="G268" s="63"/>
      <c r="H268" s="55" t="s">
        <v>1298</v>
      </c>
      <c r="I268" s="63"/>
      <c r="J268" s="34"/>
      <c r="K268" s="32"/>
      <c r="L268" s="32"/>
      <c r="M268" s="42" t="s">
        <v>95</v>
      </c>
      <c r="N268" s="44"/>
    </row>
    <row r="269">
      <c r="A269" s="32"/>
      <c r="B269" s="54"/>
      <c r="C269" s="42" t="str">
        <f>IF(AND('Check in'!B:B=B269,'Check in'!D:D="Good Condition"),"Usable","Not Usable")</f>
        <v>Not Usable</v>
      </c>
      <c r="D269" s="32"/>
      <c r="E269" s="55" t="s">
        <v>1308</v>
      </c>
      <c r="F269" s="42" t="s">
        <v>612</v>
      </c>
      <c r="G269" s="63"/>
      <c r="H269" s="55" t="s">
        <v>1298</v>
      </c>
      <c r="I269" s="63"/>
      <c r="J269" s="34"/>
      <c r="K269" s="32"/>
      <c r="L269" s="32"/>
      <c r="M269" s="42" t="s">
        <v>95</v>
      </c>
      <c r="N269" s="44"/>
    </row>
    <row r="270">
      <c r="A270" s="32"/>
      <c r="B270" s="54"/>
      <c r="C270" s="42" t="str">
        <f>IF(AND('Check in'!B:B=B270,'Check in'!D:D="Good Condition"),"Usable","Not Usable")</f>
        <v>Not Usable</v>
      </c>
      <c r="D270" s="32"/>
      <c r="E270" s="55" t="s">
        <v>1309</v>
      </c>
      <c r="F270" s="42" t="s">
        <v>612</v>
      </c>
      <c r="G270" s="63"/>
      <c r="H270" s="55" t="s">
        <v>1298</v>
      </c>
      <c r="I270" s="63"/>
      <c r="J270" s="34"/>
      <c r="K270" s="32"/>
      <c r="L270" s="32"/>
      <c r="M270" s="42" t="s">
        <v>95</v>
      </c>
      <c r="N270" s="44"/>
    </row>
    <row r="271">
      <c r="A271" s="32"/>
      <c r="B271" s="54"/>
      <c r="C271" s="42" t="str">
        <f>IF(AND('Check in'!B:B=B271,'Check in'!D:D="Good Condition"),"Usable","Not Usable")</f>
        <v>Not Usable</v>
      </c>
      <c r="D271" s="32"/>
      <c r="E271" s="55" t="s">
        <v>1310</v>
      </c>
      <c r="F271" s="42" t="s">
        <v>612</v>
      </c>
      <c r="G271" s="63"/>
      <c r="H271" s="55" t="s">
        <v>1246</v>
      </c>
      <c r="I271" s="63"/>
      <c r="J271" s="34"/>
      <c r="K271" s="32"/>
      <c r="L271" s="32"/>
      <c r="M271" s="42" t="s">
        <v>95</v>
      </c>
      <c r="N271" s="44"/>
    </row>
    <row r="272">
      <c r="A272" s="32"/>
      <c r="B272" s="54"/>
      <c r="C272" s="42" t="str">
        <f>IF(AND('Check in'!B:B=B272,'Check in'!D:D="Good Condition"),"Usable","Not Usable")</f>
        <v>Not Usable</v>
      </c>
      <c r="D272" s="32"/>
      <c r="E272" s="55" t="s">
        <v>1311</v>
      </c>
      <c r="F272" s="42" t="s">
        <v>612</v>
      </c>
      <c r="G272" s="63"/>
      <c r="H272" s="55" t="s">
        <v>1246</v>
      </c>
      <c r="I272" s="63"/>
      <c r="J272" s="34"/>
      <c r="K272" s="32"/>
      <c r="L272" s="32"/>
      <c r="M272" s="42" t="s">
        <v>95</v>
      </c>
      <c r="N272" s="44"/>
    </row>
    <row r="273">
      <c r="A273" s="32"/>
      <c r="B273" s="54"/>
      <c r="C273" s="42" t="str">
        <f>IF(AND('Check in'!B:B=B273,'Check in'!D:D="Good Condition"),"Usable","Not Usable")</f>
        <v>Not Usable</v>
      </c>
      <c r="D273" s="32"/>
      <c r="E273" s="55" t="s">
        <v>1312</v>
      </c>
      <c r="F273" s="42" t="s">
        <v>612</v>
      </c>
      <c r="G273" s="63"/>
      <c r="H273" s="55" t="s">
        <v>1246</v>
      </c>
      <c r="I273" s="63"/>
      <c r="J273" s="34"/>
      <c r="K273" s="32"/>
      <c r="L273" s="32"/>
      <c r="M273" s="42" t="s">
        <v>95</v>
      </c>
      <c r="N273" s="44"/>
    </row>
    <row r="274">
      <c r="A274" s="32"/>
      <c r="B274" s="54"/>
      <c r="C274" s="42" t="str">
        <f>IF(AND('Check in'!B:B=B274,'Check in'!D:D="Good Condition"),"Usable","Not Usable")</f>
        <v>Not Usable</v>
      </c>
      <c r="D274" s="32"/>
      <c r="E274" s="55" t="s">
        <v>1313</v>
      </c>
      <c r="F274" s="42" t="s">
        <v>612</v>
      </c>
      <c r="G274" s="63"/>
      <c r="H274" s="55" t="s">
        <v>1246</v>
      </c>
      <c r="I274" s="63"/>
      <c r="J274" s="34"/>
      <c r="K274" s="32"/>
      <c r="L274" s="32"/>
      <c r="M274" s="42" t="s">
        <v>95</v>
      </c>
      <c r="N274" s="44"/>
    </row>
    <row r="275">
      <c r="A275" s="32"/>
      <c r="B275" s="54"/>
      <c r="C275" s="42" t="str">
        <f>IF(AND('Check in'!B:B=B275,'Check in'!D:D="Good Condition"),"Usable","Not Usable")</f>
        <v>Not Usable</v>
      </c>
      <c r="D275" s="32"/>
      <c r="E275" s="55" t="s">
        <v>1314</v>
      </c>
      <c r="F275" s="42" t="s">
        <v>612</v>
      </c>
      <c r="G275" s="63"/>
      <c r="H275" s="55" t="s">
        <v>1246</v>
      </c>
      <c r="I275" s="63"/>
      <c r="J275" s="34"/>
      <c r="K275" s="32"/>
      <c r="L275" s="32"/>
      <c r="M275" s="42" t="s">
        <v>95</v>
      </c>
      <c r="N275" s="44"/>
    </row>
    <row r="276">
      <c r="A276" s="32"/>
      <c r="B276" s="54"/>
      <c r="C276" s="42" t="str">
        <f>IF(AND('Check in'!B:B=B276,'Check in'!D:D="Good Condition"),"Usable","Not Usable")</f>
        <v>Not Usable</v>
      </c>
      <c r="D276" s="32"/>
      <c r="E276" s="55" t="s">
        <v>1315</v>
      </c>
      <c r="F276" s="42" t="s">
        <v>612</v>
      </c>
      <c r="G276" s="63"/>
      <c r="H276" s="55" t="s">
        <v>1246</v>
      </c>
      <c r="I276" s="63"/>
      <c r="J276" s="34"/>
      <c r="K276" s="32"/>
      <c r="L276" s="32"/>
      <c r="M276" s="42" t="s">
        <v>95</v>
      </c>
      <c r="N276" s="44"/>
    </row>
    <row r="277">
      <c r="A277" s="32"/>
      <c r="B277" s="54"/>
      <c r="C277" s="42" t="str">
        <f>IF(AND('Check in'!B:B=B277,'Check in'!D:D="Good Condition"),"Usable","Not Usable")</f>
        <v>Not Usable</v>
      </c>
      <c r="D277" s="32"/>
      <c r="E277" s="55" t="s">
        <v>1316</v>
      </c>
      <c r="F277" s="42" t="s">
        <v>612</v>
      </c>
      <c r="G277" s="63"/>
      <c r="H277" s="55" t="s">
        <v>1246</v>
      </c>
      <c r="I277" s="63"/>
      <c r="J277" s="34"/>
      <c r="K277" s="32"/>
      <c r="L277" s="32"/>
      <c r="M277" s="42" t="s">
        <v>95</v>
      </c>
      <c r="N277" s="44"/>
    </row>
    <row r="278">
      <c r="A278" s="32"/>
      <c r="B278" s="54"/>
      <c r="C278" s="42" t="str">
        <f>IF(AND('Check in'!B:B=B278,'Check in'!D:D="Good Condition"),"Usable","Not Usable")</f>
        <v>Not Usable</v>
      </c>
      <c r="D278" s="32"/>
      <c r="E278" s="55" t="s">
        <v>1317</v>
      </c>
      <c r="F278" s="42" t="s">
        <v>612</v>
      </c>
      <c r="G278" s="63"/>
      <c r="H278" s="55" t="s">
        <v>1246</v>
      </c>
      <c r="I278" s="63"/>
      <c r="J278" s="34"/>
      <c r="K278" s="32"/>
      <c r="L278" s="32"/>
      <c r="M278" s="42" t="s">
        <v>95</v>
      </c>
      <c r="N278" s="44"/>
    </row>
    <row r="279">
      <c r="A279" s="32"/>
      <c r="B279" s="54"/>
      <c r="C279" s="42" t="str">
        <f>IF(AND('Check in'!B:B=B279,'Check in'!D:D="Good Condition"),"Usable","Not Usable")</f>
        <v>Not Usable</v>
      </c>
      <c r="D279" s="32"/>
      <c r="E279" s="55" t="s">
        <v>1318</v>
      </c>
      <c r="F279" s="42" t="s">
        <v>612</v>
      </c>
      <c r="G279" s="63"/>
      <c r="H279" s="55" t="s">
        <v>1246</v>
      </c>
      <c r="I279" s="63"/>
      <c r="J279" s="34"/>
      <c r="K279" s="32"/>
      <c r="L279" s="32"/>
      <c r="M279" s="42" t="s">
        <v>95</v>
      </c>
      <c r="N279" s="44"/>
    </row>
    <row r="280">
      <c r="A280" s="32"/>
      <c r="B280" s="54"/>
      <c r="C280" s="42" t="str">
        <f>IF(AND('Check in'!B:B=B280,'Check in'!D:D="Good Condition"),"Usable","Not Usable")</f>
        <v>Not Usable</v>
      </c>
      <c r="D280" s="32"/>
      <c r="E280" s="55" t="s">
        <v>1319</v>
      </c>
      <c r="F280" s="42" t="s">
        <v>612</v>
      </c>
      <c r="G280" s="63"/>
      <c r="H280" s="55" t="s">
        <v>1246</v>
      </c>
      <c r="I280" s="63"/>
      <c r="J280" s="34"/>
      <c r="K280" s="32"/>
      <c r="L280" s="32"/>
      <c r="M280" s="42" t="s">
        <v>95</v>
      </c>
      <c r="N280" s="44"/>
    </row>
    <row r="281">
      <c r="A281" s="32"/>
      <c r="B281" s="54"/>
      <c r="C281" s="42" t="str">
        <f>IF(AND('Check in'!B:B=B281,'Check in'!D:D="Good Condition"),"Usable","Not Usable")</f>
        <v>Not Usable</v>
      </c>
      <c r="D281" s="32"/>
      <c r="E281" s="55" t="s">
        <v>1320</v>
      </c>
      <c r="F281" s="42" t="s">
        <v>612</v>
      </c>
      <c r="G281" s="63"/>
      <c r="H281" s="55" t="s">
        <v>1321</v>
      </c>
      <c r="I281" s="63"/>
      <c r="J281" s="34"/>
      <c r="K281" s="32"/>
      <c r="L281" s="32"/>
      <c r="M281" s="42" t="s">
        <v>95</v>
      </c>
      <c r="N281" s="44"/>
    </row>
    <row r="282">
      <c r="A282" s="32"/>
      <c r="B282" s="54"/>
      <c r="C282" s="42" t="str">
        <f>IF(AND('Check in'!B:B=B282,'Check in'!D:D="Good Condition"),"Usable","Not Usable")</f>
        <v>Not Usable</v>
      </c>
      <c r="D282" s="32"/>
      <c r="E282" s="55" t="s">
        <v>1322</v>
      </c>
      <c r="F282" s="42" t="s">
        <v>612</v>
      </c>
      <c r="G282" s="63"/>
      <c r="H282" s="55" t="s">
        <v>1323</v>
      </c>
      <c r="I282" s="63"/>
      <c r="J282" s="34"/>
      <c r="K282" s="32"/>
      <c r="L282" s="32"/>
      <c r="M282" s="42" t="s">
        <v>95</v>
      </c>
      <c r="N282" s="44"/>
    </row>
    <row r="283">
      <c r="A283" s="32"/>
      <c r="B283" s="54"/>
      <c r="C283" s="42" t="str">
        <f>IF(AND('Check in'!B:B=B283,'Check in'!D:D="Good Condition"),"Usable","Not Usable")</f>
        <v>Not Usable</v>
      </c>
      <c r="D283" s="32"/>
      <c r="E283" s="55" t="s">
        <v>1324</v>
      </c>
      <c r="F283" s="42" t="s">
        <v>612</v>
      </c>
      <c r="G283" s="63"/>
      <c r="H283" s="55" t="s">
        <v>1323</v>
      </c>
      <c r="I283" s="63"/>
      <c r="J283" s="34"/>
      <c r="K283" s="32"/>
      <c r="L283" s="32"/>
      <c r="M283" s="42" t="s">
        <v>95</v>
      </c>
      <c r="N283" s="44"/>
    </row>
    <row r="284">
      <c r="A284" s="32"/>
      <c r="B284" s="54"/>
      <c r="C284" s="42" t="str">
        <f>IF(AND('Check in'!B:B=B284,'Check in'!D:D="Good Condition"),"Usable","Not Usable")</f>
        <v>Not Usable</v>
      </c>
      <c r="D284" s="32"/>
      <c r="E284" s="55" t="s">
        <v>1325</v>
      </c>
      <c r="F284" s="42" t="s">
        <v>612</v>
      </c>
      <c r="G284" s="63"/>
      <c r="H284" s="55" t="s">
        <v>1323</v>
      </c>
      <c r="I284" s="63"/>
      <c r="J284" s="34"/>
      <c r="K284" s="32"/>
      <c r="L284" s="32"/>
      <c r="M284" s="42" t="s">
        <v>95</v>
      </c>
      <c r="N284" s="44"/>
    </row>
    <row r="285">
      <c r="A285" s="32"/>
      <c r="B285" s="54"/>
      <c r="C285" s="42" t="str">
        <f>IF(AND('Check in'!B:B=B285,'Check in'!D:D="Good Condition"),"Usable","Not Usable")</f>
        <v>Not Usable</v>
      </c>
      <c r="D285" s="32"/>
      <c r="E285" s="55" t="s">
        <v>1326</v>
      </c>
      <c r="F285" s="42" t="s">
        <v>612</v>
      </c>
      <c r="G285" s="63"/>
      <c r="H285" s="55" t="s">
        <v>1323</v>
      </c>
      <c r="I285" s="63"/>
      <c r="J285" s="34"/>
      <c r="K285" s="32"/>
      <c r="L285" s="32"/>
      <c r="M285" s="42" t="s">
        <v>95</v>
      </c>
      <c r="N285" s="44"/>
    </row>
    <row r="286">
      <c r="A286" s="32"/>
      <c r="B286" s="54"/>
      <c r="C286" s="42" t="str">
        <f>IF(AND('Check in'!B:B=B286,'Check in'!D:D="Good Condition"),"Usable","Not Usable")</f>
        <v>Not Usable</v>
      </c>
      <c r="D286" s="32"/>
      <c r="E286" s="55" t="s">
        <v>1326</v>
      </c>
      <c r="F286" s="42" t="s">
        <v>612</v>
      </c>
      <c r="G286" s="63"/>
      <c r="H286" s="55" t="s">
        <v>1323</v>
      </c>
      <c r="I286" s="63"/>
      <c r="J286" s="34"/>
      <c r="K286" s="32"/>
      <c r="L286" s="32"/>
      <c r="M286" s="42" t="s">
        <v>95</v>
      </c>
      <c r="N286" s="44"/>
    </row>
    <row r="287">
      <c r="A287" s="32"/>
      <c r="B287" s="54"/>
      <c r="C287" s="42" t="str">
        <f>IF(AND('Check in'!B:B=B287,'Check in'!D:D="Good Condition"),"Usable","Not Usable")</f>
        <v>Not Usable</v>
      </c>
      <c r="D287" s="32"/>
      <c r="E287" s="55" t="s">
        <v>1326</v>
      </c>
      <c r="F287" s="42" t="s">
        <v>612</v>
      </c>
      <c r="G287" s="63"/>
      <c r="H287" s="55" t="s">
        <v>1323</v>
      </c>
      <c r="I287" s="63"/>
      <c r="J287" s="34"/>
      <c r="K287" s="32"/>
      <c r="L287" s="32"/>
      <c r="M287" s="42" t="s">
        <v>95</v>
      </c>
      <c r="N287" s="44"/>
    </row>
    <row r="288">
      <c r="A288" s="32"/>
      <c r="B288" s="54"/>
      <c r="C288" s="42" t="str">
        <f>IF(AND('Check in'!B:B=B288,'Check in'!D:D="Good Condition"),"Usable","Not Usable")</f>
        <v>Not Usable</v>
      </c>
      <c r="D288" s="32"/>
      <c r="E288" s="55" t="s">
        <v>1327</v>
      </c>
      <c r="F288" s="42" t="s">
        <v>612</v>
      </c>
      <c r="G288" s="63"/>
      <c r="H288" s="55" t="s">
        <v>1323</v>
      </c>
      <c r="I288" s="63"/>
      <c r="J288" s="34"/>
      <c r="K288" s="32"/>
      <c r="L288" s="32"/>
      <c r="M288" s="42" t="s">
        <v>95</v>
      </c>
      <c r="N288" s="44"/>
    </row>
    <row r="289">
      <c r="A289" s="32"/>
      <c r="B289" s="54"/>
      <c r="C289" s="42" t="str">
        <f>IF(AND('Check in'!B:B=B289,'Check in'!D:D="Good Condition"),"Usable","Not Usable")</f>
        <v>Not Usable</v>
      </c>
      <c r="D289" s="32"/>
      <c r="E289" s="55" t="s">
        <v>1328</v>
      </c>
      <c r="F289" s="42" t="s">
        <v>612</v>
      </c>
      <c r="G289" s="63"/>
      <c r="H289" s="55" t="s">
        <v>1323</v>
      </c>
      <c r="I289" s="63"/>
      <c r="J289" s="34"/>
      <c r="K289" s="32"/>
      <c r="L289" s="32"/>
      <c r="M289" s="42" t="s">
        <v>95</v>
      </c>
      <c r="N289" s="44"/>
    </row>
    <row r="290">
      <c r="A290" s="32"/>
      <c r="B290" s="54"/>
      <c r="C290" s="42" t="str">
        <f>IF(AND('Check in'!B:B=B290,'Check in'!D:D="Good Condition"),"Usable","Not Usable")</f>
        <v>Not Usable</v>
      </c>
      <c r="D290" s="32"/>
      <c r="E290" s="55" t="s">
        <v>1328</v>
      </c>
      <c r="F290" s="42" t="s">
        <v>612</v>
      </c>
      <c r="G290" s="63"/>
      <c r="H290" s="55" t="s">
        <v>1323</v>
      </c>
      <c r="I290" s="63"/>
      <c r="J290" s="34"/>
      <c r="K290" s="32"/>
      <c r="L290" s="32"/>
      <c r="M290" s="42" t="s">
        <v>95</v>
      </c>
      <c r="N290" s="44"/>
    </row>
    <row r="291">
      <c r="A291" s="32"/>
      <c r="B291" s="54"/>
      <c r="C291" s="42" t="str">
        <f>IF(AND('Check in'!B:B=B291,'Check in'!D:D="Good Condition"),"Usable","Not Usable")</f>
        <v>Not Usable</v>
      </c>
      <c r="D291" s="32"/>
      <c r="E291" s="55" t="s">
        <v>794</v>
      </c>
      <c r="F291" s="42" t="s">
        <v>612</v>
      </c>
      <c r="G291" s="63"/>
      <c r="H291" s="55" t="s">
        <v>1323</v>
      </c>
      <c r="I291" s="63"/>
      <c r="J291" s="34"/>
      <c r="K291" s="32"/>
      <c r="L291" s="32"/>
      <c r="M291" s="42" t="s">
        <v>95</v>
      </c>
      <c r="N291" s="44"/>
    </row>
    <row r="292">
      <c r="A292" s="32"/>
      <c r="B292" s="54"/>
      <c r="C292" s="42" t="str">
        <f>IF(AND('Check in'!B:B=B292,'Check in'!D:D="Good Condition"),"Usable","Not Usable")</f>
        <v>Not Usable</v>
      </c>
      <c r="D292" s="32"/>
      <c r="E292" s="55" t="s">
        <v>1329</v>
      </c>
      <c r="F292" s="42" t="s">
        <v>612</v>
      </c>
      <c r="G292" s="63"/>
      <c r="H292" s="55" t="s">
        <v>1323</v>
      </c>
      <c r="I292" s="63"/>
      <c r="J292" s="34"/>
      <c r="K292" s="32"/>
      <c r="L292" s="32"/>
      <c r="M292" s="42" t="s">
        <v>95</v>
      </c>
      <c r="N292" s="44"/>
    </row>
    <row r="293">
      <c r="A293" s="32"/>
      <c r="B293" s="54"/>
      <c r="C293" s="42" t="str">
        <f>IF(AND('Check in'!B:B=B293,'Check in'!D:D="Good Condition"),"Usable","Not Usable")</f>
        <v>Not Usable</v>
      </c>
      <c r="D293" s="32"/>
      <c r="E293" s="55" t="s">
        <v>1330</v>
      </c>
      <c r="F293" s="42" t="s">
        <v>612</v>
      </c>
      <c r="G293" s="63"/>
      <c r="H293" s="55" t="s">
        <v>1323</v>
      </c>
      <c r="I293" s="63"/>
      <c r="J293" s="34"/>
      <c r="K293" s="32"/>
      <c r="L293" s="32"/>
      <c r="M293" s="42" t="s">
        <v>95</v>
      </c>
      <c r="N293" s="44"/>
    </row>
    <row r="294">
      <c r="A294" s="32"/>
      <c r="B294" s="54"/>
      <c r="C294" s="42" t="str">
        <f>IF(AND('Check in'!B:B=B294,'Check in'!D:D="Good Condition"),"Usable","Not Usable")</f>
        <v>Not Usable</v>
      </c>
      <c r="D294" s="32"/>
      <c r="E294" s="55" t="s">
        <v>1331</v>
      </c>
      <c r="F294" s="42" t="s">
        <v>612</v>
      </c>
      <c r="G294" s="63"/>
      <c r="H294" s="55" t="s">
        <v>1323</v>
      </c>
      <c r="I294" s="63"/>
      <c r="J294" s="34"/>
      <c r="K294" s="32"/>
      <c r="L294" s="32"/>
      <c r="M294" s="42" t="s">
        <v>95</v>
      </c>
      <c r="N294" s="44"/>
    </row>
    <row r="295">
      <c r="A295" s="32"/>
      <c r="B295" s="54"/>
      <c r="C295" s="42" t="str">
        <f>IF(AND('Check in'!B:B=B295,'Check in'!D:D="Good Condition"),"Usable","Not Usable")</f>
        <v>Not Usable</v>
      </c>
      <c r="D295" s="32"/>
      <c r="E295" s="55" t="s">
        <v>1332</v>
      </c>
      <c r="F295" s="42" t="s">
        <v>612</v>
      </c>
      <c r="G295" s="63"/>
      <c r="H295" s="55" t="s">
        <v>1323</v>
      </c>
      <c r="I295" s="63"/>
      <c r="J295" s="34"/>
      <c r="K295" s="32"/>
      <c r="L295" s="32"/>
      <c r="M295" s="42" t="s">
        <v>95</v>
      </c>
      <c r="N295" s="44"/>
    </row>
    <row r="296">
      <c r="A296" s="32"/>
      <c r="B296" s="54"/>
      <c r="C296" s="42" t="str">
        <f>IF(AND('Check in'!B:B=B296,'Check in'!D:D="Good Condition"),"Usable","Not Usable")</f>
        <v>Not Usable</v>
      </c>
      <c r="D296" s="32"/>
      <c r="E296" s="55" t="s">
        <v>1333</v>
      </c>
      <c r="F296" s="42" t="s">
        <v>612</v>
      </c>
      <c r="G296" s="63"/>
      <c r="H296" s="55" t="s">
        <v>1323</v>
      </c>
      <c r="I296" s="63"/>
      <c r="J296" s="34"/>
      <c r="K296" s="32"/>
      <c r="L296" s="32"/>
      <c r="M296" s="42" t="s">
        <v>95</v>
      </c>
      <c r="N296" s="44"/>
    </row>
    <row r="297">
      <c r="A297" s="32"/>
      <c r="B297" s="54"/>
      <c r="C297" s="42" t="str">
        <f>IF(AND('Check in'!B:B=B297,'Check in'!D:D="Good Condition"),"Usable","Not Usable")</f>
        <v>Not Usable</v>
      </c>
      <c r="D297" s="32"/>
      <c r="E297" s="55" t="s">
        <v>1334</v>
      </c>
      <c r="F297" s="42" t="s">
        <v>612</v>
      </c>
      <c r="G297" s="63"/>
      <c r="H297" s="55" t="s">
        <v>1323</v>
      </c>
      <c r="I297" s="63"/>
      <c r="J297" s="34"/>
      <c r="K297" s="32"/>
      <c r="L297" s="32"/>
      <c r="M297" s="42" t="s">
        <v>95</v>
      </c>
      <c r="N297" s="44"/>
    </row>
    <row r="298">
      <c r="A298" s="32"/>
      <c r="B298" s="54"/>
      <c r="C298" s="42" t="str">
        <f>IF(AND('Check in'!B:B=B298,'Check in'!D:D="Good Condition"),"Usable","Not Usable")</f>
        <v>Not Usable</v>
      </c>
      <c r="D298" s="32"/>
      <c r="E298" s="55" t="s">
        <v>1335</v>
      </c>
      <c r="F298" s="42" t="s">
        <v>612</v>
      </c>
      <c r="G298" s="63"/>
      <c r="H298" s="55" t="s">
        <v>1323</v>
      </c>
      <c r="I298" s="63"/>
      <c r="J298" s="34"/>
      <c r="K298" s="32"/>
      <c r="L298" s="32"/>
      <c r="M298" s="42" t="s">
        <v>95</v>
      </c>
      <c r="N298" s="44"/>
    </row>
    <row r="299">
      <c r="A299" s="32"/>
      <c r="B299" s="54"/>
      <c r="C299" s="42" t="str">
        <f>IF(AND('Check in'!B:B=B299,'Check in'!D:D="Good Condition"),"Usable","Not Usable")</f>
        <v>Not Usable</v>
      </c>
      <c r="D299" s="32"/>
      <c r="E299" s="55" t="s">
        <v>1336</v>
      </c>
      <c r="F299" s="42" t="s">
        <v>612</v>
      </c>
      <c r="G299" s="63"/>
      <c r="H299" s="55" t="s">
        <v>1323</v>
      </c>
      <c r="I299" s="63"/>
      <c r="J299" s="34"/>
      <c r="K299" s="32"/>
      <c r="L299" s="32"/>
      <c r="M299" s="42" t="s">
        <v>95</v>
      </c>
      <c r="N299" s="44"/>
    </row>
    <row r="300">
      <c r="A300" s="32"/>
      <c r="B300" s="54"/>
      <c r="C300" s="42" t="str">
        <f>IF(AND('Check in'!B:B=B300,'Check in'!D:D="Good Condition"),"Usable","Not Usable")</f>
        <v>Not Usable</v>
      </c>
      <c r="D300" s="32"/>
      <c r="E300" s="55" t="s">
        <v>1337</v>
      </c>
      <c r="F300" s="42" t="s">
        <v>612</v>
      </c>
      <c r="G300" s="63"/>
      <c r="H300" s="55" t="s">
        <v>1323</v>
      </c>
      <c r="I300" s="63"/>
      <c r="J300" s="34"/>
      <c r="K300" s="32"/>
      <c r="L300" s="32"/>
      <c r="M300" s="42" t="s">
        <v>95</v>
      </c>
      <c r="N300" s="44"/>
    </row>
    <row r="301">
      <c r="A301" s="32"/>
      <c r="B301" s="54"/>
      <c r="C301" s="42" t="str">
        <f>IF(AND('Check in'!B:B=B301,'Check in'!D:D="Good Condition"),"Usable","Not Usable")</f>
        <v>Not Usable</v>
      </c>
      <c r="D301" s="32"/>
      <c r="E301" s="55" t="s">
        <v>1338</v>
      </c>
      <c r="F301" s="42" t="s">
        <v>612</v>
      </c>
      <c r="G301" s="63"/>
      <c r="H301" s="55" t="s">
        <v>1323</v>
      </c>
      <c r="I301" s="63"/>
      <c r="J301" s="34"/>
      <c r="K301" s="32"/>
      <c r="L301" s="32"/>
      <c r="M301" s="42" t="s">
        <v>95</v>
      </c>
      <c r="N301" s="44"/>
    </row>
    <row r="302">
      <c r="A302" s="32"/>
      <c r="B302" s="54"/>
      <c r="C302" s="42" t="str">
        <f>IF(AND('Check in'!B:B=B302,'Check in'!D:D="Good Condition"),"Usable","Not Usable")</f>
        <v>Not Usable</v>
      </c>
      <c r="D302" s="32"/>
      <c r="E302" s="55" t="s">
        <v>1339</v>
      </c>
      <c r="F302" s="42" t="s">
        <v>612</v>
      </c>
      <c r="G302" s="63"/>
      <c r="H302" s="55" t="s">
        <v>1323</v>
      </c>
      <c r="I302" s="63"/>
      <c r="J302" s="34"/>
      <c r="K302" s="32"/>
      <c r="L302" s="32"/>
      <c r="M302" s="42" t="s">
        <v>95</v>
      </c>
      <c r="N302" s="44"/>
    </row>
    <row r="303">
      <c r="A303" s="32"/>
      <c r="B303" s="54"/>
      <c r="C303" s="42" t="str">
        <f>IF(AND('Check in'!B:B=B303,'Check in'!D:D="Good Condition"),"Usable","Not Usable")</f>
        <v>Not Usable</v>
      </c>
      <c r="D303" s="32"/>
      <c r="E303" s="55" t="s">
        <v>1340</v>
      </c>
      <c r="F303" s="42" t="s">
        <v>612</v>
      </c>
      <c r="G303" s="63"/>
      <c r="H303" s="55" t="s">
        <v>1323</v>
      </c>
      <c r="I303" s="63"/>
      <c r="J303" s="34"/>
      <c r="K303" s="32"/>
      <c r="L303" s="32"/>
      <c r="M303" s="42" t="s">
        <v>95</v>
      </c>
      <c r="N303" s="44"/>
    </row>
    <row r="304">
      <c r="A304" s="32"/>
      <c r="B304" s="54"/>
      <c r="C304" s="42" t="str">
        <f>IF(AND('Check in'!B:B=B304,'Check in'!D:D="Good Condition"),"Usable","Not Usable")</f>
        <v>Not Usable</v>
      </c>
      <c r="D304" s="32"/>
      <c r="E304" s="55" t="s">
        <v>1341</v>
      </c>
      <c r="F304" s="42" t="s">
        <v>612</v>
      </c>
      <c r="G304" s="63"/>
      <c r="H304" s="55" t="s">
        <v>1323</v>
      </c>
      <c r="I304" s="63"/>
      <c r="J304" s="34"/>
      <c r="K304" s="32"/>
      <c r="L304" s="32"/>
      <c r="M304" s="42" t="s">
        <v>95</v>
      </c>
      <c r="N304" s="44"/>
    </row>
    <row r="305">
      <c r="A305" s="32"/>
      <c r="B305" s="54"/>
      <c r="C305" s="42" t="str">
        <f>IF(AND('Check in'!B:B=B305,'Check in'!D:D="Good Condition"),"Usable","Not Usable")</f>
        <v>Not Usable</v>
      </c>
      <c r="D305" s="32"/>
      <c r="E305" s="56"/>
      <c r="F305" s="42" t="s">
        <v>612</v>
      </c>
      <c r="G305" s="56"/>
      <c r="H305" s="56"/>
      <c r="I305" s="56"/>
      <c r="J305" s="34"/>
      <c r="K305" s="32"/>
      <c r="L305" s="32"/>
      <c r="M305" s="32"/>
      <c r="N305" s="48"/>
    </row>
    <row r="306">
      <c r="A306" s="32"/>
      <c r="B306" s="54"/>
      <c r="C306" s="42" t="str">
        <f>IF(AND('Check in'!B:B=B306,'Check in'!D:D="Good Condition"),"Usable","Not Usable")</f>
        <v>Not Usable</v>
      </c>
      <c r="D306" s="32"/>
      <c r="E306" s="55" t="s">
        <v>1342</v>
      </c>
      <c r="F306" s="42" t="s">
        <v>612</v>
      </c>
      <c r="G306" s="56"/>
      <c r="H306" s="56"/>
      <c r="I306" s="56"/>
      <c r="J306" s="34"/>
      <c r="K306" s="32"/>
      <c r="L306" s="32"/>
      <c r="M306" s="32"/>
      <c r="N306" s="48"/>
    </row>
    <row r="307">
      <c r="A307" s="32"/>
      <c r="B307" s="54"/>
      <c r="C307" s="42" t="str">
        <f>IF(AND('Check in'!B:B=B307,'Check in'!D:D="Good Condition"),"Usable","Not Usable")</f>
        <v>Not Usable</v>
      </c>
      <c r="D307" s="32"/>
      <c r="E307" s="55" t="s">
        <v>1343</v>
      </c>
      <c r="F307" s="42" t="s">
        <v>612</v>
      </c>
      <c r="G307" s="56"/>
      <c r="H307" s="56"/>
      <c r="I307" s="56"/>
      <c r="J307" s="34"/>
      <c r="K307" s="32"/>
      <c r="L307" s="32"/>
      <c r="M307" s="32"/>
      <c r="N307" s="48"/>
    </row>
    <row r="308">
      <c r="A308" s="32"/>
      <c r="B308" s="54"/>
      <c r="C308" s="42" t="str">
        <f>IF(AND('Check in'!B:B=B308,'Check in'!D:D="Good Condition"),"Usable","Not Usable")</f>
        <v>Not Usable</v>
      </c>
      <c r="D308" s="32"/>
      <c r="E308" s="55" t="s">
        <v>1344</v>
      </c>
      <c r="F308" s="42" t="s">
        <v>612</v>
      </c>
      <c r="G308" s="56"/>
      <c r="H308" s="56"/>
      <c r="I308" s="56"/>
      <c r="J308" s="34"/>
      <c r="K308" s="32"/>
      <c r="L308" s="32"/>
      <c r="M308" s="32"/>
      <c r="N308" s="48"/>
    </row>
    <row r="309">
      <c r="A309" s="32"/>
      <c r="B309" s="54"/>
      <c r="C309" s="42" t="str">
        <f>IF(AND('Check in'!B:B=B309,'Check in'!D:D="Good Condition"),"Usable","Not Usable")</f>
        <v>Not Usable</v>
      </c>
      <c r="D309" s="32"/>
      <c r="E309" s="55" t="s">
        <v>1345</v>
      </c>
      <c r="F309" s="42" t="s">
        <v>612</v>
      </c>
      <c r="G309" s="56"/>
      <c r="H309" s="55" t="s">
        <v>219</v>
      </c>
      <c r="I309" s="56"/>
      <c r="J309" s="34"/>
      <c r="K309" s="32"/>
      <c r="L309" s="32"/>
      <c r="M309" s="32"/>
      <c r="N309" s="48"/>
    </row>
    <row r="310">
      <c r="A310" s="32"/>
      <c r="B310" s="54"/>
      <c r="C310" s="42" t="str">
        <f>IF(AND('Check in'!B:B=B310,'Check in'!D:D="Good Condition"),"Usable","Not Usable")</f>
        <v>Not Usable</v>
      </c>
      <c r="D310" s="32"/>
      <c r="E310" s="55" t="s">
        <v>1291</v>
      </c>
      <c r="F310" s="42" t="s">
        <v>612</v>
      </c>
      <c r="G310" s="56"/>
      <c r="H310" s="55" t="s">
        <v>219</v>
      </c>
      <c r="I310" s="56"/>
      <c r="J310" s="34"/>
      <c r="K310" s="32"/>
      <c r="L310" s="32"/>
      <c r="M310" s="32"/>
      <c r="N310" s="48"/>
    </row>
    <row r="311">
      <c r="A311" s="32"/>
      <c r="B311" s="54"/>
      <c r="C311" s="42" t="str">
        <f>IF(AND('Check in'!B:B=B311,'Check in'!D:D="Good Condition"),"Usable","Not Usable")</f>
        <v>Not Usable</v>
      </c>
      <c r="D311" s="32"/>
      <c r="E311" s="55" t="s">
        <v>1346</v>
      </c>
      <c r="F311" s="42" t="s">
        <v>612</v>
      </c>
      <c r="G311" s="56"/>
      <c r="H311" s="55" t="s">
        <v>219</v>
      </c>
      <c r="I311" s="56"/>
      <c r="J311" s="34"/>
      <c r="K311" s="32"/>
      <c r="L311" s="32"/>
      <c r="M311" s="32"/>
      <c r="N311" s="48"/>
    </row>
    <row r="312">
      <c r="A312" s="32"/>
      <c r="B312" s="54"/>
      <c r="C312" s="42" t="str">
        <f>IF(AND('Check in'!B:B=B312,'Check in'!D:D="Good Condition"),"Usable","Not Usable")</f>
        <v>Not Usable</v>
      </c>
      <c r="D312" s="32"/>
      <c r="E312" s="55" t="s">
        <v>1347</v>
      </c>
      <c r="F312" s="42" t="s">
        <v>612</v>
      </c>
      <c r="G312" s="56"/>
      <c r="H312" s="55" t="s">
        <v>219</v>
      </c>
      <c r="I312" s="56"/>
      <c r="J312" s="34"/>
      <c r="K312" s="32"/>
      <c r="L312" s="32"/>
      <c r="M312" s="32"/>
      <c r="N312" s="48"/>
    </row>
    <row r="313">
      <c r="A313" s="32"/>
      <c r="B313" s="54"/>
      <c r="C313" s="42" t="str">
        <f>IF(AND('Check in'!B:B=B313,'Check in'!D:D="Good Condition"),"Usable","Not Usable")</f>
        <v>Not Usable</v>
      </c>
      <c r="D313" s="32"/>
      <c r="E313" s="55" t="s">
        <v>1348</v>
      </c>
      <c r="F313" s="42" t="s">
        <v>612</v>
      </c>
      <c r="G313" s="63"/>
      <c r="H313" s="55" t="s">
        <v>1349</v>
      </c>
      <c r="I313" s="63"/>
      <c r="J313" s="34"/>
      <c r="K313" s="32"/>
      <c r="L313" s="32"/>
      <c r="M313" s="32"/>
      <c r="N313" s="48"/>
    </row>
    <row r="314">
      <c r="A314" s="32"/>
      <c r="B314" s="54"/>
      <c r="C314" s="42" t="str">
        <f>IF(AND('Check in'!B:B=B314,'Check in'!D:D="Good Condition"),"Usable","Not Usable")</f>
        <v>Not Usable</v>
      </c>
      <c r="D314" s="32"/>
      <c r="E314" s="55" t="s">
        <v>1350</v>
      </c>
      <c r="F314" s="42" t="s">
        <v>612</v>
      </c>
      <c r="G314" s="63"/>
      <c r="H314" s="55" t="s">
        <v>1351</v>
      </c>
      <c r="I314" s="63"/>
      <c r="J314" s="34"/>
      <c r="K314" s="32"/>
      <c r="L314" s="32"/>
      <c r="M314" s="32"/>
      <c r="N314" s="48"/>
    </row>
    <row r="315">
      <c r="A315" s="32"/>
      <c r="B315" s="54"/>
      <c r="C315" s="42" t="str">
        <f>IF(AND('Check in'!B:B=B315,'Check in'!D:D="Good Condition"),"Usable","Not Usable")</f>
        <v>Not Usable</v>
      </c>
      <c r="D315" s="32"/>
      <c r="E315" s="55" t="s">
        <v>1352</v>
      </c>
      <c r="F315" s="42" t="s">
        <v>612</v>
      </c>
      <c r="G315" s="56"/>
      <c r="H315" s="56"/>
      <c r="I315" s="56"/>
      <c r="J315" s="34"/>
      <c r="K315" s="32"/>
      <c r="L315" s="32"/>
      <c r="M315" s="32"/>
      <c r="N315" s="48"/>
    </row>
    <row r="316">
      <c r="A316" s="32"/>
      <c r="B316" s="54"/>
      <c r="C316" s="42" t="str">
        <f>IF(AND('Check in'!B:B=B316,'Check in'!D:D="Good Condition"),"Usable","Not Usable")</f>
        <v>Not Usable</v>
      </c>
      <c r="D316" s="32"/>
      <c r="E316" s="55" t="s">
        <v>1353</v>
      </c>
      <c r="F316" s="42" t="s">
        <v>612</v>
      </c>
      <c r="G316" s="63"/>
      <c r="H316" s="55" t="s">
        <v>1354</v>
      </c>
      <c r="I316" s="63"/>
      <c r="J316" s="34"/>
      <c r="K316" s="32"/>
      <c r="L316" s="32"/>
      <c r="M316" s="32"/>
      <c r="N316" s="48"/>
    </row>
    <row r="317">
      <c r="A317" s="32"/>
      <c r="B317" s="54"/>
      <c r="C317" s="42" t="str">
        <f>IF(AND('Check in'!B:B=B317,'Check in'!D:D="Good Condition"),"Usable","Not Usable")</f>
        <v>Not Usable</v>
      </c>
      <c r="D317" s="32"/>
      <c r="E317" s="55" t="s">
        <v>1355</v>
      </c>
      <c r="F317" s="42" t="s">
        <v>612</v>
      </c>
      <c r="G317" s="56"/>
      <c r="H317" s="55" t="s">
        <v>219</v>
      </c>
      <c r="I317" s="56"/>
      <c r="J317" s="34"/>
      <c r="K317" s="32"/>
      <c r="L317" s="32"/>
      <c r="M317" s="32"/>
      <c r="N317" s="48"/>
    </row>
    <row r="318">
      <c r="A318" s="32"/>
      <c r="B318" s="54"/>
      <c r="C318" s="42" t="str">
        <f>IF(AND('Check in'!B:B=B318,'Check in'!D:D="Good Condition"),"Usable","Not Usable")</f>
        <v>Not Usable</v>
      </c>
      <c r="D318" s="32"/>
      <c r="E318" s="55" t="s">
        <v>1356</v>
      </c>
      <c r="F318" s="42" t="s">
        <v>612</v>
      </c>
      <c r="G318" s="56"/>
      <c r="H318" s="55" t="s">
        <v>219</v>
      </c>
      <c r="I318" s="56"/>
      <c r="J318" s="34"/>
      <c r="K318" s="32"/>
      <c r="L318" s="32"/>
      <c r="M318" s="32"/>
      <c r="N318" s="48"/>
    </row>
    <row r="319">
      <c r="A319" s="32"/>
      <c r="B319" s="54"/>
      <c r="C319" s="42" t="str">
        <f>IF(AND('Check in'!B:B=B319,'Check in'!D:D="Good Condition"),"Usable","Not Usable")</f>
        <v>Not Usable</v>
      </c>
      <c r="D319" s="32"/>
      <c r="E319" s="55" t="s">
        <v>1357</v>
      </c>
      <c r="F319" s="42" t="s">
        <v>612</v>
      </c>
      <c r="G319" s="56"/>
      <c r="H319" s="55" t="s">
        <v>219</v>
      </c>
      <c r="I319" s="56"/>
      <c r="J319" s="34"/>
      <c r="K319" s="32"/>
      <c r="L319" s="32"/>
      <c r="M319" s="32"/>
      <c r="N319" s="48"/>
    </row>
    <row r="320">
      <c r="A320" s="32"/>
      <c r="B320" s="54"/>
      <c r="C320" s="42" t="str">
        <f>IF(AND('Check in'!B:B=B320,'Check in'!D:D="Good Condition"),"Usable","Not Usable")</f>
        <v>Not Usable</v>
      </c>
      <c r="D320" s="32"/>
      <c r="E320" s="55" t="s">
        <v>1348</v>
      </c>
      <c r="F320" s="42" t="s">
        <v>612</v>
      </c>
      <c r="G320" s="63"/>
      <c r="H320" s="55" t="s">
        <v>1349</v>
      </c>
      <c r="I320" s="63"/>
      <c r="J320" s="34"/>
      <c r="K320" s="32"/>
      <c r="L320" s="32"/>
      <c r="M320" s="32"/>
      <c r="N320" s="48"/>
    </row>
    <row r="321">
      <c r="C321" s="42" t="str">
        <f>IF(AND('Check in'!B:B=B321,'Check in'!D:D="Good Condition"),"Usable","Not Usable")</f>
        <v>Not Usable</v>
      </c>
      <c r="E321" s="64" t="s">
        <v>1358</v>
      </c>
      <c r="F321" s="38" t="s">
        <v>1120</v>
      </c>
      <c r="J321" s="41"/>
      <c r="M321" s="38" t="s">
        <v>95</v>
      </c>
      <c r="N321" s="65"/>
    </row>
    <row r="322">
      <c r="C322" s="42" t="str">
        <f>IF(AND('Check in'!B:B=B322,'Check in'!D:D="Good Condition"),"Usable","Not Usable")</f>
        <v>Not Usable</v>
      </c>
      <c r="E322" s="38" t="s">
        <v>1359</v>
      </c>
      <c r="H322" s="38" t="s">
        <v>219</v>
      </c>
      <c r="J322" s="40" t="s">
        <v>1360</v>
      </c>
      <c r="N322" s="66"/>
    </row>
    <row r="323">
      <c r="B323" s="38" t="s">
        <v>653</v>
      </c>
      <c r="C323" s="42"/>
      <c r="E323" s="38" t="s">
        <v>219</v>
      </c>
      <c r="J323" s="41"/>
      <c r="N323" s="66"/>
    </row>
    <row r="324">
      <c r="B324" s="38" t="s">
        <v>647</v>
      </c>
      <c r="C324" s="42"/>
      <c r="E324" s="38" t="s">
        <v>1291</v>
      </c>
      <c r="J324" s="41"/>
      <c r="N324" s="66"/>
    </row>
    <row r="325">
      <c r="A325" s="67"/>
      <c r="B325" s="38" t="s">
        <v>1361</v>
      </c>
      <c r="C325" s="42"/>
      <c r="E325" s="38" t="s">
        <v>1291</v>
      </c>
      <c r="F325" s="38" t="s">
        <v>32</v>
      </c>
      <c r="G325" s="38"/>
      <c r="H325" s="38" t="s">
        <v>35</v>
      </c>
      <c r="J325" s="41"/>
      <c r="M325" s="38"/>
      <c r="N325" s="66"/>
    </row>
    <row r="326">
      <c r="B326" s="38" t="s">
        <v>620</v>
      </c>
      <c r="C326" s="42" t="s">
        <v>1076</v>
      </c>
      <c r="E326" s="38" t="s">
        <v>1139</v>
      </c>
      <c r="F326" s="38"/>
      <c r="G326" s="38"/>
      <c r="H326" s="38" t="s">
        <v>219</v>
      </c>
      <c r="I326" s="38" t="s">
        <v>1362</v>
      </c>
      <c r="J326" s="40">
        <v>8.60804030474195E14</v>
      </c>
      <c r="M326" s="38"/>
      <c r="N326" s="66"/>
    </row>
    <row r="327">
      <c r="B327" s="38" t="s">
        <v>623</v>
      </c>
      <c r="C327" s="42" t="s">
        <v>1076</v>
      </c>
      <c r="E327" s="38" t="s">
        <v>1139</v>
      </c>
      <c r="F327" s="38"/>
      <c r="G327" s="38"/>
      <c r="H327" s="38" t="s">
        <v>219</v>
      </c>
      <c r="I327" s="38" t="s">
        <v>1362</v>
      </c>
      <c r="J327" s="40">
        <v>8.60804030473833E14</v>
      </c>
      <c r="M327" s="38"/>
      <c r="N327" s="66"/>
    </row>
    <row r="328">
      <c r="B328" s="38" t="s">
        <v>625</v>
      </c>
      <c r="C328" s="42" t="s">
        <v>1076</v>
      </c>
      <c r="E328" s="38" t="s">
        <v>1139</v>
      </c>
      <c r="F328" s="38"/>
      <c r="G328" s="38"/>
      <c r="H328" s="38" t="s">
        <v>219</v>
      </c>
      <c r="I328" s="38" t="s">
        <v>1362</v>
      </c>
      <c r="J328" s="40">
        <v>8.60804030476034E14</v>
      </c>
      <c r="M328" s="38"/>
      <c r="N328" s="66"/>
    </row>
    <row r="329">
      <c r="B329" s="38" t="s">
        <v>627</v>
      </c>
      <c r="C329" s="42" t="s">
        <v>1076</v>
      </c>
      <c r="E329" s="38" t="s">
        <v>1139</v>
      </c>
      <c r="F329" s="38"/>
      <c r="G329" s="38"/>
      <c r="H329" s="38" t="s">
        <v>219</v>
      </c>
      <c r="I329" s="38" t="s">
        <v>1362</v>
      </c>
      <c r="J329" s="40">
        <v>8.60804030474971E14</v>
      </c>
      <c r="M329" s="38"/>
      <c r="N329" s="66"/>
    </row>
    <row r="330">
      <c r="B330" s="38" t="s">
        <v>629</v>
      </c>
      <c r="C330" s="42" t="s">
        <v>1076</v>
      </c>
      <c r="E330" s="38" t="s">
        <v>1139</v>
      </c>
      <c r="F330" s="38"/>
      <c r="G330" s="38"/>
      <c r="H330" s="38" t="s">
        <v>219</v>
      </c>
      <c r="I330" s="38" t="s">
        <v>1362</v>
      </c>
      <c r="J330" s="40">
        <v>8.60804030474245E14</v>
      </c>
      <c r="M330" s="38"/>
      <c r="N330" s="66"/>
    </row>
    <row r="331">
      <c r="B331" s="38" t="s">
        <v>631</v>
      </c>
      <c r="C331" s="42" t="s">
        <v>1076</v>
      </c>
      <c r="E331" s="38" t="s">
        <v>1139</v>
      </c>
      <c r="F331" s="38"/>
      <c r="G331" s="38"/>
      <c r="H331" s="38" t="s">
        <v>219</v>
      </c>
      <c r="I331" s="38" t="s">
        <v>1362</v>
      </c>
      <c r="J331" s="40">
        <v>8.60804030475002E14</v>
      </c>
      <c r="M331" s="38"/>
      <c r="N331" s="66"/>
    </row>
    <row r="332">
      <c r="B332" s="38" t="s">
        <v>634</v>
      </c>
      <c r="C332" s="42" t="s">
        <v>1076</v>
      </c>
      <c r="E332" s="38" t="s">
        <v>1139</v>
      </c>
      <c r="F332" s="38"/>
      <c r="G332" s="38"/>
      <c r="H332" s="38" t="s">
        <v>219</v>
      </c>
      <c r="I332" s="38" t="s">
        <v>1362</v>
      </c>
      <c r="J332" s="40">
        <v>8.60804030475275E14</v>
      </c>
      <c r="M332" s="38"/>
      <c r="N332" s="66"/>
    </row>
    <row r="333">
      <c r="B333" s="38" t="s">
        <v>636</v>
      </c>
      <c r="C333" s="42" t="s">
        <v>1076</v>
      </c>
      <c r="E333" s="38" t="s">
        <v>1139</v>
      </c>
      <c r="F333" s="38"/>
      <c r="G333" s="38"/>
      <c r="H333" s="38" t="s">
        <v>219</v>
      </c>
      <c r="I333" s="38" t="s">
        <v>1362</v>
      </c>
      <c r="J333" s="40">
        <v>8.60804030473916E14</v>
      </c>
      <c r="M333" s="38"/>
      <c r="N333" s="66"/>
    </row>
    <row r="334">
      <c r="B334" s="38" t="s">
        <v>639</v>
      </c>
      <c r="C334" s="42" t="s">
        <v>1076</v>
      </c>
      <c r="E334" s="38" t="s">
        <v>1139</v>
      </c>
      <c r="F334" s="38"/>
      <c r="G334" s="38"/>
      <c r="H334" s="38" t="s">
        <v>219</v>
      </c>
      <c r="I334" s="38" t="s">
        <v>1362</v>
      </c>
      <c r="J334" s="40">
        <v>8.60804030474295E14</v>
      </c>
      <c r="M334" s="38"/>
      <c r="N334" s="66"/>
    </row>
    <row r="335">
      <c r="B335" s="38" t="s">
        <v>641</v>
      </c>
      <c r="C335" s="42" t="s">
        <v>1076</v>
      </c>
      <c r="E335" s="38" t="s">
        <v>1139</v>
      </c>
      <c r="F335" s="38"/>
      <c r="G335" s="38"/>
      <c r="H335" s="38" t="s">
        <v>219</v>
      </c>
      <c r="I335" s="38" t="s">
        <v>1362</v>
      </c>
      <c r="J335" s="40">
        <v>8.60804030474112E14</v>
      </c>
      <c r="M335" s="38"/>
      <c r="N335" s="66"/>
    </row>
    <row r="336">
      <c r="B336" s="38" t="s">
        <v>1363</v>
      </c>
      <c r="C336" s="42" t="s">
        <v>1076</v>
      </c>
      <c r="E336" s="38" t="s">
        <v>1139</v>
      </c>
      <c r="H336" s="38" t="s">
        <v>219</v>
      </c>
      <c r="I336" s="38" t="s">
        <v>1362</v>
      </c>
      <c r="J336" s="41"/>
      <c r="N336" s="66"/>
    </row>
    <row r="337">
      <c r="B337" s="38" t="s">
        <v>656</v>
      </c>
      <c r="C337" s="42" t="s">
        <v>1076</v>
      </c>
      <c r="E337" s="38" t="s">
        <v>1139</v>
      </c>
      <c r="H337" s="38" t="s">
        <v>219</v>
      </c>
      <c r="I337" s="38" t="s">
        <v>1362</v>
      </c>
      <c r="J337" s="40">
        <v>1.4734001908282E13</v>
      </c>
      <c r="N337" s="66"/>
    </row>
    <row r="338">
      <c r="B338" s="38" t="s">
        <v>659</v>
      </c>
      <c r="C338" s="42" t="s">
        <v>1076</v>
      </c>
      <c r="E338" s="38" t="s">
        <v>1139</v>
      </c>
      <c r="H338" s="38" t="s">
        <v>219</v>
      </c>
      <c r="I338" s="38" t="s">
        <v>1362</v>
      </c>
      <c r="J338" s="40">
        <v>1.4734001909504E13</v>
      </c>
      <c r="N338" s="66"/>
    </row>
    <row r="339">
      <c r="A339" s="67"/>
      <c r="C339" s="42"/>
      <c r="E339" s="38" t="s">
        <v>1364</v>
      </c>
      <c r="F339" s="38" t="s">
        <v>9</v>
      </c>
      <c r="G339" s="38">
        <v>6.0</v>
      </c>
      <c r="H339" s="38" t="s">
        <v>222</v>
      </c>
      <c r="J339" s="41"/>
      <c r="M339" s="38" t="s">
        <v>95</v>
      </c>
      <c r="N339" s="66"/>
    </row>
    <row r="340">
      <c r="A340" s="67"/>
      <c r="C340" s="42"/>
      <c r="E340" s="38" t="s">
        <v>1365</v>
      </c>
      <c r="F340" s="38" t="s">
        <v>9</v>
      </c>
      <c r="G340" s="38">
        <v>2.0</v>
      </c>
      <c r="H340" s="38" t="s">
        <v>222</v>
      </c>
      <c r="J340" s="41"/>
      <c r="M340" s="38" t="s">
        <v>95</v>
      </c>
      <c r="N340" s="66"/>
    </row>
    <row r="341">
      <c r="A341" s="68"/>
      <c r="C341" s="42" t="s">
        <v>1076</v>
      </c>
      <c r="E341" s="12" t="s">
        <v>1366</v>
      </c>
      <c r="G341" s="38">
        <v>10.0</v>
      </c>
      <c r="H341" s="38" t="s">
        <v>219</v>
      </c>
      <c r="J341" s="41"/>
      <c r="N341" s="66"/>
    </row>
    <row r="342">
      <c r="B342" s="38" t="s">
        <v>751</v>
      </c>
      <c r="C342" s="42" t="s">
        <v>1076</v>
      </c>
      <c r="E342" s="38" t="s">
        <v>1139</v>
      </c>
      <c r="H342" s="38" t="s">
        <v>219</v>
      </c>
      <c r="J342" s="41"/>
      <c r="N342" s="66"/>
    </row>
    <row r="343">
      <c r="B343" s="38" t="s">
        <v>776</v>
      </c>
      <c r="C343" s="42" t="s">
        <v>1076</v>
      </c>
      <c r="E343" s="38" t="s">
        <v>1139</v>
      </c>
      <c r="H343" s="38" t="s">
        <v>219</v>
      </c>
      <c r="J343" s="41"/>
      <c r="N343" s="66"/>
    </row>
    <row r="344">
      <c r="B344" s="38" t="s">
        <v>756</v>
      </c>
      <c r="C344" s="42" t="s">
        <v>1076</v>
      </c>
      <c r="E344" s="38" t="s">
        <v>1139</v>
      </c>
      <c r="H344" s="38" t="s">
        <v>219</v>
      </c>
      <c r="J344" s="41"/>
      <c r="N344" s="66"/>
    </row>
    <row r="345">
      <c r="B345" s="38" t="s">
        <v>758</v>
      </c>
      <c r="C345" s="42" t="s">
        <v>1076</v>
      </c>
      <c r="E345" s="38" t="s">
        <v>1139</v>
      </c>
      <c r="H345" s="38" t="s">
        <v>219</v>
      </c>
      <c r="J345" s="41"/>
      <c r="N345" s="66"/>
    </row>
    <row r="346">
      <c r="A346" s="69"/>
      <c r="B346" s="70" t="s">
        <v>760</v>
      </c>
      <c r="C346" s="28" t="s">
        <v>1076</v>
      </c>
      <c r="D346" s="69"/>
      <c r="E346" s="70" t="s">
        <v>1139</v>
      </c>
      <c r="F346" s="69"/>
      <c r="G346" s="69"/>
      <c r="H346" s="70" t="s">
        <v>219</v>
      </c>
      <c r="I346" s="69"/>
      <c r="J346" s="71"/>
      <c r="K346" s="69"/>
      <c r="L346" s="69"/>
      <c r="M346" s="69"/>
      <c r="N346" s="69"/>
    </row>
    <row r="347">
      <c r="B347" s="38" t="s">
        <v>762</v>
      </c>
      <c r="C347" s="42" t="s">
        <v>1076</v>
      </c>
      <c r="E347" s="38" t="s">
        <v>1139</v>
      </c>
      <c r="H347" s="38" t="s">
        <v>219</v>
      </c>
      <c r="J347" s="41"/>
      <c r="N347" s="66"/>
    </row>
    <row r="348">
      <c r="B348" s="38" t="s">
        <v>764</v>
      </c>
      <c r="C348" s="42" t="s">
        <v>1076</v>
      </c>
      <c r="E348" s="38" t="s">
        <v>1139</v>
      </c>
      <c r="H348" s="38" t="s">
        <v>219</v>
      </c>
      <c r="J348" s="41"/>
      <c r="N348" s="66"/>
    </row>
    <row r="349">
      <c r="B349" s="38" t="s">
        <v>766</v>
      </c>
      <c r="C349" s="42" t="s">
        <v>1076</v>
      </c>
      <c r="E349" s="38" t="s">
        <v>1139</v>
      </c>
      <c r="H349" s="38" t="s">
        <v>219</v>
      </c>
      <c r="J349" s="41"/>
      <c r="N349" s="66"/>
    </row>
    <row r="350">
      <c r="A350" s="32"/>
      <c r="B350" s="38" t="s">
        <v>768</v>
      </c>
      <c r="C350" s="42" t="s">
        <v>1076</v>
      </c>
      <c r="D350" s="32"/>
      <c r="E350" s="38" t="s">
        <v>1139</v>
      </c>
      <c r="F350" s="32"/>
      <c r="G350" s="32"/>
      <c r="H350" s="38" t="s">
        <v>219</v>
      </c>
      <c r="I350" s="32"/>
      <c r="J350" s="34"/>
      <c r="K350" s="32"/>
      <c r="L350" s="32"/>
      <c r="M350" s="32"/>
      <c r="N350" s="48"/>
    </row>
    <row r="351">
      <c r="A351" s="32"/>
      <c r="B351" s="38" t="s">
        <v>770</v>
      </c>
      <c r="C351" s="42" t="s">
        <v>1076</v>
      </c>
      <c r="D351" s="32"/>
      <c r="E351" s="38" t="s">
        <v>1139</v>
      </c>
      <c r="F351" s="32"/>
      <c r="G351" s="32"/>
      <c r="H351" s="38" t="s">
        <v>219</v>
      </c>
      <c r="I351" s="32"/>
      <c r="J351" s="34"/>
      <c r="K351" s="32"/>
      <c r="L351" s="32"/>
      <c r="M351" s="32"/>
      <c r="N351" s="48"/>
    </row>
    <row r="352">
      <c r="A352" s="32"/>
      <c r="B352" s="31" t="s">
        <v>1367</v>
      </c>
      <c r="C352" s="42" t="s">
        <v>908</v>
      </c>
      <c r="D352" s="42">
        <v>5.8654485E7</v>
      </c>
      <c r="E352" s="42" t="s">
        <v>1368</v>
      </c>
      <c r="F352" s="42" t="s">
        <v>1369</v>
      </c>
      <c r="G352" s="42">
        <v>1.0</v>
      </c>
      <c r="H352" s="42" t="s">
        <v>1369</v>
      </c>
      <c r="I352" s="42" t="s">
        <v>1370</v>
      </c>
      <c r="J352" s="45">
        <v>3.53506510319421E14</v>
      </c>
      <c r="K352" s="42" t="s">
        <v>1371</v>
      </c>
      <c r="L352" s="32"/>
      <c r="M352" s="42" t="s">
        <v>878</v>
      </c>
      <c r="N352" s="48"/>
    </row>
    <row r="353">
      <c r="A353" s="32"/>
      <c r="B353" s="31" t="s">
        <v>1372</v>
      </c>
      <c r="C353" s="42" t="s">
        <v>908</v>
      </c>
      <c r="D353" s="42">
        <v>5.8654483E7</v>
      </c>
      <c r="E353" s="42" t="s">
        <v>1368</v>
      </c>
      <c r="F353" s="42" t="s">
        <v>1373</v>
      </c>
      <c r="G353" s="42">
        <v>1.0</v>
      </c>
      <c r="H353" s="42" t="s">
        <v>1373</v>
      </c>
      <c r="I353" s="42" t="s">
        <v>1370</v>
      </c>
      <c r="J353" s="45">
        <v>3.53506510321604E14</v>
      </c>
      <c r="K353" s="42" t="s">
        <v>1371</v>
      </c>
      <c r="L353" s="32"/>
      <c r="M353" s="42" t="s">
        <v>878</v>
      </c>
      <c r="N353" s="48"/>
    </row>
    <row r="354">
      <c r="A354" s="32"/>
      <c r="B354" s="31" t="s">
        <v>1374</v>
      </c>
      <c r="C354" s="42" t="s">
        <v>908</v>
      </c>
      <c r="D354" s="42">
        <v>5.8654486E7</v>
      </c>
      <c r="E354" s="42" t="s">
        <v>1368</v>
      </c>
      <c r="F354" s="42" t="s">
        <v>903</v>
      </c>
      <c r="G354" s="42">
        <v>1.0</v>
      </c>
      <c r="H354" s="42" t="s">
        <v>903</v>
      </c>
      <c r="I354" s="42" t="s">
        <v>1370</v>
      </c>
      <c r="J354" s="45">
        <v>3.53506510319366E14</v>
      </c>
      <c r="K354" s="42" t="s">
        <v>1371</v>
      </c>
      <c r="L354" s="32"/>
      <c r="M354" s="42" t="s">
        <v>878</v>
      </c>
      <c r="N354" s="48"/>
    </row>
    <row r="355">
      <c r="A355" s="32"/>
      <c r="B355" s="54"/>
      <c r="C355" s="42"/>
      <c r="D355" s="32"/>
      <c r="E355" s="32"/>
      <c r="F355" s="32"/>
      <c r="G355" s="32"/>
      <c r="H355" s="32"/>
      <c r="I355" s="32"/>
      <c r="J355" s="34"/>
      <c r="K355" s="32"/>
      <c r="L355" s="32"/>
      <c r="M355" s="32"/>
      <c r="N355" s="48"/>
    </row>
    <row r="356">
      <c r="A356" s="32"/>
      <c r="B356" s="54"/>
      <c r="C356" s="42"/>
      <c r="D356" s="32"/>
      <c r="E356" s="32"/>
      <c r="F356" s="32"/>
      <c r="G356" s="32"/>
      <c r="H356" s="32"/>
      <c r="I356" s="32"/>
      <c r="J356" s="34"/>
      <c r="K356" s="32"/>
      <c r="L356" s="32"/>
      <c r="M356" s="32"/>
      <c r="N356" s="48"/>
    </row>
    <row r="357">
      <c r="A357" s="32"/>
      <c r="B357" s="54"/>
      <c r="C357" s="42"/>
      <c r="D357" s="32"/>
      <c r="E357" s="32"/>
      <c r="F357" s="32"/>
      <c r="G357" s="32"/>
      <c r="H357" s="32"/>
      <c r="I357" s="32"/>
      <c r="J357" s="34"/>
      <c r="K357" s="32"/>
      <c r="L357" s="32"/>
      <c r="M357" s="32"/>
      <c r="N357" s="48"/>
    </row>
    <row r="358">
      <c r="A358" s="32"/>
      <c r="B358" s="54"/>
      <c r="C358" s="42"/>
      <c r="D358" s="32"/>
      <c r="E358" s="32"/>
      <c r="F358" s="32"/>
      <c r="G358" s="32"/>
      <c r="H358" s="32"/>
      <c r="I358" s="32"/>
      <c r="J358" s="34"/>
      <c r="K358" s="32"/>
      <c r="L358" s="32"/>
      <c r="M358" s="32"/>
      <c r="N358" s="48"/>
    </row>
    <row r="359">
      <c r="A359" s="32"/>
      <c r="B359" s="54"/>
      <c r="C359" s="42"/>
      <c r="D359" s="32"/>
      <c r="E359" s="32"/>
      <c r="F359" s="32"/>
      <c r="G359" s="32"/>
      <c r="H359" s="32"/>
      <c r="I359" s="32"/>
      <c r="J359" s="34"/>
      <c r="K359" s="32"/>
      <c r="L359" s="32"/>
      <c r="M359" s="32"/>
      <c r="N359" s="48"/>
    </row>
    <row r="360">
      <c r="A360" s="32"/>
      <c r="B360" s="54"/>
      <c r="C360" s="42"/>
      <c r="D360" s="32"/>
      <c r="E360" s="32"/>
      <c r="F360" s="32"/>
      <c r="G360" s="32"/>
      <c r="H360" s="32"/>
      <c r="I360" s="32"/>
      <c r="J360" s="34"/>
      <c r="K360" s="32"/>
      <c r="L360" s="32"/>
      <c r="M360" s="32"/>
      <c r="N360" s="48"/>
    </row>
    <row r="361">
      <c r="A361" s="32"/>
      <c r="B361" s="54"/>
      <c r="C361" s="42"/>
      <c r="D361" s="32"/>
      <c r="E361" s="32"/>
      <c r="F361" s="32"/>
      <c r="G361" s="32"/>
      <c r="H361" s="32"/>
      <c r="I361" s="32"/>
      <c r="J361" s="34"/>
      <c r="K361" s="32"/>
      <c r="L361" s="32"/>
      <c r="M361" s="32"/>
      <c r="N361" s="48"/>
    </row>
    <row r="362">
      <c r="A362" s="32"/>
      <c r="B362" s="54"/>
      <c r="C362" s="42"/>
      <c r="D362" s="32"/>
      <c r="E362" s="32"/>
      <c r="F362" s="32"/>
      <c r="G362" s="32"/>
      <c r="H362" s="32"/>
      <c r="I362" s="32"/>
      <c r="J362" s="34"/>
      <c r="K362" s="32"/>
      <c r="L362" s="32"/>
      <c r="M362" s="32"/>
      <c r="N362" s="48"/>
    </row>
    <row r="363">
      <c r="A363" s="32"/>
      <c r="B363" s="54"/>
      <c r="C363" s="42"/>
      <c r="D363" s="32"/>
      <c r="E363" s="32"/>
      <c r="F363" s="32"/>
      <c r="G363" s="32"/>
      <c r="H363" s="32"/>
      <c r="I363" s="32"/>
      <c r="J363" s="34"/>
      <c r="K363" s="32"/>
      <c r="L363" s="32"/>
      <c r="M363" s="32"/>
      <c r="N363" s="48"/>
    </row>
    <row r="364">
      <c r="A364" s="32"/>
      <c r="B364" s="54"/>
      <c r="C364" s="42"/>
      <c r="D364" s="32"/>
      <c r="E364" s="32"/>
      <c r="F364" s="32"/>
      <c r="G364" s="32"/>
      <c r="H364" s="32"/>
      <c r="I364" s="32"/>
      <c r="J364" s="34"/>
      <c r="K364" s="32"/>
      <c r="L364" s="32"/>
      <c r="M364" s="32"/>
      <c r="N364" s="48"/>
    </row>
    <row r="365">
      <c r="A365" s="32"/>
      <c r="B365" s="54"/>
      <c r="C365" s="42"/>
      <c r="D365" s="32"/>
      <c r="E365" s="32"/>
      <c r="F365" s="32"/>
      <c r="G365" s="32"/>
      <c r="H365" s="32"/>
      <c r="I365" s="32"/>
      <c r="J365" s="34"/>
      <c r="K365" s="32"/>
      <c r="L365" s="32"/>
      <c r="M365" s="32"/>
      <c r="N365" s="48"/>
    </row>
    <row r="366">
      <c r="A366" s="32"/>
      <c r="B366" s="54"/>
      <c r="C366" s="42"/>
      <c r="D366" s="32"/>
      <c r="E366" s="32"/>
      <c r="F366" s="32"/>
      <c r="G366" s="32"/>
      <c r="H366" s="32"/>
      <c r="I366" s="32"/>
      <c r="J366" s="34"/>
      <c r="K366" s="32"/>
      <c r="L366" s="32"/>
      <c r="M366" s="32"/>
      <c r="N366" s="48"/>
    </row>
    <row r="367">
      <c r="A367" s="32"/>
      <c r="B367" s="54"/>
      <c r="C367" s="42"/>
      <c r="D367" s="32"/>
      <c r="E367" s="32"/>
      <c r="F367" s="32"/>
      <c r="G367" s="32"/>
      <c r="H367" s="32"/>
      <c r="I367" s="32"/>
      <c r="J367" s="34"/>
      <c r="K367" s="32"/>
      <c r="L367" s="32"/>
      <c r="M367" s="32"/>
      <c r="N367" s="48"/>
    </row>
    <row r="368">
      <c r="A368" s="32"/>
      <c r="B368" s="54"/>
      <c r="C368" s="32"/>
      <c r="D368" s="32"/>
      <c r="E368" s="32"/>
      <c r="F368" s="32"/>
      <c r="G368" s="32"/>
      <c r="H368" s="32"/>
      <c r="I368" s="32"/>
      <c r="J368" s="34"/>
      <c r="K368" s="32"/>
      <c r="L368" s="32"/>
      <c r="M368" s="32"/>
      <c r="N368" s="48"/>
    </row>
    <row r="369">
      <c r="A369" s="32"/>
      <c r="B369" s="54"/>
      <c r="C369" s="32"/>
      <c r="D369" s="32"/>
      <c r="E369" s="32"/>
      <c r="F369" s="32"/>
      <c r="G369" s="32"/>
      <c r="H369" s="32"/>
      <c r="I369" s="32"/>
      <c r="J369" s="34"/>
      <c r="K369" s="32"/>
      <c r="L369" s="32"/>
      <c r="M369" s="32"/>
      <c r="N369" s="48"/>
    </row>
    <row r="370">
      <c r="A370" s="32"/>
      <c r="B370" s="54"/>
      <c r="C370" s="32"/>
      <c r="D370" s="32"/>
      <c r="E370" s="32"/>
      <c r="F370" s="32"/>
      <c r="G370" s="32"/>
      <c r="H370" s="32"/>
      <c r="I370" s="32"/>
      <c r="J370" s="34"/>
      <c r="K370" s="32"/>
      <c r="L370" s="32"/>
      <c r="M370" s="32"/>
      <c r="N370" s="48"/>
    </row>
    <row r="371">
      <c r="A371" s="32"/>
      <c r="B371" s="54"/>
      <c r="C371" s="32"/>
      <c r="D371" s="32"/>
      <c r="E371" s="32"/>
      <c r="F371" s="32"/>
      <c r="G371" s="32"/>
      <c r="H371" s="32"/>
      <c r="I371" s="32"/>
      <c r="J371" s="34"/>
      <c r="K371" s="32"/>
      <c r="L371" s="32"/>
      <c r="M371" s="32"/>
      <c r="N371" s="48"/>
    </row>
    <row r="372">
      <c r="A372" s="32"/>
      <c r="B372" s="54"/>
      <c r="C372" s="32"/>
      <c r="D372" s="32"/>
      <c r="E372" s="32"/>
      <c r="F372" s="32"/>
      <c r="G372" s="32"/>
      <c r="H372" s="32"/>
      <c r="I372" s="32"/>
      <c r="J372" s="34"/>
      <c r="K372" s="32"/>
      <c r="L372" s="32"/>
      <c r="M372" s="32"/>
      <c r="N372" s="48"/>
    </row>
    <row r="373">
      <c r="A373" s="32"/>
      <c r="B373" s="54"/>
      <c r="C373" s="32"/>
      <c r="D373" s="32"/>
      <c r="E373" s="32"/>
      <c r="F373" s="32"/>
      <c r="G373" s="32"/>
      <c r="H373" s="32"/>
      <c r="I373" s="32"/>
      <c r="J373" s="34"/>
      <c r="K373" s="32"/>
      <c r="L373" s="32"/>
      <c r="M373" s="32"/>
      <c r="N373" s="48"/>
    </row>
    <row r="374">
      <c r="A374" s="32"/>
      <c r="B374" s="54"/>
      <c r="C374" s="32"/>
      <c r="D374" s="32"/>
      <c r="E374" s="32"/>
      <c r="F374" s="32"/>
      <c r="G374" s="32"/>
      <c r="H374" s="32"/>
      <c r="I374" s="32"/>
      <c r="J374" s="34"/>
      <c r="K374" s="32"/>
      <c r="L374" s="32"/>
      <c r="M374" s="32"/>
      <c r="N374" s="48"/>
    </row>
    <row r="375">
      <c r="A375" s="32"/>
      <c r="B375" s="54"/>
      <c r="C375" s="32"/>
      <c r="D375" s="32"/>
      <c r="E375" s="32"/>
      <c r="F375" s="32"/>
      <c r="G375" s="32"/>
      <c r="H375" s="32"/>
      <c r="I375" s="32"/>
      <c r="J375" s="34"/>
      <c r="K375" s="32"/>
      <c r="L375" s="32"/>
      <c r="M375" s="32"/>
      <c r="N375" s="48"/>
    </row>
    <row r="376">
      <c r="A376" s="32"/>
      <c r="B376" s="54"/>
      <c r="C376" s="32"/>
      <c r="D376" s="32"/>
      <c r="E376" s="32"/>
      <c r="F376" s="32"/>
      <c r="G376" s="32"/>
      <c r="H376" s="32"/>
      <c r="I376" s="32"/>
      <c r="J376" s="34"/>
      <c r="K376" s="32"/>
      <c r="L376" s="32"/>
      <c r="M376" s="32"/>
      <c r="N376" s="48"/>
    </row>
    <row r="377">
      <c r="A377" s="32"/>
      <c r="B377" s="54"/>
      <c r="C377" s="32"/>
      <c r="D377" s="32"/>
      <c r="E377" s="32"/>
      <c r="F377" s="32"/>
      <c r="G377" s="32"/>
      <c r="H377" s="32"/>
      <c r="I377" s="32"/>
      <c r="J377" s="34"/>
      <c r="K377" s="32"/>
      <c r="L377" s="32"/>
      <c r="M377" s="32"/>
      <c r="N377" s="48"/>
    </row>
    <row r="378">
      <c r="A378" s="32"/>
      <c r="B378" s="54"/>
      <c r="C378" s="32"/>
      <c r="D378" s="32"/>
      <c r="E378" s="32"/>
      <c r="F378" s="32"/>
      <c r="G378" s="32"/>
      <c r="H378" s="32"/>
      <c r="I378" s="32"/>
      <c r="J378" s="34"/>
      <c r="K378" s="32"/>
      <c r="L378" s="32"/>
      <c r="M378" s="32"/>
      <c r="N378" s="48"/>
    </row>
    <row r="379">
      <c r="A379" s="32"/>
      <c r="B379" s="54"/>
      <c r="C379" s="32"/>
      <c r="D379" s="32"/>
      <c r="E379" s="32"/>
      <c r="F379" s="32"/>
      <c r="G379" s="32"/>
      <c r="H379" s="32"/>
      <c r="I379" s="32"/>
      <c r="J379" s="34"/>
      <c r="K379" s="32"/>
      <c r="L379" s="32"/>
      <c r="M379" s="32"/>
      <c r="N379" s="48"/>
    </row>
    <row r="380">
      <c r="A380" s="32"/>
      <c r="B380" s="54"/>
      <c r="C380" s="32"/>
      <c r="D380" s="32"/>
      <c r="E380" s="32"/>
      <c r="F380" s="32"/>
      <c r="G380" s="32"/>
      <c r="H380" s="32"/>
      <c r="I380" s="32"/>
      <c r="J380" s="34"/>
      <c r="K380" s="32"/>
      <c r="L380" s="32"/>
      <c r="M380" s="32"/>
      <c r="N380" s="48"/>
    </row>
    <row r="381">
      <c r="A381" s="32"/>
      <c r="B381" s="54"/>
      <c r="C381" s="32"/>
      <c r="D381" s="32"/>
      <c r="E381" s="32"/>
      <c r="F381" s="32"/>
      <c r="G381" s="32"/>
      <c r="H381" s="32"/>
      <c r="I381" s="32"/>
      <c r="J381" s="34"/>
      <c r="K381" s="32"/>
      <c r="L381" s="32"/>
      <c r="M381" s="32"/>
      <c r="N381" s="48"/>
    </row>
    <row r="382">
      <c r="A382" s="32"/>
      <c r="B382" s="54"/>
      <c r="C382" s="32"/>
      <c r="D382" s="32"/>
      <c r="E382" s="32"/>
      <c r="F382" s="32"/>
      <c r="G382" s="32"/>
      <c r="H382" s="32"/>
      <c r="I382" s="32"/>
      <c r="J382" s="34"/>
      <c r="K382" s="32"/>
      <c r="L382" s="32"/>
      <c r="M382" s="32"/>
      <c r="N382" s="48"/>
    </row>
    <row r="383">
      <c r="A383" s="32"/>
      <c r="B383" s="54"/>
      <c r="C383" s="32"/>
      <c r="D383" s="32"/>
      <c r="E383" s="32"/>
      <c r="F383" s="32"/>
      <c r="G383" s="32"/>
      <c r="H383" s="32"/>
      <c r="I383" s="32"/>
      <c r="J383" s="34"/>
      <c r="K383" s="32"/>
      <c r="L383" s="32"/>
      <c r="M383" s="32"/>
      <c r="N383" s="48"/>
    </row>
    <row r="384">
      <c r="A384" s="32"/>
      <c r="B384" s="54"/>
      <c r="C384" s="32"/>
      <c r="D384" s="32"/>
      <c r="E384" s="32"/>
      <c r="F384" s="32"/>
      <c r="G384" s="32"/>
      <c r="H384" s="32"/>
      <c r="I384" s="32"/>
      <c r="J384" s="34"/>
      <c r="K384" s="32"/>
      <c r="L384" s="32"/>
      <c r="M384" s="32"/>
      <c r="N384" s="48"/>
    </row>
    <row r="385">
      <c r="A385" s="32"/>
      <c r="B385" s="54"/>
      <c r="C385" s="32"/>
      <c r="D385" s="32"/>
      <c r="E385" s="32"/>
      <c r="F385" s="32"/>
      <c r="G385" s="32"/>
      <c r="H385" s="32"/>
      <c r="I385" s="32"/>
      <c r="J385" s="34"/>
      <c r="K385" s="32"/>
      <c r="L385" s="32"/>
      <c r="M385" s="32"/>
      <c r="N385" s="48"/>
    </row>
    <row r="386">
      <c r="A386" s="32"/>
      <c r="B386" s="54"/>
      <c r="C386" s="32"/>
      <c r="D386" s="32"/>
      <c r="E386" s="32"/>
      <c r="F386" s="32"/>
      <c r="G386" s="32"/>
      <c r="H386" s="32"/>
      <c r="I386" s="32"/>
      <c r="J386" s="34"/>
      <c r="K386" s="32"/>
      <c r="L386" s="32"/>
      <c r="M386" s="32"/>
      <c r="N386" s="48"/>
    </row>
    <row r="387">
      <c r="A387" s="32"/>
      <c r="B387" s="54"/>
      <c r="C387" s="32"/>
      <c r="D387" s="32"/>
      <c r="E387" s="32"/>
      <c r="F387" s="32"/>
      <c r="G387" s="32"/>
      <c r="H387" s="32"/>
      <c r="I387" s="32"/>
      <c r="J387" s="34"/>
      <c r="K387" s="32"/>
      <c r="L387" s="32"/>
      <c r="M387" s="32"/>
      <c r="N387" s="48"/>
    </row>
    <row r="388">
      <c r="A388" s="32"/>
      <c r="B388" s="54"/>
      <c r="C388" s="32"/>
      <c r="D388" s="32"/>
      <c r="E388" s="32"/>
      <c r="F388" s="32"/>
      <c r="G388" s="32"/>
      <c r="H388" s="32"/>
      <c r="I388" s="32"/>
      <c r="J388" s="34"/>
      <c r="K388" s="32"/>
      <c r="L388" s="32"/>
      <c r="M388" s="32"/>
      <c r="N388" s="48"/>
    </row>
    <row r="389">
      <c r="A389" s="32"/>
      <c r="B389" s="54"/>
      <c r="C389" s="32"/>
      <c r="D389" s="32"/>
      <c r="E389" s="32"/>
      <c r="F389" s="32"/>
      <c r="G389" s="32"/>
      <c r="H389" s="32"/>
      <c r="I389" s="32"/>
      <c r="J389" s="34"/>
      <c r="K389" s="32"/>
      <c r="L389" s="32"/>
      <c r="M389" s="32"/>
      <c r="N389" s="48"/>
    </row>
    <row r="390">
      <c r="A390" s="32"/>
      <c r="B390" s="54"/>
      <c r="C390" s="32"/>
      <c r="D390" s="32"/>
      <c r="E390" s="32"/>
      <c r="F390" s="32"/>
      <c r="G390" s="32"/>
      <c r="H390" s="32"/>
      <c r="I390" s="32"/>
      <c r="J390" s="34"/>
      <c r="K390" s="32"/>
      <c r="L390" s="32"/>
      <c r="M390" s="32"/>
      <c r="N390" s="48"/>
    </row>
    <row r="391">
      <c r="A391" s="32"/>
      <c r="B391" s="54"/>
      <c r="C391" s="32"/>
      <c r="D391" s="32"/>
      <c r="E391" s="32"/>
      <c r="F391" s="32"/>
      <c r="G391" s="32"/>
      <c r="H391" s="32"/>
      <c r="I391" s="32"/>
      <c r="J391" s="34"/>
      <c r="K391" s="32"/>
      <c r="L391" s="32"/>
      <c r="M391" s="32"/>
      <c r="N391" s="48"/>
    </row>
    <row r="392">
      <c r="A392" s="32"/>
      <c r="B392" s="54"/>
      <c r="C392" s="32"/>
      <c r="D392" s="32"/>
      <c r="E392" s="32"/>
      <c r="F392" s="32"/>
      <c r="G392" s="32"/>
      <c r="H392" s="32"/>
      <c r="I392" s="32"/>
      <c r="J392" s="34"/>
      <c r="K392" s="32"/>
      <c r="L392" s="32"/>
      <c r="M392" s="32"/>
      <c r="N392" s="48"/>
    </row>
    <row r="393">
      <c r="A393" s="32"/>
      <c r="B393" s="54"/>
      <c r="C393" s="32"/>
      <c r="D393" s="32"/>
      <c r="E393" s="32"/>
      <c r="F393" s="32"/>
      <c r="G393" s="32"/>
      <c r="H393" s="32"/>
      <c r="I393" s="32"/>
      <c r="J393" s="34"/>
      <c r="K393" s="32"/>
      <c r="L393" s="32"/>
      <c r="M393" s="32"/>
      <c r="N393" s="48"/>
    </row>
    <row r="394">
      <c r="A394" s="32"/>
      <c r="B394" s="54"/>
      <c r="C394" s="32"/>
      <c r="D394" s="32"/>
      <c r="E394" s="32"/>
      <c r="F394" s="32"/>
      <c r="G394" s="32"/>
      <c r="H394" s="32"/>
      <c r="I394" s="32"/>
      <c r="J394" s="34"/>
      <c r="K394" s="32"/>
      <c r="L394" s="32"/>
      <c r="M394" s="32"/>
      <c r="N394" s="48"/>
    </row>
    <row r="395">
      <c r="A395" s="32"/>
      <c r="B395" s="54"/>
      <c r="C395" s="32"/>
      <c r="D395" s="32"/>
      <c r="E395" s="32"/>
      <c r="F395" s="32"/>
      <c r="G395" s="32"/>
      <c r="H395" s="32"/>
      <c r="I395" s="32"/>
      <c r="J395" s="34"/>
      <c r="K395" s="32"/>
      <c r="L395" s="32"/>
      <c r="M395" s="32"/>
      <c r="N395" s="48"/>
    </row>
    <row r="396">
      <c r="A396" s="32"/>
      <c r="B396" s="54"/>
      <c r="C396" s="32"/>
      <c r="D396" s="32"/>
      <c r="E396" s="32"/>
      <c r="F396" s="32"/>
      <c r="G396" s="32"/>
      <c r="H396" s="32"/>
      <c r="I396" s="32"/>
      <c r="J396" s="34"/>
      <c r="K396" s="32"/>
      <c r="L396" s="32"/>
      <c r="M396" s="32"/>
      <c r="N396" s="48"/>
    </row>
    <row r="397">
      <c r="A397" s="32"/>
      <c r="B397" s="54"/>
      <c r="C397" s="32"/>
      <c r="D397" s="32"/>
      <c r="E397" s="32"/>
      <c r="F397" s="32"/>
      <c r="G397" s="32"/>
      <c r="H397" s="32"/>
      <c r="I397" s="32"/>
      <c r="J397" s="34"/>
      <c r="K397" s="32"/>
      <c r="L397" s="32"/>
      <c r="M397" s="32"/>
      <c r="N397" s="48"/>
    </row>
    <row r="398">
      <c r="A398" s="32"/>
      <c r="B398" s="54"/>
      <c r="C398" s="32"/>
      <c r="D398" s="32"/>
      <c r="E398" s="32"/>
      <c r="F398" s="32"/>
      <c r="G398" s="32"/>
      <c r="H398" s="32"/>
      <c r="I398" s="32"/>
      <c r="J398" s="34"/>
      <c r="K398" s="32"/>
      <c r="L398" s="32"/>
      <c r="M398" s="32"/>
      <c r="N398" s="48"/>
    </row>
    <row r="399">
      <c r="A399" s="32"/>
      <c r="B399" s="54"/>
      <c r="C399" s="32"/>
      <c r="D399" s="32"/>
      <c r="E399" s="32"/>
      <c r="F399" s="32"/>
      <c r="G399" s="32"/>
      <c r="H399" s="32"/>
      <c r="I399" s="32"/>
      <c r="J399" s="34"/>
      <c r="K399" s="32"/>
      <c r="L399" s="32"/>
      <c r="M399" s="32"/>
      <c r="N399" s="48"/>
    </row>
    <row r="400">
      <c r="A400" s="32"/>
      <c r="B400" s="54"/>
      <c r="C400" s="32"/>
      <c r="D400" s="32"/>
      <c r="E400" s="32"/>
      <c r="F400" s="32"/>
      <c r="G400" s="32"/>
      <c r="H400" s="32"/>
      <c r="I400" s="32"/>
      <c r="J400" s="34"/>
      <c r="K400" s="32"/>
      <c r="L400" s="32"/>
      <c r="M400" s="32"/>
      <c r="N400" s="48"/>
    </row>
    <row r="401">
      <c r="A401" s="32"/>
      <c r="B401" s="54"/>
      <c r="C401" s="32"/>
      <c r="D401" s="32"/>
      <c r="E401" s="32"/>
      <c r="F401" s="32"/>
      <c r="G401" s="32"/>
      <c r="H401" s="32"/>
      <c r="I401" s="32"/>
      <c r="J401" s="34"/>
      <c r="K401" s="32"/>
      <c r="L401" s="32"/>
      <c r="M401" s="32"/>
      <c r="N401" s="48"/>
    </row>
    <row r="402">
      <c r="A402" s="32"/>
      <c r="B402" s="54"/>
      <c r="C402" s="32"/>
      <c r="D402" s="32"/>
      <c r="E402" s="32"/>
      <c r="F402" s="32"/>
      <c r="G402" s="32"/>
      <c r="H402" s="32"/>
      <c r="I402" s="32"/>
      <c r="J402" s="34"/>
      <c r="K402" s="32"/>
      <c r="L402" s="32"/>
      <c r="M402" s="32"/>
      <c r="N402" s="48"/>
    </row>
    <row r="403">
      <c r="A403" s="32"/>
      <c r="B403" s="54"/>
      <c r="C403" s="32"/>
      <c r="D403" s="32"/>
      <c r="E403" s="32"/>
      <c r="F403" s="32"/>
      <c r="G403" s="32"/>
      <c r="H403" s="32"/>
      <c r="I403" s="32"/>
      <c r="J403" s="34"/>
      <c r="K403" s="32"/>
      <c r="L403" s="32"/>
      <c r="M403" s="32"/>
      <c r="N403" s="48"/>
    </row>
    <row r="404">
      <c r="A404" s="32"/>
      <c r="B404" s="54"/>
      <c r="C404" s="32"/>
      <c r="D404" s="32"/>
      <c r="E404" s="32"/>
      <c r="F404" s="32"/>
      <c r="G404" s="32"/>
      <c r="H404" s="32"/>
      <c r="I404" s="32"/>
      <c r="J404" s="34"/>
      <c r="K404" s="32"/>
      <c r="L404" s="32"/>
      <c r="M404" s="32"/>
      <c r="N404" s="48"/>
    </row>
    <row r="405">
      <c r="A405" s="32"/>
      <c r="B405" s="54"/>
      <c r="C405" s="32"/>
      <c r="D405" s="32"/>
      <c r="E405" s="32"/>
      <c r="F405" s="32"/>
      <c r="G405" s="32"/>
      <c r="H405" s="32"/>
      <c r="I405" s="32"/>
      <c r="J405" s="34"/>
      <c r="K405" s="32"/>
      <c r="L405" s="32"/>
      <c r="M405" s="32"/>
      <c r="N405" s="48"/>
    </row>
    <row r="406">
      <c r="A406" s="32"/>
      <c r="B406" s="54"/>
      <c r="C406" s="32"/>
      <c r="D406" s="32"/>
      <c r="E406" s="32"/>
      <c r="F406" s="32"/>
      <c r="G406" s="32"/>
      <c r="H406" s="32"/>
      <c r="I406" s="32"/>
      <c r="J406" s="34"/>
      <c r="K406" s="32"/>
      <c r="L406" s="32"/>
      <c r="M406" s="32"/>
      <c r="N406" s="48"/>
    </row>
    <row r="407">
      <c r="A407" s="32"/>
      <c r="B407" s="54"/>
      <c r="C407" s="32"/>
      <c r="D407" s="32"/>
      <c r="E407" s="32"/>
      <c r="F407" s="32"/>
      <c r="G407" s="32"/>
      <c r="H407" s="32"/>
      <c r="I407" s="32"/>
      <c r="J407" s="34"/>
      <c r="K407" s="32"/>
      <c r="L407" s="32"/>
      <c r="M407" s="32"/>
      <c r="N407" s="48"/>
    </row>
    <row r="408">
      <c r="A408" s="32"/>
      <c r="B408" s="54"/>
      <c r="C408" s="32"/>
      <c r="D408" s="32"/>
      <c r="E408" s="32"/>
      <c r="F408" s="32"/>
      <c r="G408" s="32"/>
      <c r="H408" s="32"/>
      <c r="I408" s="32"/>
      <c r="J408" s="34"/>
      <c r="K408" s="32"/>
      <c r="L408" s="32"/>
      <c r="M408" s="32"/>
      <c r="N408" s="48"/>
    </row>
    <row r="409">
      <c r="A409" s="32"/>
      <c r="B409" s="54"/>
      <c r="C409" s="32"/>
      <c r="D409" s="32"/>
      <c r="E409" s="32"/>
      <c r="F409" s="32"/>
      <c r="G409" s="32"/>
      <c r="H409" s="32"/>
      <c r="I409" s="32"/>
      <c r="J409" s="34"/>
      <c r="K409" s="32"/>
      <c r="L409" s="32"/>
      <c r="M409" s="32"/>
      <c r="N409" s="48"/>
    </row>
    <row r="410">
      <c r="A410" s="32"/>
      <c r="B410" s="54"/>
      <c r="C410" s="32"/>
      <c r="D410" s="32"/>
      <c r="E410" s="32"/>
      <c r="F410" s="32"/>
      <c r="G410" s="32"/>
      <c r="H410" s="32"/>
      <c r="I410" s="32"/>
      <c r="J410" s="34"/>
      <c r="K410" s="32"/>
      <c r="L410" s="32"/>
      <c r="M410" s="32"/>
      <c r="N410" s="48"/>
    </row>
    <row r="411">
      <c r="A411" s="32"/>
      <c r="B411" s="54"/>
      <c r="C411" s="32"/>
      <c r="D411" s="32"/>
      <c r="E411" s="32"/>
      <c r="F411" s="32"/>
      <c r="G411" s="32"/>
      <c r="H411" s="32"/>
      <c r="I411" s="32"/>
      <c r="J411" s="34"/>
      <c r="K411" s="32"/>
      <c r="L411" s="32"/>
      <c r="M411" s="32"/>
      <c r="N411" s="48"/>
    </row>
    <row r="412">
      <c r="A412" s="32"/>
      <c r="B412" s="54"/>
      <c r="C412" s="32"/>
      <c r="D412" s="32"/>
      <c r="E412" s="32"/>
      <c r="F412" s="32"/>
      <c r="G412" s="32"/>
      <c r="H412" s="32"/>
      <c r="I412" s="32"/>
      <c r="J412" s="34"/>
      <c r="K412" s="32"/>
      <c r="L412" s="32"/>
      <c r="M412" s="32"/>
      <c r="N412" s="48"/>
    </row>
    <row r="413">
      <c r="A413" s="32"/>
      <c r="B413" s="54"/>
      <c r="C413" s="32"/>
      <c r="D413" s="32"/>
      <c r="E413" s="32"/>
      <c r="F413" s="32"/>
      <c r="G413" s="32"/>
      <c r="H413" s="32"/>
      <c r="I413" s="32"/>
      <c r="J413" s="34"/>
      <c r="K413" s="32"/>
      <c r="L413" s="32"/>
      <c r="M413" s="32"/>
      <c r="N413" s="48"/>
    </row>
    <row r="414">
      <c r="A414" s="32"/>
      <c r="B414" s="54"/>
      <c r="C414" s="32"/>
      <c r="D414" s="32"/>
      <c r="E414" s="32"/>
      <c r="F414" s="32"/>
      <c r="G414" s="32"/>
      <c r="H414" s="32"/>
      <c r="I414" s="32"/>
      <c r="J414" s="34"/>
      <c r="K414" s="32"/>
      <c r="L414" s="32"/>
      <c r="M414" s="32"/>
      <c r="N414" s="48"/>
    </row>
    <row r="415">
      <c r="A415" s="32"/>
      <c r="B415" s="54"/>
      <c r="C415" s="32"/>
      <c r="D415" s="32"/>
      <c r="E415" s="32"/>
      <c r="F415" s="32"/>
      <c r="G415" s="32"/>
      <c r="H415" s="32"/>
      <c r="I415" s="32"/>
      <c r="J415" s="34"/>
      <c r="K415" s="32"/>
      <c r="L415" s="32"/>
      <c r="M415" s="32"/>
      <c r="N415" s="48"/>
    </row>
    <row r="416">
      <c r="A416" s="32"/>
      <c r="B416" s="54"/>
      <c r="C416" s="32"/>
      <c r="D416" s="32"/>
      <c r="E416" s="32"/>
      <c r="F416" s="32"/>
      <c r="G416" s="32"/>
      <c r="H416" s="32"/>
      <c r="I416" s="32"/>
      <c r="J416" s="34"/>
      <c r="K416" s="32"/>
      <c r="L416" s="32"/>
      <c r="M416" s="32"/>
      <c r="N416" s="48"/>
    </row>
    <row r="417">
      <c r="A417" s="32"/>
      <c r="B417" s="54"/>
      <c r="C417" s="32"/>
      <c r="D417" s="32"/>
      <c r="E417" s="32"/>
      <c r="F417" s="32"/>
      <c r="G417" s="32"/>
      <c r="H417" s="32"/>
      <c r="I417" s="32"/>
      <c r="J417" s="34"/>
      <c r="K417" s="32"/>
      <c r="L417" s="32"/>
      <c r="M417" s="32"/>
      <c r="N417" s="48"/>
    </row>
    <row r="418">
      <c r="A418" s="32"/>
      <c r="B418" s="54"/>
      <c r="C418" s="32"/>
      <c r="D418" s="32"/>
      <c r="E418" s="32"/>
      <c r="F418" s="32"/>
      <c r="G418" s="32"/>
      <c r="H418" s="32"/>
      <c r="I418" s="32"/>
      <c r="J418" s="34"/>
      <c r="K418" s="32"/>
      <c r="L418" s="32"/>
      <c r="M418" s="32"/>
      <c r="N418" s="48"/>
    </row>
    <row r="419">
      <c r="A419" s="32"/>
      <c r="B419" s="54"/>
      <c r="C419" s="32"/>
      <c r="D419" s="32"/>
      <c r="E419" s="32"/>
      <c r="F419" s="32"/>
      <c r="G419" s="32"/>
      <c r="H419" s="32"/>
      <c r="I419" s="32"/>
      <c r="J419" s="34"/>
      <c r="K419" s="32"/>
      <c r="L419" s="32"/>
      <c r="M419" s="32"/>
      <c r="N419" s="48"/>
    </row>
    <row r="420">
      <c r="A420" s="32"/>
      <c r="B420" s="54"/>
      <c r="C420" s="32"/>
      <c r="D420" s="32"/>
      <c r="E420" s="32"/>
      <c r="F420" s="32"/>
      <c r="G420" s="32"/>
      <c r="H420" s="32"/>
      <c r="I420" s="32"/>
      <c r="J420" s="34"/>
      <c r="K420" s="32"/>
      <c r="L420" s="32"/>
      <c r="M420" s="32"/>
      <c r="N420" s="48"/>
    </row>
    <row r="421">
      <c r="A421" s="32"/>
      <c r="B421" s="54"/>
      <c r="C421" s="32"/>
      <c r="D421" s="32"/>
      <c r="E421" s="32"/>
      <c r="F421" s="32"/>
      <c r="G421" s="32"/>
      <c r="H421" s="32"/>
      <c r="I421" s="32"/>
      <c r="J421" s="34"/>
      <c r="K421" s="32"/>
      <c r="L421" s="32"/>
      <c r="M421" s="32"/>
      <c r="N421" s="48"/>
    </row>
    <row r="422">
      <c r="A422" s="32"/>
      <c r="B422" s="54"/>
      <c r="C422" s="32"/>
      <c r="D422" s="32"/>
      <c r="E422" s="32"/>
      <c r="F422" s="32"/>
      <c r="G422" s="32"/>
      <c r="H422" s="32"/>
      <c r="I422" s="32"/>
      <c r="J422" s="34"/>
      <c r="K422" s="32"/>
      <c r="L422" s="32"/>
      <c r="M422" s="32"/>
      <c r="N422" s="48"/>
    </row>
    <row r="423">
      <c r="A423" s="32"/>
      <c r="B423" s="54"/>
      <c r="C423" s="32"/>
      <c r="D423" s="32"/>
      <c r="E423" s="32"/>
      <c r="F423" s="32"/>
      <c r="G423" s="32"/>
      <c r="H423" s="32"/>
      <c r="I423" s="32"/>
      <c r="J423" s="34"/>
      <c r="K423" s="32"/>
      <c r="L423" s="32"/>
      <c r="M423" s="32"/>
      <c r="N423" s="48"/>
    </row>
    <row r="424">
      <c r="A424" s="32"/>
      <c r="B424" s="54"/>
      <c r="C424" s="32"/>
      <c r="D424" s="32"/>
      <c r="E424" s="32"/>
      <c r="F424" s="32"/>
      <c r="G424" s="32"/>
      <c r="H424" s="32"/>
      <c r="I424" s="32"/>
      <c r="J424" s="34"/>
      <c r="K424" s="32"/>
      <c r="L424" s="32"/>
      <c r="M424" s="32"/>
      <c r="N424" s="48"/>
    </row>
    <row r="425">
      <c r="A425" s="32"/>
      <c r="B425" s="54"/>
      <c r="C425" s="32"/>
      <c r="D425" s="32"/>
      <c r="E425" s="32"/>
      <c r="F425" s="32"/>
      <c r="G425" s="32"/>
      <c r="H425" s="32"/>
      <c r="I425" s="32"/>
      <c r="J425" s="34"/>
      <c r="K425" s="32"/>
      <c r="L425" s="32"/>
      <c r="M425" s="32"/>
      <c r="N425" s="48"/>
    </row>
    <row r="426">
      <c r="A426" s="32"/>
      <c r="B426" s="54"/>
      <c r="C426" s="32"/>
      <c r="D426" s="32"/>
      <c r="E426" s="32"/>
      <c r="F426" s="32"/>
      <c r="G426" s="32"/>
      <c r="H426" s="32"/>
      <c r="I426" s="32"/>
      <c r="J426" s="34"/>
      <c r="K426" s="32"/>
      <c r="L426" s="32"/>
      <c r="M426" s="32"/>
      <c r="N426" s="48"/>
    </row>
    <row r="427">
      <c r="A427" s="32"/>
      <c r="B427" s="54"/>
      <c r="C427" s="32"/>
      <c r="D427" s="32"/>
      <c r="E427" s="32"/>
      <c r="F427" s="32"/>
      <c r="G427" s="32"/>
      <c r="H427" s="32"/>
      <c r="I427" s="32"/>
      <c r="J427" s="34"/>
      <c r="K427" s="32"/>
      <c r="L427" s="32"/>
      <c r="M427" s="32"/>
      <c r="N427" s="48"/>
    </row>
    <row r="428">
      <c r="A428" s="32"/>
      <c r="B428" s="54"/>
      <c r="C428" s="32"/>
      <c r="D428" s="32"/>
      <c r="E428" s="32"/>
      <c r="F428" s="32"/>
      <c r="G428" s="32"/>
      <c r="H428" s="32"/>
      <c r="I428" s="32"/>
      <c r="J428" s="34"/>
      <c r="K428" s="32"/>
      <c r="L428" s="32"/>
      <c r="M428" s="32"/>
      <c r="N428" s="48"/>
    </row>
    <row r="429">
      <c r="A429" s="32"/>
      <c r="B429" s="54"/>
      <c r="C429" s="32"/>
      <c r="D429" s="32"/>
      <c r="E429" s="32"/>
      <c r="F429" s="32"/>
      <c r="G429" s="32"/>
      <c r="H429" s="32"/>
      <c r="I429" s="32"/>
      <c r="J429" s="34"/>
      <c r="K429" s="32"/>
      <c r="L429" s="32"/>
      <c r="M429" s="32"/>
      <c r="N429" s="48"/>
    </row>
    <row r="430">
      <c r="A430" s="32"/>
      <c r="B430" s="54"/>
      <c r="C430" s="32"/>
      <c r="D430" s="32"/>
      <c r="E430" s="32"/>
      <c r="F430" s="32"/>
      <c r="G430" s="32"/>
      <c r="H430" s="32"/>
      <c r="I430" s="32"/>
      <c r="J430" s="34"/>
      <c r="K430" s="32"/>
      <c r="L430" s="32"/>
      <c r="M430" s="32"/>
      <c r="N430" s="48"/>
    </row>
    <row r="431">
      <c r="A431" s="32"/>
      <c r="B431" s="54"/>
      <c r="C431" s="32"/>
      <c r="D431" s="32"/>
      <c r="E431" s="32"/>
      <c r="F431" s="32"/>
      <c r="G431" s="32"/>
      <c r="H431" s="32"/>
      <c r="I431" s="32"/>
      <c r="J431" s="34"/>
      <c r="K431" s="32"/>
      <c r="L431" s="32"/>
      <c r="M431" s="32"/>
      <c r="N431" s="48"/>
    </row>
    <row r="432">
      <c r="A432" s="32"/>
      <c r="B432" s="54"/>
      <c r="C432" s="32"/>
      <c r="D432" s="32"/>
      <c r="E432" s="32"/>
      <c r="F432" s="32"/>
      <c r="G432" s="32"/>
      <c r="H432" s="32"/>
      <c r="I432" s="32"/>
      <c r="J432" s="34"/>
      <c r="K432" s="32"/>
      <c r="L432" s="32"/>
      <c r="M432" s="32"/>
      <c r="N432" s="48"/>
    </row>
    <row r="433">
      <c r="A433" s="32"/>
      <c r="B433" s="54"/>
      <c r="C433" s="32"/>
      <c r="D433" s="32"/>
      <c r="E433" s="32"/>
      <c r="F433" s="32"/>
      <c r="G433" s="32"/>
      <c r="H433" s="32"/>
      <c r="I433" s="32"/>
      <c r="J433" s="34"/>
      <c r="K433" s="32"/>
      <c r="L433" s="32"/>
      <c r="M433" s="32"/>
      <c r="N433" s="48"/>
    </row>
    <row r="434">
      <c r="A434" s="32"/>
      <c r="B434" s="54"/>
      <c r="C434" s="32"/>
      <c r="D434" s="32"/>
      <c r="E434" s="32"/>
      <c r="F434" s="32"/>
      <c r="G434" s="32"/>
      <c r="H434" s="32"/>
      <c r="I434" s="32"/>
      <c r="J434" s="34"/>
      <c r="K434" s="32"/>
      <c r="L434" s="32"/>
      <c r="M434" s="32"/>
      <c r="N434" s="48"/>
    </row>
    <row r="435">
      <c r="A435" s="32"/>
      <c r="B435" s="54"/>
      <c r="C435" s="32"/>
      <c r="D435" s="32"/>
      <c r="E435" s="32"/>
      <c r="F435" s="32"/>
      <c r="G435" s="32"/>
      <c r="H435" s="32"/>
      <c r="I435" s="32"/>
      <c r="J435" s="34"/>
      <c r="K435" s="32"/>
      <c r="L435" s="32"/>
      <c r="M435" s="32"/>
      <c r="N435" s="48"/>
    </row>
    <row r="436">
      <c r="A436" s="32"/>
      <c r="B436" s="54"/>
      <c r="C436" s="32"/>
      <c r="D436" s="32"/>
      <c r="E436" s="32"/>
      <c r="F436" s="32"/>
      <c r="G436" s="32"/>
      <c r="H436" s="32"/>
      <c r="I436" s="32"/>
      <c r="J436" s="34"/>
      <c r="K436" s="32"/>
      <c r="L436" s="32"/>
      <c r="M436" s="32"/>
      <c r="N436" s="48"/>
    </row>
    <row r="437">
      <c r="A437" s="32"/>
      <c r="B437" s="54"/>
      <c r="C437" s="32"/>
      <c r="D437" s="32"/>
      <c r="E437" s="32"/>
      <c r="F437" s="32"/>
      <c r="G437" s="32"/>
      <c r="H437" s="32"/>
      <c r="I437" s="32"/>
      <c r="J437" s="34"/>
      <c r="K437" s="32"/>
      <c r="L437" s="32"/>
      <c r="M437" s="32"/>
      <c r="N437" s="48"/>
    </row>
    <row r="438">
      <c r="A438" s="32"/>
      <c r="B438" s="54"/>
      <c r="C438" s="32"/>
      <c r="D438" s="32"/>
      <c r="E438" s="32"/>
      <c r="F438" s="32"/>
      <c r="G438" s="32"/>
      <c r="H438" s="32"/>
      <c r="I438" s="32"/>
      <c r="J438" s="34"/>
      <c r="K438" s="32"/>
      <c r="L438" s="32"/>
      <c r="M438" s="32"/>
      <c r="N438" s="48"/>
    </row>
    <row r="439">
      <c r="A439" s="32"/>
      <c r="B439" s="54"/>
      <c r="C439" s="32"/>
      <c r="D439" s="32"/>
      <c r="E439" s="32"/>
      <c r="F439" s="32"/>
      <c r="G439" s="32"/>
      <c r="H439" s="32"/>
      <c r="I439" s="32"/>
      <c r="J439" s="34"/>
      <c r="K439" s="32"/>
      <c r="L439" s="32"/>
      <c r="M439" s="32"/>
      <c r="N439" s="48"/>
    </row>
    <row r="440">
      <c r="A440" s="32"/>
      <c r="B440" s="54"/>
      <c r="C440" s="32"/>
      <c r="D440" s="32"/>
      <c r="E440" s="32"/>
      <c r="F440" s="32"/>
      <c r="G440" s="32"/>
      <c r="H440" s="32"/>
      <c r="I440" s="32"/>
      <c r="J440" s="34"/>
      <c r="K440" s="32"/>
      <c r="L440" s="32"/>
      <c r="M440" s="32"/>
      <c r="N440" s="48"/>
    </row>
    <row r="441">
      <c r="A441" s="32"/>
      <c r="B441" s="54"/>
      <c r="C441" s="32"/>
      <c r="D441" s="32"/>
      <c r="E441" s="32"/>
      <c r="F441" s="32"/>
      <c r="G441" s="32"/>
      <c r="H441" s="32"/>
      <c r="I441" s="32"/>
      <c r="J441" s="34"/>
      <c r="K441" s="32"/>
      <c r="L441" s="32"/>
      <c r="M441" s="32"/>
      <c r="N441" s="48"/>
    </row>
    <row r="442">
      <c r="A442" s="32"/>
      <c r="B442" s="54"/>
      <c r="C442" s="32"/>
      <c r="D442" s="32"/>
      <c r="E442" s="32"/>
      <c r="F442" s="32"/>
      <c r="G442" s="32"/>
      <c r="H442" s="32"/>
      <c r="I442" s="32"/>
      <c r="J442" s="34"/>
      <c r="K442" s="32"/>
      <c r="L442" s="32"/>
      <c r="M442" s="32"/>
      <c r="N442" s="48"/>
    </row>
    <row r="443">
      <c r="A443" s="32"/>
      <c r="B443" s="54"/>
      <c r="C443" s="32"/>
      <c r="D443" s="32"/>
      <c r="E443" s="32"/>
      <c r="F443" s="32"/>
      <c r="G443" s="32"/>
      <c r="H443" s="32"/>
      <c r="I443" s="32"/>
      <c r="J443" s="34"/>
      <c r="K443" s="32"/>
      <c r="L443" s="32"/>
      <c r="M443" s="32"/>
      <c r="N443" s="48"/>
    </row>
    <row r="444">
      <c r="A444" s="32"/>
      <c r="B444" s="54"/>
      <c r="C444" s="32"/>
      <c r="D444" s="32"/>
      <c r="E444" s="32"/>
      <c r="F444" s="32"/>
      <c r="G444" s="32"/>
      <c r="H444" s="32"/>
      <c r="I444" s="32"/>
      <c r="J444" s="34"/>
      <c r="K444" s="32"/>
      <c r="L444" s="32"/>
      <c r="M444" s="32"/>
      <c r="N444" s="48"/>
    </row>
    <row r="445">
      <c r="A445" s="32"/>
      <c r="B445" s="54"/>
      <c r="C445" s="32"/>
      <c r="D445" s="32"/>
      <c r="E445" s="32"/>
      <c r="F445" s="32"/>
      <c r="G445" s="32"/>
      <c r="H445" s="32"/>
      <c r="I445" s="32"/>
      <c r="J445" s="34"/>
      <c r="K445" s="32"/>
      <c r="L445" s="32"/>
      <c r="M445" s="32"/>
      <c r="N445" s="48"/>
    </row>
    <row r="446">
      <c r="A446" s="32"/>
      <c r="B446" s="54"/>
      <c r="C446" s="32"/>
      <c r="D446" s="32"/>
      <c r="E446" s="32"/>
      <c r="F446" s="32"/>
      <c r="G446" s="32"/>
      <c r="H446" s="32"/>
      <c r="I446" s="32"/>
      <c r="J446" s="34"/>
      <c r="K446" s="32"/>
      <c r="L446" s="32"/>
      <c r="M446" s="32"/>
      <c r="N446" s="48"/>
    </row>
    <row r="447">
      <c r="A447" s="32"/>
      <c r="B447" s="54"/>
      <c r="C447" s="32"/>
      <c r="D447" s="32"/>
      <c r="E447" s="32"/>
      <c r="F447" s="32"/>
      <c r="G447" s="32"/>
      <c r="H447" s="32"/>
      <c r="I447" s="32"/>
      <c r="J447" s="34"/>
      <c r="K447" s="32"/>
      <c r="L447" s="32"/>
      <c r="M447" s="32"/>
      <c r="N447" s="48"/>
    </row>
    <row r="448">
      <c r="A448" s="32"/>
      <c r="B448" s="54"/>
      <c r="C448" s="32"/>
      <c r="D448" s="32"/>
      <c r="E448" s="32"/>
      <c r="F448" s="32"/>
      <c r="G448" s="32"/>
      <c r="H448" s="32"/>
      <c r="I448" s="32"/>
      <c r="J448" s="34"/>
      <c r="K448" s="32"/>
      <c r="L448" s="32"/>
      <c r="M448" s="32"/>
      <c r="N448" s="48"/>
    </row>
    <row r="449">
      <c r="A449" s="32"/>
      <c r="B449" s="54"/>
      <c r="C449" s="32"/>
      <c r="D449" s="32"/>
      <c r="E449" s="32"/>
      <c r="F449" s="32"/>
      <c r="G449" s="32"/>
      <c r="H449" s="32"/>
      <c r="I449" s="32"/>
      <c r="J449" s="34"/>
      <c r="K449" s="32"/>
      <c r="L449" s="32"/>
      <c r="M449" s="32"/>
      <c r="N449" s="48"/>
    </row>
    <row r="450">
      <c r="A450" s="32"/>
      <c r="B450" s="54"/>
      <c r="C450" s="32"/>
      <c r="D450" s="32"/>
      <c r="E450" s="32"/>
      <c r="F450" s="32"/>
      <c r="G450" s="32"/>
      <c r="H450" s="32"/>
      <c r="I450" s="32"/>
      <c r="J450" s="34"/>
      <c r="K450" s="32"/>
      <c r="L450" s="32"/>
      <c r="M450" s="32"/>
      <c r="N450" s="48"/>
    </row>
    <row r="451">
      <c r="A451" s="32"/>
      <c r="B451" s="54"/>
      <c r="C451" s="32"/>
      <c r="D451" s="32"/>
      <c r="E451" s="32"/>
      <c r="F451" s="32"/>
      <c r="G451" s="32"/>
      <c r="H451" s="32"/>
      <c r="I451" s="32"/>
      <c r="J451" s="34"/>
      <c r="K451" s="32"/>
      <c r="L451" s="32"/>
      <c r="M451" s="32"/>
      <c r="N451" s="48"/>
    </row>
    <row r="452">
      <c r="A452" s="32"/>
      <c r="B452" s="54"/>
      <c r="C452" s="32"/>
      <c r="D452" s="32"/>
      <c r="E452" s="32"/>
      <c r="F452" s="32"/>
      <c r="G452" s="32"/>
      <c r="H452" s="32"/>
      <c r="I452" s="32"/>
      <c r="J452" s="34"/>
      <c r="K452" s="32"/>
      <c r="L452" s="32"/>
      <c r="M452" s="32"/>
      <c r="N452" s="48"/>
    </row>
    <row r="453">
      <c r="A453" s="32"/>
      <c r="B453" s="54"/>
      <c r="C453" s="32"/>
      <c r="D453" s="32"/>
      <c r="E453" s="32"/>
      <c r="F453" s="32"/>
      <c r="G453" s="32"/>
      <c r="H453" s="32"/>
      <c r="I453" s="32"/>
      <c r="J453" s="34"/>
      <c r="K453" s="32"/>
      <c r="L453" s="32"/>
      <c r="M453" s="32"/>
      <c r="N453" s="48"/>
    </row>
    <row r="454">
      <c r="A454" s="32"/>
      <c r="B454" s="54"/>
      <c r="C454" s="32"/>
      <c r="D454" s="32"/>
      <c r="E454" s="32"/>
      <c r="F454" s="32"/>
      <c r="G454" s="32"/>
      <c r="H454" s="32"/>
      <c r="I454" s="32"/>
      <c r="J454" s="34"/>
      <c r="K454" s="32"/>
      <c r="L454" s="32"/>
      <c r="M454" s="32"/>
      <c r="N454" s="48"/>
    </row>
    <row r="455">
      <c r="A455" s="32"/>
      <c r="B455" s="54"/>
      <c r="C455" s="32"/>
      <c r="D455" s="32"/>
      <c r="E455" s="32"/>
      <c r="F455" s="32"/>
      <c r="G455" s="32"/>
      <c r="H455" s="32"/>
      <c r="I455" s="32"/>
      <c r="J455" s="34"/>
      <c r="K455" s="32"/>
      <c r="L455" s="32"/>
      <c r="M455" s="32"/>
      <c r="N455" s="48"/>
    </row>
    <row r="456">
      <c r="A456" s="32"/>
      <c r="B456" s="54"/>
      <c r="C456" s="32"/>
      <c r="D456" s="32"/>
      <c r="E456" s="32"/>
      <c r="F456" s="32"/>
      <c r="G456" s="32"/>
      <c r="H456" s="32"/>
      <c r="I456" s="32"/>
      <c r="J456" s="34"/>
      <c r="K456" s="32"/>
      <c r="L456" s="32"/>
      <c r="M456" s="32"/>
      <c r="N456" s="48"/>
    </row>
    <row r="457">
      <c r="A457" s="32"/>
      <c r="B457" s="54"/>
      <c r="C457" s="32"/>
      <c r="D457" s="32"/>
      <c r="E457" s="32"/>
      <c r="F457" s="32"/>
      <c r="G457" s="32"/>
      <c r="H457" s="32"/>
      <c r="I457" s="32"/>
      <c r="J457" s="34"/>
      <c r="K457" s="32"/>
      <c r="L457" s="32"/>
      <c r="M457" s="32"/>
      <c r="N457" s="48"/>
    </row>
    <row r="458">
      <c r="A458" s="32"/>
      <c r="B458" s="54"/>
      <c r="C458" s="32"/>
      <c r="D458" s="32"/>
      <c r="E458" s="32"/>
      <c r="F458" s="32"/>
      <c r="G458" s="32"/>
      <c r="H458" s="32"/>
      <c r="I458" s="32"/>
      <c r="J458" s="34"/>
      <c r="K458" s="32"/>
      <c r="L458" s="32"/>
      <c r="M458" s="32"/>
      <c r="N458" s="48"/>
    </row>
    <row r="459">
      <c r="A459" s="32"/>
      <c r="B459" s="54"/>
      <c r="C459" s="32"/>
      <c r="D459" s="32"/>
      <c r="E459" s="32"/>
      <c r="F459" s="32"/>
      <c r="G459" s="32"/>
      <c r="H459" s="32"/>
      <c r="I459" s="32"/>
      <c r="J459" s="34"/>
      <c r="K459" s="32"/>
      <c r="L459" s="32"/>
      <c r="M459" s="32"/>
      <c r="N459" s="48"/>
    </row>
    <row r="460">
      <c r="A460" s="32"/>
      <c r="B460" s="54"/>
      <c r="C460" s="32"/>
      <c r="D460" s="32"/>
      <c r="E460" s="32"/>
      <c r="F460" s="32"/>
      <c r="G460" s="32"/>
      <c r="H460" s="32"/>
      <c r="I460" s="32"/>
      <c r="J460" s="34"/>
      <c r="K460" s="32"/>
      <c r="L460" s="32"/>
      <c r="M460" s="32"/>
      <c r="N460" s="48"/>
    </row>
    <row r="461">
      <c r="A461" s="32"/>
      <c r="B461" s="54"/>
      <c r="C461" s="32"/>
      <c r="D461" s="32"/>
      <c r="E461" s="32"/>
      <c r="F461" s="32"/>
      <c r="G461" s="32"/>
      <c r="H461" s="32"/>
      <c r="I461" s="32"/>
      <c r="J461" s="34"/>
      <c r="K461" s="32"/>
      <c r="L461" s="32"/>
      <c r="M461" s="32"/>
      <c r="N461" s="48"/>
    </row>
    <row r="462">
      <c r="A462" s="32"/>
      <c r="B462" s="54"/>
      <c r="C462" s="32"/>
      <c r="D462" s="32"/>
      <c r="E462" s="32"/>
      <c r="F462" s="32"/>
      <c r="G462" s="32"/>
      <c r="H462" s="32"/>
      <c r="I462" s="32"/>
      <c r="J462" s="34"/>
      <c r="K462" s="32"/>
      <c r="L462" s="32"/>
      <c r="M462" s="32"/>
      <c r="N462" s="48"/>
    </row>
    <row r="463">
      <c r="A463" s="32"/>
      <c r="B463" s="54"/>
      <c r="C463" s="32"/>
      <c r="D463" s="32"/>
      <c r="E463" s="32"/>
      <c r="F463" s="32"/>
      <c r="G463" s="32"/>
      <c r="H463" s="32"/>
      <c r="I463" s="32"/>
      <c r="J463" s="34"/>
      <c r="K463" s="32"/>
      <c r="L463" s="32"/>
      <c r="M463" s="32"/>
      <c r="N463" s="48"/>
    </row>
    <row r="464">
      <c r="A464" s="32"/>
      <c r="B464" s="54"/>
      <c r="C464" s="32"/>
      <c r="D464" s="32"/>
      <c r="E464" s="32"/>
      <c r="F464" s="32"/>
      <c r="G464" s="32"/>
      <c r="H464" s="32"/>
      <c r="I464" s="32"/>
      <c r="J464" s="34"/>
      <c r="K464" s="32"/>
      <c r="L464" s="32"/>
      <c r="M464" s="32"/>
      <c r="N464" s="48"/>
    </row>
    <row r="465">
      <c r="A465" s="32"/>
      <c r="B465" s="54"/>
      <c r="C465" s="32"/>
      <c r="D465" s="32"/>
      <c r="E465" s="32"/>
      <c r="F465" s="32"/>
      <c r="G465" s="32"/>
      <c r="H465" s="32"/>
      <c r="I465" s="32"/>
      <c r="J465" s="34"/>
      <c r="K465" s="32"/>
      <c r="L465" s="32"/>
      <c r="M465" s="32"/>
      <c r="N465" s="48"/>
    </row>
    <row r="466">
      <c r="A466" s="32"/>
      <c r="B466" s="54"/>
      <c r="C466" s="32"/>
      <c r="D466" s="32"/>
      <c r="E466" s="32"/>
      <c r="F466" s="32"/>
      <c r="G466" s="32"/>
      <c r="H466" s="32"/>
      <c r="I466" s="32"/>
      <c r="J466" s="34"/>
      <c r="K466" s="32"/>
      <c r="L466" s="32"/>
      <c r="M466" s="32"/>
      <c r="N466" s="48"/>
    </row>
    <row r="467">
      <c r="A467" s="32"/>
      <c r="B467" s="54"/>
      <c r="C467" s="32"/>
      <c r="D467" s="32"/>
      <c r="E467" s="32"/>
      <c r="F467" s="32"/>
      <c r="G467" s="32"/>
      <c r="H467" s="32"/>
      <c r="I467" s="32"/>
      <c r="J467" s="34"/>
      <c r="K467" s="32"/>
      <c r="L467" s="32"/>
      <c r="M467" s="32"/>
      <c r="N467" s="48"/>
    </row>
    <row r="468">
      <c r="A468" s="32"/>
      <c r="B468" s="54"/>
      <c r="C468" s="32"/>
      <c r="D468" s="32"/>
      <c r="E468" s="32"/>
      <c r="F468" s="32"/>
      <c r="G468" s="32"/>
      <c r="H468" s="32"/>
      <c r="I468" s="32"/>
      <c r="J468" s="34"/>
      <c r="K468" s="32"/>
      <c r="L468" s="32"/>
      <c r="M468" s="32"/>
      <c r="N468" s="48"/>
    </row>
    <row r="469">
      <c r="A469" s="32"/>
      <c r="B469" s="54"/>
      <c r="C469" s="32"/>
      <c r="D469" s="32"/>
      <c r="E469" s="32"/>
      <c r="F469" s="32"/>
      <c r="G469" s="32"/>
      <c r="H469" s="32"/>
      <c r="I469" s="32"/>
      <c r="J469" s="34"/>
      <c r="K469" s="32"/>
      <c r="L469" s="32"/>
      <c r="M469" s="32"/>
      <c r="N469" s="48"/>
    </row>
    <row r="470">
      <c r="A470" s="32"/>
      <c r="B470" s="54"/>
      <c r="C470" s="32"/>
      <c r="D470" s="32"/>
      <c r="E470" s="32"/>
      <c r="F470" s="32"/>
      <c r="G470" s="32"/>
      <c r="H470" s="32"/>
      <c r="I470" s="32"/>
      <c r="J470" s="34"/>
      <c r="K470" s="32"/>
      <c r="L470" s="32"/>
      <c r="M470" s="32"/>
      <c r="N470" s="48"/>
    </row>
    <row r="471">
      <c r="A471" s="32"/>
      <c r="B471" s="54"/>
      <c r="C471" s="32"/>
      <c r="D471" s="32"/>
      <c r="E471" s="32"/>
      <c r="F471" s="32"/>
      <c r="G471" s="32"/>
      <c r="H471" s="32"/>
      <c r="I471" s="32"/>
      <c r="J471" s="34"/>
      <c r="K471" s="32"/>
      <c r="L471" s="32"/>
      <c r="M471" s="32"/>
      <c r="N471" s="48"/>
    </row>
    <row r="472">
      <c r="A472" s="32"/>
      <c r="B472" s="54"/>
      <c r="C472" s="32"/>
      <c r="D472" s="32"/>
      <c r="E472" s="32"/>
      <c r="F472" s="32"/>
      <c r="G472" s="32"/>
      <c r="H472" s="32"/>
      <c r="I472" s="32"/>
      <c r="J472" s="34"/>
      <c r="K472" s="32"/>
      <c r="L472" s="32"/>
      <c r="M472" s="32"/>
      <c r="N472" s="48"/>
    </row>
    <row r="473">
      <c r="A473" s="32"/>
      <c r="B473" s="54"/>
      <c r="C473" s="32"/>
      <c r="D473" s="32"/>
      <c r="E473" s="32"/>
      <c r="F473" s="32"/>
      <c r="G473" s="32"/>
      <c r="H473" s="32"/>
      <c r="I473" s="32"/>
      <c r="J473" s="34"/>
      <c r="K473" s="32"/>
      <c r="L473" s="32"/>
      <c r="M473" s="32"/>
      <c r="N473" s="48"/>
    </row>
    <row r="474">
      <c r="A474" s="32"/>
      <c r="B474" s="54"/>
      <c r="C474" s="32"/>
      <c r="D474" s="32"/>
      <c r="E474" s="32"/>
      <c r="F474" s="32"/>
      <c r="G474" s="32"/>
      <c r="H474" s="32"/>
      <c r="I474" s="32"/>
      <c r="J474" s="34"/>
      <c r="K474" s="32"/>
      <c r="L474" s="32"/>
      <c r="M474" s="32"/>
      <c r="N474" s="48"/>
    </row>
    <row r="475">
      <c r="A475" s="32"/>
      <c r="B475" s="54"/>
      <c r="C475" s="32"/>
      <c r="D475" s="32"/>
      <c r="E475" s="32"/>
      <c r="F475" s="32"/>
      <c r="G475" s="32"/>
      <c r="H475" s="32"/>
      <c r="I475" s="32"/>
      <c r="J475" s="34"/>
      <c r="K475" s="32"/>
      <c r="L475" s="32"/>
      <c r="M475" s="32"/>
      <c r="N475" s="48"/>
    </row>
    <row r="476">
      <c r="A476" s="32"/>
      <c r="B476" s="54"/>
      <c r="C476" s="32"/>
      <c r="D476" s="32"/>
      <c r="E476" s="32"/>
      <c r="F476" s="32"/>
      <c r="G476" s="32"/>
      <c r="H476" s="32"/>
      <c r="I476" s="32"/>
      <c r="J476" s="34"/>
      <c r="K476" s="32"/>
      <c r="L476" s="32"/>
      <c r="M476" s="32"/>
      <c r="N476" s="48"/>
    </row>
    <row r="477">
      <c r="A477" s="32"/>
      <c r="B477" s="54"/>
      <c r="C477" s="32"/>
      <c r="D477" s="32"/>
      <c r="E477" s="32"/>
      <c r="F477" s="32"/>
      <c r="G477" s="32"/>
      <c r="H477" s="32"/>
      <c r="I477" s="32"/>
      <c r="J477" s="34"/>
      <c r="K477" s="32"/>
      <c r="L477" s="32"/>
      <c r="M477" s="32"/>
      <c r="N477" s="48"/>
    </row>
    <row r="478">
      <c r="A478" s="32"/>
      <c r="B478" s="54"/>
      <c r="C478" s="32"/>
      <c r="D478" s="32"/>
      <c r="E478" s="32"/>
      <c r="F478" s="32"/>
      <c r="G478" s="32"/>
      <c r="H478" s="32"/>
      <c r="I478" s="32"/>
      <c r="J478" s="34"/>
      <c r="K478" s="32"/>
      <c r="L478" s="32"/>
      <c r="M478" s="32"/>
      <c r="N478" s="48"/>
    </row>
    <row r="479">
      <c r="A479" s="32"/>
      <c r="B479" s="54"/>
      <c r="C479" s="32"/>
      <c r="D479" s="32"/>
      <c r="E479" s="32"/>
      <c r="F479" s="32"/>
      <c r="G479" s="32"/>
      <c r="H479" s="32"/>
      <c r="I479" s="32"/>
      <c r="J479" s="34"/>
      <c r="K479" s="32"/>
      <c r="L479" s="32"/>
      <c r="M479" s="32"/>
      <c r="N479" s="48"/>
    </row>
    <row r="480">
      <c r="A480" s="32"/>
      <c r="B480" s="54"/>
      <c r="C480" s="32"/>
      <c r="D480" s="32"/>
      <c r="E480" s="32"/>
      <c r="F480" s="32"/>
      <c r="G480" s="32"/>
      <c r="H480" s="32"/>
      <c r="I480" s="32"/>
      <c r="J480" s="34"/>
      <c r="K480" s="32"/>
      <c r="L480" s="32"/>
      <c r="M480" s="32"/>
      <c r="N480" s="48"/>
    </row>
    <row r="481">
      <c r="A481" s="32"/>
      <c r="B481" s="54"/>
      <c r="C481" s="32"/>
      <c r="D481" s="32"/>
      <c r="E481" s="32"/>
      <c r="F481" s="32"/>
      <c r="G481" s="32"/>
      <c r="H481" s="32"/>
      <c r="I481" s="32"/>
      <c r="J481" s="34"/>
      <c r="K481" s="32"/>
      <c r="L481" s="32"/>
      <c r="M481" s="32"/>
      <c r="N481" s="48"/>
    </row>
    <row r="482">
      <c r="A482" s="32"/>
      <c r="B482" s="54"/>
      <c r="C482" s="32"/>
      <c r="D482" s="32"/>
      <c r="E482" s="32"/>
      <c r="F482" s="32"/>
      <c r="G482" s="32"/>
      <c r="H482" s="32"/>
      <c r="I482" s="32"/>
      <c r="J482" s="34"/>
      <c r="K482" s="32"/>
      <c r="L482" s="32"/>
      <c r="M482" s="32"/>
      <c r="N482" s="48"/>
    </row>
    <row r="483">
      <c r="A483" s="32"/>
      <c r="B483" s="54"/>
      <c r="C483" s="32"/>
      <c r="D483" s="32"/>
      <c r="E483" s="32"/>
      <c r="F483" s="32"/>
      <c r="G483" s="32"/>
      <c r="H483" s="32"/>
      <c r="I483" s="32"/>
      <c r="J483" s="34"/>
      <c r="K483" s="32"/>
      <c r="L483" s="32"/>
      <c r="M483" s="32"/>
      <c r="N483" s="48"/>
    </row>
    <row r="484">
      <c r="A484" s="32"/>
      <c r="B484" s="54"/>
      <c r="C484" s="32"/>
      <c r="D484" s="32"/>
      <c r="E484" s="32"/>
      <c r="F484" s="32"/>
      <c r="G484" s="32"/>
      <c r="H484" s="32"/>
      <c r="I484" s="32"/>
      <c r="J484" s="34"/>
      <c r="K484" s="32"/>
      <c r="L484" s="32"/>
      <c r="M484" s="32"/>
      <c r="N484" s="48"/>
    </row>
    <row r="485">
      <c r="A485" s="32"/>
      <c r="B485" s="54"/>
      <c r="C485" s="32"/>
      <c r="D485" s="32"/>
      <c r="E485" s="32"/>
      <c r="F485" s="32"/>
      <c r="G485" s="32"/>
      <c r="H485" s="32"/>
      <c r="I485" s="32"/>
      <c r="J485" s="34"/>
      <c r="K485" s="32"/>
      <c r="L485" s="32"/>
      <c r="M485" s="32"/>
      <c r="N485" s="48"/>
    </row>
    <row r="486">
      <c r="A486" s="32"/>
      <c r="B486" s="54"/>
      <c r="C486" s="32"/>
      <c r="D486" s="32"/>
      <c r="E486" s="32"/>
      <c r="F486" s="32"/>
      <c r="G486" s="32"/>
      <c r="H486" s="32"/>
      <c r="I486" s="32"/>
      <c r="J486" s="34"/>
      <c r="K486" s="32"/>
      <c r="L486" s="32"/>
      <c r="M486" s="32"/>
      <c r="N486" s="48"/>
    </row>
    <row r="487">
      <c r="A487" s="32"/>
      <c r="B487" s="54"/>
      <c r="C487" s="32"/>
      <c r="D487" s="32"/>
      <c r="E487" s="32"/>
      <c r="F487" s="32"/>
      <c r="G487" s="32"/>
      <c r="H487" s="32"/>
      <c r="I487" s="32"/>
      <c r="J487" s="34"/>
      <c r="K487" s="32"/>
      <c r="L487" s="32"/>
      <c r="M487" s="32"/>
      <c r="N487" s="48"/>
    </row>
    <row r="488">
      <c r="A488" s="32"/>
      <c r="B488" s="54"/>
      <c r="C488" s="32"/>
      <c r="D488" s="32"/>
      <c r="E488" s="32"/>
      <c r="F488" s="32"/>
      <c r="G488" s="32"/>
      <c r="H488" s="32"/>
      <c r="I488" s="32"/>
      <c r="J488" s="34"/>
      <c r="K488" s="32"/>
      <c r="L488" s="32"/>
      <c r="M488" s="32"/>
      <c r="N488" s="48"/>
    </row>
    <row r="489">
      <c r="A489" s="32"/>
      <c r="B489" s="54"/>
      <c r="C489" s="32"/>
      <c r="D489" s="32"/>
      <c r="E489" s="32"/>
      <c r="F489" s="32"/>
      <c r="G489" s="32"/>
      <c r="H489" s="32"/>
      <c r="I489" s="32"/>
      <c r="J489" s="34"/>
      <c r="K489" s="32"/>
      <c r="L489" s="32"/>
      <c r="M489" s="32"/>
      <c r="N489" s="48"/>
    </row>
    <row r="490">
      <c r="A490" s="32"/>
      <c r="B490" s="54"/>
      <c r="C490" s="32"/>
      <c r="D490" s="32"/>
      <c r="E490" s="32"/>
      <c r="F490" s="32"/>
      <c r="G490" s="32"/>
      <c r="H490" s="32"/>
      <c r="I490" s="32"/>
      <c r="J490" s="34"/>
      <c r="K490" s="32"/>
      <c r="L490" s="32"/>
      <c r="M490" s="32"/>
      <c r="N490" s="48"/>
    </row>
    <row r="491">
      <c r="A491" s="32"/>
      <c r="B491" s="54"/>
      <c r="C491" s="32"/>
      <c r="D491" s="32"/>
      <c r="E491" s="32"/>
      <c r="F491" s="32"/>
      <c r="G491" s="32"/>
      <c r="H491" s="32"/>
      <c r="I491" s="32"/>
      <c r="J491" s="34"/>
      <c r="K491" s="32"/>
      <c r="L491" s="32"/>
      <c r="M491" s="32"/>
      <c r="N491" s="48"/>
    </row>
    <row r="492">
      <c r="A492" s="32"/>
      <c r="B492" s="54"/>
      <c r="C492" s="32"/>
      <c r="D492" s="32"/>
      <c r="E492" s="32"/>
      <c r="F492" s="32"/>
      <c r="G492" s="32"/>
      <c r="H492" s="32"/>
      <c r="I492" s="32"/>
      <c r="J492" s="34"/>
      <c r="K492" s="32"/>
      <c r="L492" s="32"/>
      <c r="M492" s="32"/>
      <c r="N492" s="48"/>
    </row>
    <row r="493">
      <c r="A493" s="32"/>
      <c r="B493" s="54"/>
      <c r="C493" s="32"/>
      <c r="D493" s="32"/>
      <c r="E493" s="32"/>
      <c r="F493" s="32"/>
      <c r="G493" s="32"/>
      <c r="H493" s="32"/>
      <c r="I493" s="32"/>
      <c r="J493" s="34"/>
      <c r="K493" s="32"/>
      <c r="L493" s="32"/>
      <c r="M493" s="32"/>
      <c r="N493" s="48"/>
    </row>
    <row r="494">
      <c r="A494" s="32"/>
      <c r="B494" s="54"/>
      <c r="C494" s="32"/>
      <c r="D494" s="32"/>
      <c r="E494" s="32"/>
      <c r="F494" s="32"/>
      <c r="G494" s="32"/>
      <c r="H494" s="32"/>
      <c r="I494" s="32"/>
      <c r="J494" s="34"/>
      <c r="K494" s="32"/>
      <c r="L494" s="32"/>
      <c r="M494" s="32"/>
      <c r="N494" s="48"/>
    </row>
    <row r="495">
      <c r="A495" s="32"/>
      <c r="B495" s="54"/>
      <c r="C495" s="32"/>
      <c r="D495" s="32"/>
      <c r="E495" s="32"/>
      <c r="F495" s="32"/>
      <c r="G495" s="32"/>
      <c r="H495" s="32"/>
      <c r="I495" s="32"/>
      <c r="J495" s="34"/>
      <c r="K495" s="32"/>
      <c r="L495" s="32"/>
      <c r="M495" s="32"/>
      <c r="N495" s="48"/>
    </row>
    <row r="496">
      <c r="A496" s="32"/>
      <c r="B496" s="54"/>
      <c r="C496" s="32"/>
      <c r="D496" s="32"/>
      <c r="E496" s="32"/>
      <c r="F496" s="32"/>
      <c r="G496" s="32"/>
      <c r="H496" s="32"/>
      <c r="I496" s="32"/>
      <c r="J496" s="34"/>
      <c r="K496" s="32"/>
      <c r="L496" s="32"/>
      <c r="M496" s="32"/>
      <c r="N496" s="48"/>
    </row>
    <row r="497">
      <c r="A497" s="32"/>
      <c r="B497" s="54"/>
      <c r="C497" s="32"/>
      <c r="D497" s="32"/>
      <c r="E497" s="32"/>
      <c r="F497" s="32"/>
      <c r="G497" s="32"/>
      <c r="H497" s="32"/>
      <c r="I497" s="32"/>
      <c r="J497" s="34"/>
      <c r="K497" s="32"/>
      <c r="L497" s="32"/>
      <c r="M497" s="32"/>
      <c r="N497" s="48"/>
    </row>
    <row r="498">
      <c r="A498" s="32"/>
      <c r="B498" s="54"/>
      <c r="C498" s="32"/>
      <c r="D498" s="32"/>
      <c r="E498" s="32"/>
      <c r="F498" s="32"/>
      <c r="G498" s="32"/>
      <c r="H498" s="32"/>
      <c r="I498" s="32"/>
      <c r="J498" s="34"/>
      <c r="K498" s="32"/>
      <c r="L498" s="32"/>
      <c r="M498" s="32"/>
      <c r="N498" s="48"/>
    </row>
    <row r="499">
      <c r="A499" s="32"/>
      <c r="B499" s="54"/>
      <c r="C499" s="32"/>
      <c r="D499" s="32"/>
      <c r="E499" s="32"/>
      <c r="F499" s="32"/>
      <c r="G499" s="32"/>
      <c r="H499" s="32"/>
      <c r="I499" s="32"/>
      <c r="J499" s="34"/>
      <c r="K499" s="32"/>
      <c r="L499" s="32"/>
      <c r="M499" s="32"/>
      <c r="N499" s="48"/>
    </row>
    <row r="500">
      <c r="A500" s="32"/>
      <c r="B500" s="54"/>
      <c r="C500" s="32"/>
      <c r="D500" s="32"/>
      <c r="E500" s="32"/>
      <c r="F500" s="32"/>
      <c r="G500" s="32"/>
      <c r="H500" s="32"/>
      <c r="I500" s="32"/>
      <c r="J500" s="34"/>
      <c r="K500" s="32"/>
      <c r="L500" s="32"/>
      <c r="M500" s="32"/>
      <c r="N500" s="48"/>
    </row>
    <row r="501">
      <c r="A501" s="32"/>
      <c r="B501" s="54"/>
      <c r="C501" s="32"/>
      <c r="D501" s="32"/>
      <c r="E501" s="32"/>
      <c r="F501" s="32"/>
      <c r="G501" s="32"/>
      <c r="H501" s="32"/>
      <c r="I501" s="32"/>
      <c r="J501" s="34"/>
      <c r="K501" s="32"/>
      <c r="L501" s="32"/>
      <c r="M501" s="32"/>
      <c r="N501" s="48"/>
    </row>
    <row r="502">
      <c r="A502" s="32"/>
      <c r="B502" s="54"/>
      <c r="C502" s="32"/>
      <c r="D502" s="32"/>
      <c r="E502" s="32"/>
      <c r="F502" s="32"/>
      <c r="G502" s="32"/>
      <c r="H502" s="32"/>
      <c r="I502" s="32"/>
      <c r="J502" s="34"/>
      <c r="K502" s="32"/>
      <c r="L502" s="32"/>
      <c r="M502" s="32"/>
      <c r="N502" s="48"/>
    </row>
    <row r="503">
      <c r="A503" s="32"/>
      <c r="B503" s="54"/>
      <c r="C503" s="32"/>
      <c r="D503" s="32"/>
      <c r="E503" s="32"/>
      <c r="F503" s="32"/>
      <c r="G503" s="32"/>
      <c r="H503" s="32"/>
      <c r="I503" s="32"/>
      <c r="J503" s="34"/>
      <c r="K503" s="32"/>
      <c r="L503" s="32"/>
      <c r="M503" s="32"/>
      <c r="N503" s="48"/>
    </row>
    <row r="504">
      <c r="A504" s="32"/>
      <c r="B504" s="54"/>
      <c r="C504" s="32"/>
      <c r="D504" s="32"/>
      <c r="E504" s="32"/>
      <c r="F504" s="32"/>
      <c r="G504" s="32"/>
      <c r="H504" s="32"/>
      <c r="I504" s="32"/>
      <c r="J504" s="34"/>
      <c r="K504" s="32"/>
      <c r="L504" s="32"/>
      <c r="M504" s="32"/>
      <c r="N504" s="48"/>
    </row>
    <row r="505">
      <c r="A505" s="32"/>
      <c r="B505" s="54"/>
      <c r="C505" s="32"/>
      <c r="D505" s="32"/>
      <c r="E505" s="32"/>
      <c r="F505" s="32"/>
      <c r="G505" s="32"/>
      <c r="H505" s="32"/>
      <c r="I505" s="32"/>
      <c r="J505" s="34"/>
      <c r="K505" s="32"/>
      <c r="L505" s="32"/>
      <c r="M505" s="32"/>
      <c r="N505" s="48"/>
    </row>
    <row r="506">
      <c r="A506" s="32"/>
      <c r="B506" s="54"/>
      <c r="C506" s="32"/>
      <c r="D506" s="32"/>
      <c r="E506" s="32"/>
      <c r="F506" s="32"/>
      <c r="G506" s="32"/>
      <c r="H506" s="32"/>
      <c r="I506" s="32"/>
      <c r="J506" s="34"/>
      <c r="K506" s="32"/>
      <c r="L506" s="32"/>
      <c r="M506" s="32"/>
      <c r="N506" s="48"/>
    </row>
    <row r="507">
      <c r="A507" s="32"/>
      <c r="B507" s="54"/>
      <c r="C507" s="32"/>
      <c r="D507" s="32"/>
      <c r="E507" s="32"/>
      <c r="F507" s="32"/>
      <c r="G507" s="32"/>
      <c r="H507" s="32"/>
      <c r="I507" s="32"/>
      <c r="J507" s="34"/>
      <c r="K507" s="32"/>
      <c r="L507" s="32"/>
      <c r="M507" s="32"/>
      <c r="N507" s="48"/>
    </row>
    <row r="508">
      <c r="A508" s="32"/>
      <c r="B508" s="54"/>
      <c r="C508" s="32"/>
      <c r="D508" s="32"/>
      <c r="E508" s="32"/>
      <c r="F508" s="32"/>
      <c r="G508" s="32"/>
      <c r="H508" s="32"/>
      <c r="I508" s="32"/>
      <c r="J508" s="34"/>
      <c r="K508" s="32"/>
      <c r="L508" s="32"/>
      <c r="M508" s="32"/>
      <c r="N508" s="48"/>
    </row>
    <row r="509">
      <c r="A509" s="32"/>
      <c r="B509" s="54"/>
      <c r="C509" s="32"/>
      <c r="D509" s="32"/>
      <c r="E509" s="32"/>
      <c r="F509" s="32"/>
      <c r="G509" s="32"/>
      <c r="H509" s="32"/>
      <c r="I509" s="32"/>
      <c r="J509" s="34"/>
      <c r="K509" s="32"/>
      <c r="L509" s="32"/>
      <c r="M509" s="32"/>
      <c r="N509" s="48"/>
    </row>
    <row r="510">
      <c r="A510" s="32"/>
      <c r="B510" s="54"/>
      <c r="C510" s="32"/>
      <c r="D510" s="32"/>
      <c r="E510" s="32"/>
      <c r="F510" s="32"/>
      <c r="G510" s="32"/>
      <c r="H510" s="32"/>
      <c r="I510" s="32"/>
      <c r="J510" s="34"/>
      <c r="K510" s="32"/>
      <c r="L510" s="32"/>
      <c r="M510" s="32"/>
      <c r="N510" s="48"/>
    </row>
    <row r="511">
      <c r="A511" s="32"/>
      <c r="B511" s="54"/>
      <c r="C511" s="32"/>
      <c r="D511" s="32"/>
      <c r="E511" s="32"/>
      <c r="F511" s="32"/>
      <c r="G511" s="32"/>
      <c r="H511" s="32"/>
      <c r="I511" s="32"/>
      <c r="J511" s="34"/>
      <c r="K511" s="32"/>
      <c r="L511" s="32"/>
      <c r="M511" s="32"/>
      <c r="N511" s="48"/>
    </row>
    <row r="512">
      <c r="A512" s="32"/>
      <c r="B512" s="54"/>
      <c r="C512" s="32"/>
      <c r="D512" s="32"/>
      <c r="E512" s="32"/>
      <c r="F512" s="32"/>
      <c r="G512" s="32"/>
      <c r="H512" s="32"/>
      <c r="I512" s="32"/>
      <c r="J512" s="34"/>
      <c r="K512" s="32"/>
      <c r="L512" s="32"/>
      <c r="M512" s="32"/>
      <c r="N512" s="48"/>
    </row>
    <row r="513">
      <c r="A513" s="32"/>
      <c r="B513" s="54"/>
      <c r="C513" s="32"/>
      <c r="D513" s="32"/>
      <c r="E513" s="32"/>
      <c r="F513" s="32"/>
      <c r="G513" s="32"/>
      <c r="H513" s="32"/>
      <c r="I513" s="32"/>
      <c r="J513" s="34"/>
      <c r="K513" s="32"/>
      <c r="L513" s="32"/>
      <c r="M513" s="32"/>
      <c r="N513" s="48"/>
    </row>
    <row r="514">
      <c r="A514" s="32"/>
      <c r="B514" s="54"/>
      <c r="C514" s="32"/>
      <c r="D514" s="32"/>
      <c r="E514" s="32"/>
      <c r="F514" s="32"/>
      <c r="G514" s="32"/>
      <c r="H514" s="32"/>
      <c r="I514" s="32"/>
      <c r="J514" s="34"/>
      <c r="K514" s="32"/>
      <c r="L514" s="32"/>
      <c r="M514" s="32"/>
      <c r="N514" s="48"/>
    </row>
    <row r="515">
      <c r="A515" s="32"/>
      <c r="B515" s="54"/>
      <c r="C515" s="32"/>
      <c r="D515" s="32"/>
      <c r="E515" s="32"/>
      <c r="F515" s="32"/>
      <c r="G515" s="32"/>
      <c r="H515" s="32"/>
      <c r="I515" s="32"/>
      <c r="J515" s="34"/>
      <c r="K515" s="32"/>
      <c r="L515" s="32"/>
      <c r="M515" s="32"/>
      <c r="N515" s="48"/>
    </row>
    <row r="516">
      <c r="A516" s="32"/>
      <c r="B516" s="54"/>
      <c r="C516" s="32"/>
      <c r="D516" s="32"/>
      <c r="E516" s="32"/>
      <c r="F516" s="32"/>
      <c r="G516" s="32"/>
      <c r="H516" s="32"/>
      <c r="I516" s="32"/>
      <c r="J516" s="34"/>
      <c r="K516" s="32"/>
      <c r="L516" s="32"/>
      <c r="M516" s="32"/>
      <c r="N516" s="48"/>
    </row>
    <row r="517">
      <c r="A517" s="32"/>
      <c r="B517" s="54"/>
      <c r="C517" s="32"/>
      <c r="D517" s="32"/>
      <c r="E517" s="32"/>
      <c r="F517" s="32"/>
      <c r="G517" s="32"/>
      <c r="H517" s="32"/>
      <c r="I517" s="32"/>
      <c r="J517" s="34"/>
      <c r="K517" s="32"/>
      <c r="L517" s="32"/>
      <c r="M517" s="32"/>
      <c r="N517" s="48"/>
    </row>
    <row r="518">
      <c r="A518" s="32"/>
      <c r="B518" s="54"/>
      <c r="C518" s="32"/>
      <c r="D518" s="32"/>
      <c r="E518" s="32"/>
      <c r="F518" s="32"/>
      <c r="G518" s="32"/>
      <c r="H518" s="32"/>
      <c r="I518" s="32"/>
      <c r="J518" s="34"/>
      <c r="K518" s="32"/>
      <c r="L518" s="32"/>
      <c r="M518" s="32"/>
      <c r="N518" s="48"/>
    </row>
    <row r="519">
      <c r="A519" s="32"/>
      <c r="B519" s="54"/>
      <c r="C519" s="32"/>
      <c r="D519" s="32"/>
      <c r="E519" s="32"/>
      <c r="F519" s="32"/>
      <c r="G519" s="32"/>
      <c r="H519" s="32"/>
      <c r="I519" s="32"/>
      <c r="J519" s="34"/>
      <c r="K519" s="32"/>
      <c r="L519" s="32"/>
      <c r="M519" s="32"/>
      <c r="N519" s="48"/>
    </row>
    <row r="520">
      <c r="A520" s="32"/>
      <c r="B520" s="54"/>
      <c r="C520" s="32"/>
      <c r="D520" s="32"/>
      <c r="E520" s="32"/>
      <c r="F520" s="32"/>
      <c r="G520" s="32"/>
      <c r="H520" s="32"/>
      <c r="I520" s="32"/>
      <c r="J520" s="34"/>
      <c r="K520" s="32"/>
      <c r="L520" s="32"/>
      <c r="M520" s="32"/>
      <c r="N520" s="48"/>
    </row>
    <row r="521">
      <c r="A521" s="32"/>
      <c r="B521" s="54"/>
      <c r="C521" s="32"/>
      <c r="D521" s="32"/>
      <c r="E521" s="32"/>
      <c r="F521" s="32"/>
      <c r="G521" s="32"/>
      <c r="H521" s="32"/>
      <c r="I521" s="32"/>
      <c r="J521" s="34"/>
      <c r="K521" s="32"/>
      <c r="L521" s="32"/>
      <c r="M521" s="32"/>
      <c r="N521" s="48"/>
    </row>
    <row r="522">
      <c r="A522" s="32"/>
      <c r="B522" s="54"/>
      <c r="C522" s="32"/>
      <c r="D522" s="32"/>
      <c r="E522" s="32"/>
      <c r="F522" s="32"/>
      <c r="G522" s="32"/>
      <c r="H522" s="32"/>
      <c r="I522" s="32"/>
      <c r="J522" s="34"/>
      <c r="K522" s="32"/>
      <c r="L522" s="32"/>
      <c r="M522" s="32"/>
      <c r="N522" s="48"/>
    </row>
    <row r="523">
      <c r="A523" s="32"/>
      <c r="B523" s="54"/>
      <c r="C523" s="32"/>
      <c r="D523" s="32"/>
      <c r="E523" s="32"/>
      <c r="F523" s="32"/>
      <c r="G523" s="32"/>
      <c r="H523" s="32"/>
      <c r="I523" s="32"/>
      <c r="J523" s="34"/>
      <c r="K523" s="32"/>
      <c r="L523" s="32"/>
      <c r="M523" s="32"/>
      <c r="N523" s="48"/>
    </row>
    <row r="524">
      <c r="A524" s="32"/>
      <c r="B524" s="54"/>
      <c r="C524" s="32"/>
      <c r="D524" s="32"/>
      <c r="E524" s="32"/>
      <c r="F524" s="32"/>
      <c r="G524" s="32"/>
      <c r="H524" s="32"/>
      <c r="I524" s="32"/>
      <c r="J524" s="34"/>
      <c r="K524" s="32"/>
      <c r="L524" s="32"/>
      <c r="M524" s="32"/>
      <c r="N524" s="48"/>
    </row>
    <row r="525">
      <c r="A525" s="32"/>
      <c r="B525" s="54"/>
      <c r="C525" s="32"/>
      <c r="D525" s="32"/>
      <c r="E525" s="32"/>
      <c r="F525" s="32"/>
      <c r="G525" s="32"/>
      <c r="H525" s="32"/>
      <c r="I525" s="32"/>
      <c r="J525" s="34"/>
      <c r="K525" s="32"/>
      <c r="L525" s="32"/>
      <c r="M525" s="32"/>
      <c r="N525" s="48"/>
    </row>
    <row r="526">
      <c r="A526" s="32"/>
      <c r="B526" s="54"/>
      <c r="C526" s="32"/>
      <c r="D526" s="32"/>
      <c r="E526" s="32"/>
      <c r="F526" s="32"/>
      <c r="G526" s="32"/>
      <c r="H526" s="32"/>
      <c r="I526" s="32"/>
      <c r="J526" s="34"/>
      <c r="K526" s="32"/>
      <c r="L526" s="32"/>
      <c r="M526" s="32"/>
      <c r="N526" s="48"/>
    </row>
    <row r="527">
      <c r="A527" s="32"/>
      <c r="B527" s="54"/>
      <c r="C527" s="32"/>
      <c r="D527" s="32"/>
      <c r="E527" s="32"/>
      <c r="F527" s="32"/>
      <c r="G527" s="32"/>
      <c r="H527" s="32"/>
      <c r="I527" s="32"/>
      <c r="J527" s="34"/>
      <c r="K527" s="32"/>
      <c r="L527" s="32"/>
      <c r="M527" s="32"/>
      <c r="N527" s="48"/>
    </row>
    <row r="528">
      <c r="A528" s="32"/>
      <c r="B528" s="54"/>
      <c r="C528" s="32"/>
      <c r="D528" s="32"/>
      <c r="E528" s="32"/>
      <c r="F528" s="32"/>
      <c r="G528" s="32"/>
      <c r="H528" s="32"/>
      <c r="I528" s="32"/>
      <c r="J528" s="34"/>
      <c r="K528" s="32"/>
      <c r="L528" s="32"/>
      <c r="M528" s="32"/>
      <c r="N528" s="48"/>
    </row>
    <row r="529">
      <c r="A529" s="32"/>
      <c r="B529" s="54"/>
      <c r="C529" s="32"/>
      <c r="D529" s="32"/>
      <c r="E529" s="32"/>
      <c r="F529" s="32"/>
      <c r="G529" s="32"/>
      <c r="H529" s="32"/>
      <c r="I529" s="32"/>
      <c r="J529" s="34"/>
      <c r="K529" s="32"/>
      <c r="L529" s="32"/>
      <c r="M529" s="32"/>
      <c r="N529" s="48"/>
    </row>
    <row r="530">
      <c r="A530" s="32"/>
      <c r="B530" s="54"/>
      <c r="C530" s="32"/>
      <c r="D530" s="32"/>
      <c r="E530" s="32"/>
      <c r="F530" s="32"/>
      <c r="G530" s="32"/>
      <c r="H530" s="32"/>
      <c r="I530" s="32"/>
      <c r="J530" s="34"/>
      <c r="K530" s="32"/>
      <c r="L530" s="32"/>
      <c r="M530" s="32"/>
      <c r="N530" s="48"/>
    </row>
    <row r="531">
      <c r="A531" s="32"/>
      <c r="B531" s="54"/>
      <c r="C531" s="32"/>
      <c r="D531" s="32"/>
      <c r="E531" s="32"/>
      <c r="F531" s="32"/>
      <c r="G531" s="32"/>
      <c r="H531" s="32"/>
      <c r="I531" s="32"/>
      <c r="J531" s="34"/>
      <c r="K531" s="32"/>
      <c r="L531" s="32"/>
      <c r="M531" s="32"/>
      <c r="N531" s="48"/>
    </row>
    <row r="532">
      <c r="A532" s="32"/>
      <c r="B532" s="54"/>
      <c r="C532" s="32"/>
      <c r="D532" s="32"/>
      <c r="E532" s="32"/>
      <c r="F532" s="32"/>
      <c r="G532" s="32"/>
      <c r="H532" s="32"/>
      <c r="I532" s="32"/>
      <c r="J532" s="34"/>
      <c r="K532" s="32"/>
      <c r="L532" s="32"/>
      <c r="M532" s="32"/>
      <c r="N532" s="48"/>
    </row>
    <row r="533">
      <c r="A533" s="32"/>
      <c r="B533" s="54"/>
      <c r="C533" s="32"/>
      <c r="D533" s="32"/>
      <c r="E533" s="32"/>
      <c r="F533" s="32"/>
      <c r="G533" s="32"/>
      <c r="H533" s="32"/>
      <c r="I533" s="32"/>
      <c r="J533" s="34"/>
      <c r="K533" s="32"/>
      <c r="L533" s="32"/>
      <c r="M533" s="32"/>
      <c r="N533" s="48"/>
    </row>
    <row r="534">
      <c r="A534" s="32"/>
      <c r="B534" s="54"/>
      <c r="C534" s="32"/>
      <c r="D534" s="32"/>
      <c r="E534" s="32"/>
      <c r="F534" s="32"/>
      <c r="G534" s="32"/>
      <c r="H534" s="32"/>
      <c r="I534" s="32"/>
      <c r="J534" s="34"/>
      <c r="K534" s="32"/>
      <c r="L534" s="32"/>
      <c r="M534" s="32"/>
      <c r="N534" s="48"/>
    </row>
    <row r="535">
      <c r="A535" s="32"/>
      <c r="B535" s="54"/>
      <c r="C535" s="32"/>
      <c r="D535" s="32"/>
      <c r="E535" s="32"/>
      <c r="F535" s="32"/>
      <c r="G535" s="32"/>
      <c r="H535" s="32"/>
      <c r="I535" s="32"/>
      <c r="J535" s="34"/>
      <c r="K535" s="32"/>
      <c r="L535" s="32"/>
      <c r="M535" s="32"/>
      <c r="N535" s="48"/>
    </row>
    <row r="536">
      <c r="A536" s="32"/>
      <c r="B536" s="54"/>
      <c r="C536" s="32"/>
      <c r="D536" s="32"/>
      <c r="E536" s="32"/>
      <c r="F536" s="32"/>
      <c r="G536" s="32"/>
      <c r="H536" s="32"/>
      <c r="I536" s="32"/>
      <c r="J536" s="34"/>
      <c r="K536" s="32"/>
      <c r="L536" s="32"/>
      <c r="M536" s="32"/>
      <c r="N536" s="48"/>
    </row>
    <row r="537">
      <c r="A537" s="32"/>
      <c r="B537" s="54"/>
      <c r="C537" s="32"/>
      <c r="D537" s="32"/>
      <c r="E537" s="32"/>
      <c r="F537" s="32"/>
      <c r="G537" s="32"/>
      <c r="H537" s="32"/>
      <c r="I537" s="32"/>
      <c r="J537" s="34"/>
      <c r="K537" s="32"/>
      <c r="L537" s="32"/>
      <c r="M537" s="32"/>
      <c r="N537" s="48"/>
    </row>
    <row r="538">
      <c r="A538" s="32"/>
      <c r="B538" s="54"/>
      <c r="C538" s="32"/>
      <c r="D538" s="32"/>
      <c r="E538" s="32"/>
      <c r="F538" s="32"/>
      <c r="G538" s="32"/>
      <c r="H538" s="32"/>
      <c r="I538" s="32"/>
      <c r="J538" s="34"/>
      <c r="K538" s="32"/>
      <c r="L538" s="32"/>
      <c r="M538" s="32"/>
      <c r="N538" s="48"/>
    </row>
    <row r="539">
      <c r="A539" s="32"/>
      <c r="B539" s="54"/>
      <c r="C539" s="32"/>
      <c r="D539" s="32"/>
      <c r="E539" s="32"/>
      <c r="F539" s="32"/>
      <c r="G539" s="32"/>
      <c r="H539" s="32"/>
      <c r="I539" s="32"/>
      <c r="J539" s="34"/>
      <c r="K539" s="32"/>
      <c r="L539" s="32"/>
      <c r="M539" s="32"/>
      <c r="N539" s="48"/>
    </row>
    <row r="540">
      <c r="A540" s="32"/>
      <c r="B540" s="54"/>
      <c r="C540" s="32"/>
      <c r="D540" s="32"/>
      <c r="E540" s="32"/>
      <c r="F540" s="32"/>
      <c r="G540" s="32"/>
      <c r="H540" s="32"/>
      <c r="I540" s="32"/>
      <c r="J540" s="34"/>
      <c r="K540" s="32"/>
      <c r="L540" s="32"/>
      <c r="M540" s="32"/>
      <c r="N540" s="48"/>
    </row>
    <row r="541">
      <c r="A541" s="32"/>
      <c r="B541" s="54"/>
      <c r="C541" s="32"/>
      <c r="D541" s="32"/>
      <c r="E541" s="32"/>
      <c r="F541" s="32"/>
      <c r="G541" s="32"/>
      <c r="H541" s="32"/>
      <c r="I541" s="32"/>
      <c r="J541" s="34"/>
      <c r="K541" s="32"/>
      <c r="L541" s="32"/>
      <c r="M541" s="32"/>
      <c r="N541" s="48"/>
    </row>
    <row r="542">
      <c r="A542" s="32"/>
      <c r="B542" s="54"/>
      <c r="C542" s="32"/>
      <c r="D542" s="32"/>
      <c r="E542" s="32"/>
      <c r="F542" s="32"/>
      <c r="G542" s="32"/>
      <c r="H542" s="32"/>
      <c r="I542" s="32"/>
      <c r="J542" s="34"/>
      <c r="K542" s="32"/>
      <c r="L542" s="32"/>
      <c r="M542" s="32"/>
      <c r="N542" s="48"/>
    </row>
    <row r="543">
      <c r="A543" s="32"/>
      <c r="B543" s="54"/>
      <c r="C543" s="32"/>
      <c r="D543" s="32"/>
      <c r="E543" s="32"/>
      <c r="F543" s="32"/>
      <c r="G543" s="32"/>
      <c r="H543" s="32"/>
      <c r="I543" s="32"/>
      <c r="J543" s="34"/>
      <c r="K543" s="32"/>
      <c r="L543" s="32"/>
      <c r="M543" s="32"/>
      <c r="N543" s="48"/>
    </row>
    <row r="544">
      <c r="A544" s="32"/>
      <c r="B544" s="54"/>
      <c r="C544" s="32"/>
      <c r="D544" s="32"/>
      <c r="E544" s="32"/>
      <c r="F544" s="32"/>
      <c r="G544" s="32"/>
      <c r="H544" s="32"/>
      <c r="I544" s="32"/>
      <c r="J544" s="34"/>
      <c r="K544" s="32"/>
      <c r="L544" s="32"/>
      <c r="M544" s="32"/>
      <c r="N544" s="48"/>
    </row>
    <row r="545">
      <c r="A545" s="32"/>
      <c r="B545" s="54"/>
      <c r="C545" s="32"/>
      <c r="D545" s="32"/>
      <c r="E545" s="32"/>
      <c r="F545" s="32"/>
      <c r="G545" s="32"/>
      <c r="H545" s="32"/>
      <c r="I545" s="32"/>
      <c r="J545" s="34"/>
      <c r="K545" s="32"/>
      <c r="L545" s="32"/>
      <c r="M545" s="32"/>
      <c r="N545" s="48"/>
    </row>
    <row r="546">
      <c r="A546" s="32"/>
      <c r="B546" s="54"/>
      <c r="C546" s="32"/>
      <c r="D546" s="32"/>
      <c r="E546" s="32"/>
      <c r="F546" s="32"/>
      <c r="G546" s="32"/>
      <c r="H546" s="32"/>
      <c r="I546" s="32"/>
      <c r="J546" s="34"/>
      <c r="K546" s="32"/>
      <c r="L546" s="32"/>
      <c r="M546" s="32"/>
      <c r="N546" s="48"/>
    </row>
    <row r="547">
      <c r="A547" s="32"/>
      <c r="B547" s="54"/>
      <c r="C547" s="32"/>
      <c r="D547" s="32"/>
      <c r="E547" s="32"/>
      <c r="F547" s="32"/>
      <c r="G547" s="32"/>
      <c r="H547" s="32"/>
      <c r="I547" s="32"/>
      <c r="J547" s="34"/>
      <c r="K547" s="32"/>
      <c r="L547" s="32"/>
      <c r="M547" s="32"/>
      <c r="N547" s="48"/>
    </row>
    <row r="548">
      <c r="A548" s="32"/>
      <c r="B548" s="54"/>
      <c r="C548" s="32"/>
      <c r="D548" s="32"/>
      <c r="E548" s="32"/>
      <c r="F548" s="32"/>
      <c r="G548" s="32"/>
      <c r="H548" s="32"/>
      <c r="I548" s="32"/>
      <c r="J548" s="34"/>
      <c r="K548" s="32"/>
      <c r="L548" s="32"/>
      <c r="M548" s="32"/>
      <c r="N548" s="48"/>
    </row>
    <row r="549">
      <c r="A549" s="32"/>
      <c r="B549" s="54"/>
      <c r="C549" s="32"/>
      <c r="D549" s="32"/>
      <c r="E549" s="32"/>
      <c r="F549" s="32"/>
      <c r="G549" s="32"/>
      <c r="H549" s="32"/>
      <c r="I549" s="32"/>
      <c r="J549" s="34"/>
      <c r="K549" s="32"/>
      <c r="L549" s="32"/>
      <c r="M549" s="32"/>
      <c r="N549" s="48"/>
    </row>
    <row r="550">
      <c r="A550" s="32"/>
      <c r="B550" s="54"/>
      <c r="C550" s="32"/>
      <c r="D550" s="32"/>
      <c r="E550" s="32"/>
      <c r="F550" s="32"/>
      <c r="G550" s="32"/>
      <c r="H550" s="32"/>
      <c r="I550" s="32"/>
      <c r="J550" s="34"/>
      <c r="K550" s="32"/>
      <c r="L550" s="32"/>
      <c r="M550" s="32"/>
      <c r="N550" s="48"/>
    </row>
    <row r="551">
      <c r="A551" s="32"/>
      <c r="B551" s="54"/>
      <c r="C551" s="32"/>
      <c r="D551" s="32"/>
      <c r="E551" s="32"/>
      <c r="F551" s="32"/>
      <c r="G551" s="32"/>
      <c r="H551" s="32"/>
      <c r="I551" s="32"/>
      <c r="J551" s="34"/>
      <c r="K551" s="32"/>
      <c r="L551" s="32"/>
      <c r="M551" s="32"/>
      <c r="N551" s="48"/>
    </row>
    <row r="552">
      <c r="A552" s="32"/>
      <c r="B552" s="54"/>
      <c r="C552" s="32"/>
      <c r="D552" s="32"/>
      <c r="E552" s="32"/>
      <c r="F552" s="32"/>
      <c r="G552" s="32"/>
      <c r="H552" s="32"/>
      <c r="I552" s="32"/>
      <c r="J552" s="34"/>
      <c r="K552" s="32"/>
      <c r="L552" s="32"/>
      <c r="M552" s="32"/>
      <c r="N552" s="48"/>
    </row>
    <row r="553">
      <c r="A553" s="32"/>
      <c r="B553" s="54"/>
      <c r="C553" s="32"/>
      <c r="D553" s="32"/>
      <c r="E553" s="32"/>
      <c r="F553" s="32"/>
      <c r="G553" s="32"/>
      <c r="H553" s="32"/>
      <c r="I553" s="32"/>
      <c r="J553" s="34"/>
      <c r="K553" s="32"/>
      <c r="L553" s="32"/>
      <c r="M553" s="32"/>
      <c r="N553" s="48"/>
    </row>
    <row r="554">
      <c r="A554" s="32"/>
      <c r="B554" s="54"/>
      <c r="C554" s="32"/>
      <c r="D554" s="32"/>
      <c r="E554" s="32"/>
      <c r="F554" s="32"/>
      <c r="G554" s="32"/>
      <c r="H554" s="32"/>
      <c r="I554" s="32"/>
      <c r="J554" s="34"/>
      <c r="K554" s="32"/>
      <c r="L554" s="32"/>
      <c r="M554" s="32"/>
      <c r="N554" s="48"/>
    </row>
    <row r="555">
      <c r="A555" s="32"/>
      <c r="B555" s="54"/>
      <c r="C555" s="32"/>
      <c r="D555" s="32"/>
      <c r="E555" s="32"/>
      <c r="F555" s="32"/>
      <c r="G555" s="32"/>
      <c r="H555" s="32"/>
      <c r="I555" s="32"/>
      <c r="J555" s="34"/>
      <c r="K555" s="32"/>
      <c r="L555" s="32"/>
      <c r="M555" s="32"/>
      <c r="N555" s="48"/>
    </row>
    <row r="556">
      <c r="A556" s="32"/>
      <c r="B556" s="54"/>
      <c r="C556" s="32"/>
      <c r="D556" s="32"/>
      <c r="E556" s="32"/>
      <c r="F556" s="32"/>
      <c r="G556" s="32"/>
      <c r="H556" s="32"/>
      <c r="I556" s="32"/>
      <c r="J556" s="34"/>
      <c r="K556" s="32"/>
      <c r="L556" s="32"/>
      <c r="M556" s="32"/>
      <c r="N556" s="48"/>
    </row>
    <row r="557">
      <c r="A557" s="32"/>
      <c r="B557" s="54"/>
      <c r="C557" s="32"/>
      <c r="D557" s="32"/>
      <c r="E557" s="32"/>
      <c r="F557" s="32"/>
      <c r="G557" s="32"/>
      <c r="H557" s="32"/>
      <c r="I557" s="32"/>
      <c r="J557" s="34"/>
      <c r="K557" s="32"/>
      <c r="L557" s="32"/>
      <c r="M557" s="32"/>
      <c r="N557" s="48"/>
    </row>
    <row r="558">
      <c r="A558" s="32"/>
      <c r="B558" s="54"/>
      <c r="C558" s="32"/>
      <c r="D558" s="32"/>
      <c r="E558" s="32"/>
      <c r="F558" s="32"/>
      <c r="G558" s="32"/>
      <c r="H558" s="32"/>
      <c r="I558" s="32"/>
      <c r="J558" s="34"/>
      <c r="K558" s="32"/>
      <c r="L558" s="32"/>
      <c r="M558" s="32"/>
      <c r="N558" s="48"/>
    </row>
    <row r="559">
      <c r="A559" s="32"/>
      <c r="B559" s="54"/>
      <c r="C559" s="32"/>
      <c r="D559" s="32"/>
      <c r="E559" s="32"/>
      <c r="F559" s="32"/>
      <c r="G559" s="32"/>
      <c r="H559" s="32"/>
      <c r="I559" s="32"/>
      <c r="J559" s="34"/>
      <c r="K559" s="32"/>
      <c r="L559" s="32"/>
      <c r="M559" s="32"/>
      <c r="N559" s="48"/>
    </row>
    <row r="560">
      <c r="A560" s="32"/>
      <c r="B560" s="54"/>
      <c r="C560" s="32"/>
      <c r="D560" s="32"/>
      <c r="E560" s="32"/>
      <c r="F560" s="32"/>
      <c r="G560" s="32"/>
      <c r="H560" s="32"/>
      <c r="I560" s="32"/>
      <c r="J560" s="34"/>
      <c r="K560" s="32"/>
      <c r="L560" s="32"/>
      <c r="M560" s="32"/>
      <c r="N560" s="48"/>
    </row>
    <row r="561">
      <c r="A561" s="32"/>
      <c r="B561" s="54"/>
      <c r="C561" s="32"/>
      <c r="D561" s="32"/>
      <c r="E561" s="32"/>
      <c r="F561" s="32"/>
      <c r="G561" s="32"/>
      <c r="H561" s="32"/>
      <c r="I561" s="32"/>
      <c r="J561" s="34"/>
      <c r="K561" s="32"/>
      <c r="L561" s="32"/>
      <c r="M561" s="32"/>
      <c r="N561" s="48"/>
    </row>
    <row r="562">
      <c r="A562" s="32"/>
      <c r="B562" s="54"/>
      <c r="C562" s="32"/>
      <c r="D562" s="32"/>
      <c r="E562" s="32"/>
      <c r="F562" s="32"/>
      <c r="G562" s="32"/>
      <c r="H562" s="32"/>
      <c r="I562" s="32"/>
      <c r="J562" s="34"/>
      <c r="K562" s="32"/>
      <c r="L562" s="32"/>
      <c r="M562" s="32"/>
      <c r="N562" s="48"/>
    </row>
    <row r="563">
      <c r="A563" s="32"/>
      <c r="B563" s="54"/>
      <c r="C563" s="32"/>
      <c r="D563" s="32"/>
      <c r="E563" s="32"/>
      <c r="F563" s="32"/>
      <c r="G563" s="32"/>
      <c r="H563" s="32"/>
      <c r="I563" s="32"/>
      <c r="J563" s="34"/>
      <c r="K563" s="32"/>
      <c r="L563" s="32"/>
      <c r="M563" s="32"/>
      <c r="N563" s="48"/>
    </row>
    <row r="564">
      <c r="A564" s="32"/>
      <c r="B564" s="54"/>
      <c r="C564" s="32"/>
      <c r="D564" s="32"/>
      <c r="E564" s="32"/>
      <c r="F564" s="32"/>
      <c r="G564" s="32"/>
      <c r="H564" s="32"/>
      <c r="I564" s="32"/>
      <c r="J564" s="34"/>
      <c r="K564" s="32"/>
      <c r="L564" s="32"/>
      <c r="M564" s="32"/>
      <c r="N564" s="48"/>
    </row>
    <row r="565">
      <c r="A565" s="32"/>
      <c r="B565" s="54"/>
      <c r="C565" s="32"/>
      <c r="D565" s="32"/>
      <c r="E565" s="32"/>
      <c r="F565" s="32"/>
      <c r="G565" s="32"/>
      <c r="H565" s="32"/>
      <c r="I565" s="32"/>
      <c r="J565" s="34"/>
      <c r="K565" s="32"/>
      <c r="L565" s="32"/>
      <c r="M565" s="32"/>
      <c r="N565" s="48"/>
    </row>
    <row r="566">
      <c r="A566" s="32"/>
      <c r="B566" s="54"/>
      <c r="C566" s="32"/>
      <c r="D566" s="32"/>
      <c r="E566" s="32"/>
      <c r="F566" s="32"/>
      <c r="G566" s="32"/>
      <c r="H566" s="32"/>
      <c r="I566" s="32"/>
      <c r="J566" s="34"/>
      <c r="K566" s="32"/>
      <c r="L566" s="32"/>
      <c r="M566" s="32"/>
      <c r="N566" s="48"/>
    </row>
    <row r="567">
      <c r="A567" s="32"/>
      <c r="B567" s="54"/>
      <c r="C567" s="32"/>
      <c r="D567" s="32"/>
      <c r="E567" s="32"/>
      <c r="F567" s="32"/>
      <c r="G567" s="32"/>
      <c r="H567" s="32"/>
      <c r="I567" s="32"/>
      <c r="J567" s="34"/>
      <c r="K567" s="32"/>
      <c r="L567" s="32"/>
      <c r="M567" s="32"/>
      <c r="N567" s="48"/>
    </row>
    <row r="568">
      <c r="A568" s="32"/>
      <c r="B568" s="54"/>
      <c r="C568" s="32"/>
      <c r="D568" s="32"/>
      <c r="E568" s="32"/>
      <c r="F568" s="32"/>
      <c r="G568" s="32"/>
      <c r="H568" s="32"/>
      <c r="I568" s="32"/>
      <c r="J568" s="34"/>
      <c r="K568" s="32"/>
      <c r="L568" s="32"/>
      <c r="M568" s="32"/>
      <c r="N568" s="48"/>
    </row>
    <row r="569">
      <c r="A569" s="32"/>
      <c r="B569" s="54"/>
      <c r="C569" s="32"/>
      <c r="D569" s="32"/>
      <c r="E569" s="32"/>
      <c r="F569" s="32"/>
      <c r="G569" s="32"/>
      <c r="H569" s="32"/>
      <c r="I569" s="32"/>
      <c r="J569" s="34"/>
      <c r="K569" s="32"/>
      <c r="L569" s="32"/>
      <c r="M569" s="32"/>
      <c r="N569" s="48"/>
    </row>
    <row r="570">
      <c r="A570" s="32"/>
      <c r="B570" s="54"/>
      <c r="C570" s="32"/>
      <c r="D570" s="32"/>
      <c r="E570" s="32"/>
      <c r="F570" s="32"/>
      <c r="G570" s="32"/>
      <c r="H570" s="32"/>
      <c r="I570" s="32"/>
      <c r="J570" s="34"/>
      <c r="K570" s="32"/>
      <c r="L570" s="32"/>
      <c r="M570" s="32"/>
      <c r="N570" s="48"/>
    </row>
    <row r="571">
      <c r="A571" s="32"/>
      <c r="B571" s="54"/>
      <c r="C571" s="32"/>
      <c r="D571" s="32"/>
      <c r="E571" s="32"/>
      <c r="F571" s="32"/>
      <c r="G571" s="32"/>
      <c r="H571" s="32"/>
      <c r="I571" s="32"/>
      <c r="J571" s="34"/>
      <c r="K571" s="32"/>
      <c r="L571" s="32"/>
      <c r="M571" s="32"/>
      <c r="N571" s="48"/>
    </row>
    <row r="572">
      <c r="A572" s="32"/>
      <c r="B572" s="54"/>
      <c r="C572" s="32"/>
      <c r="D572" s="32"/>
      <c r="E572" s="32"/>
      <c r="F572" s="32"/>
      <c r="G572" s="32"/>
      <c r="H572" s="32"/>
      <c r="I572" s="32"/>
      <c r="J572" s="34"/>
      <c r="K572" s="32"/>
      <c r="L572" s="32"/>
      <c r="M572" s="32"/>
      <c r="N572" s="48"/>
    </row>
    <row r="573">
      <c r="A573" s="32"/>
      <c r="B573" s="54"/>
      <c r="C573" s="32"/>
      <c r="D573" s="32"/>
      <c r="E573" s="32"/>
      <c r="F573" s="32"/>
      <c r="G573" s="32"/>
      <c r="H573" s="32"/>
      <c r="I573" s="32"/>
      <c r="J573" s="34"/>
      <c r="K573" s="32"/>
      <c r="L573" s="32"/>
      <c r="M573" s="32"/>
      <c r="N573" s="48"/>
    </row>
    <row r="574">
      <c r="A574" s="32"/>
      <c r="B574" s="54"/>
      <c r="C574" s="32"/>
      <c r="D574" s="32"/>
      <c r="E574" s="32"/>
      <c r="F574" s="32"/>
      <c r="G574" s="32"/>
      <c r="H574" s="32"/>
      <c r="I574" s="32"/>
      <c r="J574" s="34"/>
      <c r="K574" s="32"/>
      <c r="L574" s="32"/>
      <c r="M574" s="32"/>
      <c r="N574" s="48"/>
    </row>
    <row r="575">
      <c r="A575" s="32"/>
      <c r="B575" s="54"/>
      <c r="C575" s="32"/>
      <c r="D575" s="32"/>
      <c r="E575" s="32"/>
      <c r="F575" s="32"/>
      <c r="G575" s="32"/>
      <c r="H575" s="32"/>
      <c r="I575" s="32"/>
      <c r="J575" s="34"/>
      <c r="K575" s="32"/>
      <c r="L575" s="32"/>
      <c r="M575" s="32"/>
      <c r="N575" s="48"/>
    </row>
    <row r="576">
      <c r="A576" s="32"/>
      <c r="B576" s="54"/>
      <c r="C576" s="32"/>
      <c r="D576" s="32"/>
      <c r="E576" s="32"/>
      <c r="F576" s="32"/>
      <c r="G576" s="32"/>
      <c r="H576" s="32"/>
      <c r="I576" s="32"/>
      <c r="J576" s="34"/>
      <c r="K576" s="32"/>
      <c r="L576" s="32"/>
      <c r="M576" s="32"/>
      <c r="N576" s="48"/>
    </row>
    <row r="577">
      <c r="A577" s="32"/>
      <c r="B577" s="54"/>
      <c r="C577" s="32"/>
      <c r="D577" s="32"/>
      <c r="E577" s="32"/>
      <c r="F577" s="32"/>
      <c r="G577" s="32"/>
      <c r="H577" s="32"/>
      <c r="I577" s="32"/>
      <c r="J577" s="34"/>
      <c r="K577" s="32"/>
      <c r="L577" s="32"/>
      <c r="M577" s="32"/>
      <c r="N577" s="48"/>
    </row>
    <row r="578">
      <c r="A578" s="32"/>
      <c r="B578" s="54"/>
      <c r="C578" s="32"/>
      <c r="D578" s="32"/>
      <c r="E578" s="32"/>
      <c r="F578" s="32"/>
      <c r="G578" s="32"/>
      <c r="H578" s="32"/>
      <c r="I578" s="32"/>
      <c r="J578" s="34"/>
      <c r="K578" s="32"/>
      <c r="L578" s="32"/>
      <c r="M578" s="32"/>
      <c r="N578" s="48"/>
    </row>
    <row r="579">
      <c r="A579" s="32"/>
      <c r="B579" s="54"/>
      <c r="C579" s="32"/>
      <c r="D579" s="32"/>
      <c r="E579" s="32"/>
      <c r="F579" s="32"/>
      <c r="G579" s="32"/>
      <c r="H579" s="32"/>
      <c r="I579" s="32"/>
      <c r="J579" s="34"/>
      <c r="K579" s="32"/>
      <c r="L579" s="32"/>
      <c r="M579" s="32"/>
      <c r="N579" s="48"/>
    </row>
    <row r="580">
      <c r="A580" s="32"/>
      <c r="B580" s="54"/>
      <c r="C580" s="32"/>
      <c r="D580" s="32"/>
      <c r="E580" s="32"/>
      <c r="F580" s="32"/>
      <c r="G580" s="32"/>
      <c r="H580" s="32"/>
      <c r="I580" s="32"/>
      <c r="J580" s="34"/>
      <c r="K580" s="32"/>
      <c r="L580" s="32"/>
      <c r="M580" s="32"/>
      <c r="N580" s="48"/>
    </row>
    <row r="581">
      <c r="A581" s="32"/>
      <c r="B581" s="54"/>
      <c r="C581" s="32"/>
      <c r="D581" s="32"/>
      <c r="E581" s="32"/>
      <c r="F581" s="32"/>
      <c r="G581" s="32"/>
      <c r="H581" s="32"/>
      <c r="I581" s="32"/>
      <c r="J581" s="34"/>
      <c r="K581" s="32"/>
      <c r="L581" s="32"/>
      <c r="M581" s="32"/>
      <c r="N581" s="48"/>
    </row>
    <row r="582">
      <c r="A582" s="32"/>
      <c r="B582" s="54"/>
      <c r="C582" s="32"/>
      <c r="D582" s="32"/>
      <c r="E582" s="32"/>
      <c r="F582" s="32"/>
      <c r="G582" s="32"/>
      <c r="H582" s="32"/>
      <c r="I582" s="32"/>
      <c r="J582" s="34"/>
      <c r="K582" s="32"/>
      <c r="L582" s="32"/>
      <c r="M582" s="32"/>
      <c r="N582" s="48"/>
    </row>
    <row r="583">
      <c r="A583" s="32"/>
      <c r="B583" s="54"/>
      <c r="C583" s="32"/>
      <c r="D583" s="32"/>
      <c r="E583" s="32"/>
      <c r="F583" s="32"/>
      <c r="G583" s="32"/>
      <c r="H583" s="32"/>
      <c r="I583" s="32"/>
      <c r="J583" s="34"/>
      <c r="K583" s="32"/>
      <c r="L583" s="32"/>
      <c r="M583" s="32"/>
      <c r="N583" s="48"/>
    </row>
    <row r="584">
      <c r="A584" s="32"/>
      <c r="B584" s="54"/>
      <c r="C584" s="32"/>
      <c r="D584" s="32"/>
      <c r="E584" s="32"/>
      <c r="F584" s="32"/>
      <c r="G584" s="32"/>
      <c r="H584" s="32"/>
      <c r="I584" s="32"/>
      <c r="J584" s="34"/>
      <c r="K584" s="32"/>
      <c r="L584" s="32"/>
      <c r="M584" s="32"/>
      <c r="N584" s="48"/>
    </row>
    <row r="585">
      <c r="A585" s="32"/>
      <c r="B585" s="54"/>
      <c r="C585" s="32"/>
      <c r="D585" s="32"/>
      <c r="E585" s="32"/>
      <c r="F585" s="32"/>
      <c r="G585" s="32"/>
      <c r="H585" s="32"/>
      <c r="I585" s="32"/>
      <c r="J585" s="34"/>
      <c r="K585" s="32"/>
      <c r="L585" s="32"/>
      <c r="M585" s="32"/>
      <c r="N585" s="48"/>
    </row>
    <row r="586">
      <c r="A586" s="32"/>
      <c r="B586" s="54"/>
      <c r="C586" s="32"/>
      <c r="D586" s="32"/>
      <c r="E586" s="32"/>
      <c r="F586" s="32"/>
      <c r="G586" s="32"/>
      <c r="H586" s="32"/>
      <c r="I586" s="32"/>
      <c r="J586" s="34"/>
      <c r="K586" s="32"/>
      <c r="L586" s="32"/>
      <c r="M586" s="32"/>
      <c r="N586" s="48"/>
    </row>
    <row r="587">
      <c r="A587" s="32"/>
      <c r="B587" s="54"/>
      <c r="C587" s="32"/>
      <c r="D587" s="32"/>
      <c r="E587" s="32"/>
      <c r="F587" s="32"/>
      <c r="G587" s="32"/>
      <c r="H587" s="32"/>
      <c r="I587" s="32"/>
      <c r="J587" s="34"/>
      <c r="K587" s="32"/>
      <c r="L587" s="32"/>
      <c r="M587" s="32"/>
      <c r="N587" s="48"/>
    </row>
    <row r="588">
      <c r="A588" s="32"/>
      <c r="B588" s="54"/>
      <c r="C588" s="32"/>
      <c r="D588" s="32"/>
      <c r="E588" s="32"/>
      <c r="F588" s="32"/>
      <c r="G588" s="32"/>
      <c r="H588" s="32"/>
      <c r="I588" s="32"/>
      <c r="J588" s="34"/>
      <c r="K588" s="32"/>
      <c r="L588" s="32"/>
      <c r="M588" s="32"/>
      <c r="N588" s="48"/>
    </row>
    <row r="589">
      <c r="A589" s="32"/>
      <c r="B589" s="54"/>
      <c r="C589" s="32"/>
      <c r="D589" s="32"/>
      <c r="E589" s="32"/>
      <c r="F589" s="32"/>
      <c r="G589" s="32"/>
      <c r="H589" s="32"/>
      <c r="I589" s="32"/>
      <c r="J589" s="34"/>
      <c r="K589" s="32"/>
      <c r="L589" s="32"/>
      <c r="M589" s="32"/>
      <c r="N589" s="48"/>
    </row>
    <row r="590">
      <c r="A590" s="32"/>
      <c r="B590" s="54"/>
      <c r="C590" s="32"/>
      <c r="D590" s="32"/>
      <c r="E590" s="32"/>
      <c r="F590" s="32"/>
      <c r="G590" s="32"/>
      <c r="H590" s="32"/>
      <c r="I590" s="32"/>
      <c r="J590" s="34"/>
      <c r="K590" s="32"/>
      <c r="L590" s="32"/>
      <c r="M590" s="32"/>
      <c r="N590" s="48"/>
    </row>
    <row r="591">
      <c r="A591" s="32"/>
      <c r="B591" s="54"/>
      <c r="C591" s="32"/>
      <c r="D591" s="32"/>
      <c r="E591" s="32"/>
      <c r="F591" s="32"/>
      <c r="G591" s="32"/>
      <c r="H591" s="32"/>
      <c r="I591" s="32"/>
      <c r="J591" s="34"/>
      <c r="K591" s="32"/>
      <c r="L591" s="32"/>
      <c r="M591" s="32"/>
      <c r="N591" s="48"/>
    </row>
    <row r="592">
      <c r="A592" s="32"/>
      <c r="B592" s="54"/>
      <c r="C592" s="32"/>
      <c r="D592" s="32"/>
      <c r="E592" s="32"/>
      <c r="F592" s="32"/>
      <c r="G592" s="32"/>
      <c r="H592" s="32"/>
      <c r="I592" s="32"/>
      <c r="J592" s="34"/>
      <c r="K592" s="32"/>
      <c r="L592" s="32"/>
      <c r="M592" s="32"/>
      <c r="N592" s="48"/>
    </row>
    <row r="593">
      <c r="A593" s="32"/>
      <c r="B593" s="54"/>
      <c r="C593" s="32"/>
      <c r="D593" s="32"/>
      <c r="E593" s="32"/>
      <c r="F593" s="32"/>
      <c r="G593" s="32"/>
      <c r="H593" s="32"/>
      <c r="I593" s="32"/>
      <c r="J593" s="34"/>
      <c r="K593" s="32"/>
      <c r="L593" s="32"/>
      <c r="M593" s="32"/>
      <c r="N593" s="48"/>
    </row>
    <row r="594">
      <c r="A594" s="32"/>
      <c r="B594" s="54"/>
      <c r="C594" s="32"/>
      <c r="D594" s="32"/>
      <c r="E594" s="32"/>
      <c r="F594" s="32"/>
      <c r="G594" s="32"/>
      <c r="H594" s="32"/>
      <c r="I594" s="32"/>
      <c r="J594" s="34"/>
      <c r="K594" s="32"/>
      <c r="L594" s="32"/>
      <c r="M594" s="32"/>
      <c r="N594" s="48"/>
    </row>
    <row r="595">
      <c r="A595" s="32"/>
      <c r="B595" s="54"/>
      <c r="C595" s="32"/>
      <c r="D595" s="32"/>
      <c r="E595" s="32"/>
      <c r="F595" s="32"/>
      <c r="G595" s="32"/>
      <c r="H595" s="32"/>
      <c r="I595" s="32"/>
      <c r="J595" s="34"/>
      <c r="K595" s="32"/>
      <c r="L595" s="32"/>
      <c r="M595" s="32"/>
      <c r="N595" s="48"/>
    </row>
    <row r="596">
      <c r="A596" s="32"/>
      <c r="B596" s="54"/>
      <c r="C596" s="32"/>
      <c r="D596" s="32"/>
      <c r="E596" s="32"/>
      <c r="F596" s="32"/>
      <c r="G596" s="32"/>
      <c r="H596" s="32"/>
      <c r="I596" s="32"/>
      <c r="J596" s="34"/>
      <c r="K596" s="32"/>
      <c r="L596" s="32"/>
      <c r="M596" s="32"/>
      <c r="N596" s="48"/>
    </row>
    <row r="597">
      <c r="A597" s="32"/>
      <c r="B597" s="54"/>
      <c r="C597" s="32"/>
      <c r="D597" s="32"/>
      <c r="E597" s="32"/>
      <c r="F597" s="32"/>
      <c r="G597" s="32"/>
      <c r="H597" s="32"/>
      <c r="I597" s="32"/>
      <c r="J597" s="34"/>
      <c r="K597" s="32"/>
      <c r="L597" s="32"/>
      <c r="M597" s="32"/>
      <c r="N597" s="48"/>
    </row>
    <row r="598">
      <c r="A598" s="32"/>
      <c r="B598" s="54"/>
      <c r="C598" s="32"/>
      <c r="D598" s="32"/>
      <c r="E598" s="32"/>
      <c r="F598" s="32"/>
      <c r="G598" s="32"/>
      <c r="H598" s="32"/>
      <c r="I598" s="32"/>
      <c r="J598" s="34"/>
      <c r="K598" s="32"/>
      <c r="L598" s="32"/>
      <c r="M598" s="32"/>
      <c r="N598" s="48"/>
    </row>
    <row r="599">
      <c r="A599" s="32"/>
      <c r="B599" s="54"/>
      <c r="C599" s="32"/>
      <c r="D599" s="32"/>
      <c r="E599" s="32"/>
      <c r="F599" s="32"/>
      <c r="G599" s="32"/>
      <c r="H599" s="32"/>
      <c r="I599" s="32"/>
      <c r="J599" s="34"/>
      <c r="K599" s="32"/>
      <c r="L599" s="32"/>
      <c r="M599" s="32"/>
      <c r="N599" s="48"/>
    </row>
    <row r="600">
      <c r="A600" s="32"/>
      <c r="B600" s="54"/>
      <c r="C600" s="32"/>
      <c r="D600" s="32"/>
      <c r="E600" s="32"/>
      <c r="F600" s="32"/>
      <c r="G600" s="32"/>
      <c r="H600" s="32"/>
      <c r="I600" s="32"/>
      <c r="J600" s="34"/>
      <c r="K600" s="32"/>
      <c r="L600" s="32"/>
      <c r="M600" s="32"/>
      <c r="N600" s="48"/>
    </row>
    <row r="601">
      <c r="A601" s="32"/>
      <c r="B601" s="54"/>
      <c r="C601" s="32"/>
      <c r="D601" s="32"/>
      <c r="E601" s="32"/>
      <c r="F601" s="32"/>
      <c r="G601" s="32"/>
      <c r="H601" s="32"/>
      <c r="I601" s="32"/>
      <c r="J601" s="34"/>
      <c r="K601" s="32"/>
      <c r="L601" s="32"/>
      <c r="M601" s="32"/>
      <c r="N601" s="48"/>
    </row>
    <row r="602">
      <c r="A602" s="32"/>
      <c r="B602" s="54"/>
      <c r="C602" s="32"/>
      <c r="D602" s="32"/>
      <c r="E602" s="32"/>
      <c r="F602" s="32"/>
      <c r="G602" s="32"/>
      <c r="H602" s="32"/>
      <c r="I602" s="32"/>
      <c r="J602" s="34"/>
      <c r="K602" s="32"/>
      <c r="L602" s="32"/>
      <c r="M602" s="32"/>
      <c r="N602" s="48"/>
    </row>
    <row r="603">
      <c r="A603" s="32"/>
      <c r="B603" s="54"/>
      <c r="C603" s="32"/>
      <c r="D603" s="32"/>
      <c r="E603" s="32"/>
      <c r="F603" s="32"/>
      <c r="G603" s="32"/>
      <c r="H603" s="32"/>
      <c r="I603" s="32"/>
      <c r="J603" s="34"/>
      <c r="K603" s="32"/>
      <c r="L603" s="32"/>
      <c r="M603" s="32"/>
      <c r="N603" s="48"/>
    </row>
    <row r="604">
      <c r="A604" s="32"/>
      <c r="B604" s="54"/>
      <c r="C604" s="32"/>
      <c r="D604" s="32"/>
      <c r="E604" s="32"/>
      <c r="F604" s="32"/>
      <c r="G604" s="32"/>
      <c r="H604" s="32"/>
      <c r="I604" s="32"/>
      <c r="J604" s="34"/>
      <c r="K604" s="32"/>
      <c r="L604" s="32"/>
      <c r="M604" s="32"/>
      <c r="N604" s="48"/>
    </row>
    <row r="605">
      <c r="A605" s="32"/>
      <c r="B605" s="54"/>
      <c r="C605" s="32"/>
      <c r="D605" s="32"/>
      <c r="E605" s="32"/>
      <c r="F605" s="32"/>
      <c r="G605" s="32"/>
      <c r="H605" s="32"/>
      <c r="I605" s="32"/>
      <c r="J605" s="34"/>
      <c r="K605" s="32"/>
      <c r="L605" s="32"/>
      <c r="M605" s="32"/>
      <c r="N605" s="48"/>
    </row>
    <row r="606">
      <c r="A606" s="32"/>
      <c r="B606" s="54"/>
      <c r="C606" s="32"/>
      <c r="D606" s="32"/>
      <c r="E606" s="32"/>
      <c r="F606" s="32"/>
      <c r="G606" s="32"/>
      <c r="H606" s="32"/>
      <c r="I606" s="32"/>
      <c r="J606" s="34"/>
      <c r="K606" s="32"/>
      <c r="L606" s="32"/>
      <c r="M606" s="32"/>
      <c r="N606" s="48"/>
    </row>
    <row r="607">
      <c r="A607" s="32"/>
      <c r="B607" s="54"/>
      <c r="C607" s="32"/>
      <c r="D607" s="32"/>
      <c r="E607" s="32"/>
      <c r="F607" s="32"/>
      <c r="G607" s="32"/>
      <c r="H607" s="32"/>
      <c r="I607" s="32"/>
      <c r="J607" s="34"/>
      <c r="K607" s="32"/>
      <c r="L607" s="32"/>
      <c r="M607" s="32"/>
      <c r="N607" s="48"/>
    </row>
    <row r="608">
      <c r="A608" s="32"/>
      <c r="B608" s="54"/>
      <c r="C608" s="32"/>
      <c r="D608" s="32"/>
      <c r="E608" s="32"/>
      <c r="F608" s="32"/>
      <c r="G608" s="32"/>
      <c r="H608" s="32"/>
      <c r="I608" s="32"/>
      <c r="J608" s="34"/>
      <c r="K608" s="32"/>
      <c r="L608" s="32"/>
      <c r="M608" s="32"/>
      <c r="N608" s="48"/>
    </row>
    <row r="609">
      <c r="A609" s="32"/>
      <c r="B609" s="54"/>
      <c r="C609" s="32"/>
      <c r="D609" s="32"/>
      <c r="E609" s="32"/>
      <c r="F609" s="32"/>
      <c r="G609" s="32"/>
      <c r="H609" s="32"/>
      <c r="I609" s="32"/>
      <c r="J609" s="34"/>
      <c r="K609" s="32"/>
      <c r="L609" s="32"/>
      <c r="M609" s="32"/>
      <c r="N609" s="48"/>
    </row>
    <row r="610">
      <c r="A610" s="32"/>
      <c r="B610" s="54"/>
      <c r="C610" s="32"/>
      <c r="D610" s="32"/>
      <c r="E610" s="32"/>
      <c r="F610" s="32"/>
      <c r="G610" s="32"/>
      <c r="H610" s="32"/>
      <c r="I610" s="32"/>
      <c r="J610" s="34"/>
      <c r="K610" s="32"/>
      <c r="L610" s="32"/>
      <c r="M610" s="32"/>
      <c r="N610" s="48"/>
    </row>
    <row r="611">
      <c r="A611" s="32"/>
      <c r="B611" s="54"/>
      <c r="C611" s="32"/>
      <c r="D611" s="32"/>
      <c r="E611" s="32"/>
      <c r="F611" s="32"/>
      <c r="G611" s="32"/>
      <c r="H611" s="32"/>
      <c r="I611" s="32"/>
      <c r="J611" s="34"/>
      <c r="K611" s="32"/>
      <c r="L611" s="32"/>
      <c r="M611" s="32"/>
      <c r="N611" s="48"/>
    </row>
    <row r="612">
      <c r="A612" s="32"/>
      <c r="B612" s="54"/>
      <c r="C612" s="32"/>
      <c r="D612" s="32"/>
      <c r="E612" s="32"/>
      <c r="F612" s="32"/>
      <c r="G612" s="32"/>
      <c r="H612" s="32"/>
      <c r="I612" s="32"/>
      <c r="J612" s="34"/>
      <c r="K612" s="32"/>
      <c r="L612" s="32"/>
      <c r="M612" s="32"/>
      <c r="N612" s="48"/>
    </row>
    <row r="613">
      <c r="A613" s="32"/>
      <c r="B613" s="54"/>
      <c r="C613" s="32"/>
      <c r="D613" s="32"/>
      <c r="E613" s="32"/>
      <c r="F613" s="32"/>
      <c r="G613" s="32"/>
      <c r="H613" s="32"/>
      <c r="I613" s="32"/>
      <c r="J613" s="34"/>
      <c r="K613" s="32"/>
      <c r="L613" s="32"/>
      <c r="M613" s="32"/>
      <c r="N613" s="48"/>
    </row>
    <row r="614">
      <c r="A614" s="32"/>
      <c r="B614" s="54"/>
      <c r="C614" s="32"/>
      <c r="D614" s="32"/>
      <c r="E614" s="32"/>
      <c r="F614" s="32"/>
      <c r="G614" s="32"/>
      <c r="H614" s="32"/>
      <c r="I614" s="32"/>
      <c r="J614" s="34"/>
      <c r="K614" s="32"/>
      <c r="L614" s="32"/>
      <c r="M614" s="32"/>
      <c r="N614" s="48"/>
    </row>
    <row r="615">
      <c r="A615" s="32"/>
      <c r="B615" s="54"/>
      <c r="C615" s="32"/>
      <c r="D615" s="32"/>
      <c r="E615" s="32"/>
      <c r="F615" s="32"/>
      <c r="G615" s="32"/>
      <c r="H615" s="32"/>
      <c r="I615" s="32"/>
      <c r="J615" s="34"/>
      <c r="K615" s="32"/>
      <c r="L615" s="32"/>
      <c r="M615" s="32"/>
      <c r="N615" s="48"/>
    </row>
    <row r="616">
      <c r="A616" s="32"/>
      <c r="B616" s="54"/>
      <c r="C616" s="32"/>
      <c r="D616" s="32"/>
      <c r="E616" s="32"/>
      <c r="F616" s="32"/>
      <c r="G616" s="32"/>
      <c r="H616" s="32"/>
      <c r="I616" s="32"/>
      <c r="J616" s="34"/>
      <c r="K616" s="32"/>
      <c r="L616" s="32"/>
      <c r="M616" s="32"/>
      <c r="N616" s="48"/>
    </row>
    <row r="617">
      <c r="A617" s="32"/>
      <c r="B617" s="54"/>
      <c r="C617" s="32"/>
      <c r="D617" s="32"/>
      <c r="E617" s="32"/>
      <c r="F617" s="32"/>
      <c r="G617" s="32"/>
      <c r="H617" s="32"/>
      <c r="I617" s="32"/>
      <c r="J617" s="34"/>
      <c r="K617" s="32"/>
      <c r="L617" s="32"/>
      <c r="M617" s="32"/>
      <c r="N617" s="48"/>
    </row>
    <row r="618">
      <c r="A618" s="32"/>
      <c r="B618" s="54"/>
      <c r="C618" s="32"/>
      <c r="D618" s="32"/>
      <c r="E618" s="32"/>
      <c r="F618" s="32"/>
      <c r="G618" s="32"/>
      <c r="H618" s="32"/>
      <c r="I618" s="32"/>
      <c r="J618" s="34"/>
      <c r="K618" s="32"/>
      <c r="L618" s="32"/>
      <c r="M618" s="32"/>
      <c r="N618" s="48"/>
    </row>
    <row r="619">
      <c r="A619" s="32"/>
      <c r="B619" s="54"/>
      <c r="C619" s="32"/>
      <c r="D619" s="32"/>
      <c r="E619" s="32"/>
      <c r="F619" s="32"/>
      <c r="G619" s="32"/>
      <c r="H619" s="32"/>
      <c r="I619" s="32"/>
      <c r="J619" s="34"/>
      <c r="K619" s="32"/>
      <c r="L619" s="32"/>
      <c r="M619" s="32"/>
      <c r="N619" s="48"/>
    </row>
    <row r="620">
      <c r="A620" s="32"/>
      <c r="B620" s="54"/>
      <c r="C620" s="32"/>
      <c r="D620" s="32"/>
      <c r="E620" s="32"/>
      <c r="F620" s="32"/>
      <c r="G620" s="32"/>
      <c r="H620" s="32"/>
      <c r="I620" s="32"/>
      <c r="J620" s="34"/>
      <c r="K620" s="32"/>
      <c r="L620" s="32"/>
      <c r="M620" s="32"/>
      <c r="N620" s="48"/>
    </row>
    <row r="621">
      <c r="A621" s="32"/>
      <c r="B621" s="54"/>
      <c r="C621" s="32"/>
      <c r="D621" s="32"/>
      <c r="E621" s="32"/>
      <c r="F621" s="32"/>
      <c r="G621" s="32"/>
      <c r="H621" s="32"/>
      <c r="I621" s="32"/>
      <c r="J621" s="34"/>
      <c r="K621" s="32"/>
      <c r="L621" s="32"/>
      <c r="M621" s="32"/>
      <c r="N621" s="48"/>
    </row>
    <row r="622">
      <c r="A622" s="32"/>
      <c r="B622" s="54"/>
      <c r="C622" s="32"/>
      <c r="D622" s="32"/>
      <c r="E622" s="32"/>
      <c r="F622" s="32"/>
      <c r="G622" s="32"/>
      <c r="H622" s="32"/>
      <c r="I622" s="32"/>
      <c r="J622" s="34"/>
      <c r="K622" s="32"/>
      <c r="L622" s="32"/>
      <c r="M622" s="32"/>
      <c r="N622" s="48"/>
    </row>
    <row r="623">
      <c r="A623" s="32"/>
      <c r="B623" s="54"/>
      <c r="C623" s="32"/>
      <c r="D623" s="32"/>
      <c r="E623" s="32"/>
      <c r="F623" s="32"/>
      <c r="G623" s="32"/>
      <c r="H623" s="32"/>
      <c r="I623" s="32"/>
      <c r="J623" s="34"/>
      <c r="K623" s="32"/>
      <c r="L623" s="32"/>
      <c r="M623" s="32"/>
      <c r="N623" s="48"/>
    </row>
    <row r="624">
      <c r="A624" s="32"/>
      <c r="B624" s="54"/>
      <c r="C624" s="32"/>
      <c r="D624" s="32"/>
      <c r="E624" s="32"/>
      <c r="F624" s="32"/>
      <c r="G624" s="32"/>
      <c r="H624" s="32"/>
      <c r="I624" s="32"/>
      <c r="J624" s="34"/>
      <c r="K624" s="32"/>
      <c r="L624" s="32"/>
      <c r="M624" s="32"/>
      <c r="N624" s="48"/>
    </row>
    <row r="625">
      <c r="A625" s="32"/>
      <c r="B625" s="54"/>
      <c r="C625" s="32"/>
      <c r="D625" s="32"/>
      <c r="E625" s="32"/>
      <c r="F625" s="32"/>
      <c r="G625" s="32"/>
      <c r="H625" s="32"/>
      <c r="I625" s="32"/>
      <c r="J625" s="34"/>
      <c r="K625" s="32"/>
      <c r="L625" s="32"/>
      <c r="M625" s="32"/>
      <c r="N625" s="48"/>
    </row>
    <row r="626">
      <c r="A626" s="32"/>
      <c r="B626" s="54"/>
      <c r="C626" s="32"/>
      <c r="D626" s="32"/>
      <c r="E626" s="32"/>
      <c r="F626" s="32"/>
      <c r="G626" s="32"/>
      <c r="H626" s="32"/>
      <c r="I626" s="32"/>
      <c r="J626" s="34"/>
      <c r="K626" s="32"/>
      <c r="L626" s="32"/>
      <c r="M626" s="32"/>
      <c r="N626" s="48"/>
    </row>
    <row r="627">
      <c r="A627" s="32"/>
      <c r="B627" s="54"/>
      <c r="C627" s="32"/>
      <c r="D627" s="32"/>
      <c r="E627" s="32"/>
      <c r="F627" s="32"/>
      <c r="G627" s="32"/>
      <c r="H627" s="32"/>
      <c r="I627" s="32"/>
      <c r="J627" s="34"/>
      <c r="K627" s="32"/>
      <c r="L627" s="32"/>
      <c r="M627" s="32"/>
      <c r="N627" s="48"/>
    </row>
    <row r="628">
      <c r="A628" s="32"/>
      <c r="B628" s="54"/>
      <c r="C628" s="32"/>
      <c r="D628" s="32"/>
      <c r="E628" s="32"/>
      <c r="F628" s="32"/>
      <c r="G628" s="32"/>
      <c r="H628" s="32"/>
      <c r="I628" s="32"/>
      <c r="J628" s="34"/>
      <c r="K628" s="32"/>
      <c r="L628" s="32"/>
      <c r="M628" s="32"/>
      <c r="N628" s="48"/>
    </row>
    <row r="629">
      <c r="A629" s="32"/>
      <c r="B629" s="54"/>
      <c r="C629" s="32"/>
      <c r="D629" s="32"/>
      <c r="E629" s="32"/>
      <c r="F629" s="32"/>
      <c r="G629" s="32"/>
      <c r="H629" s="32"/>
      <c r="I629" s="32"/>
      <c r="J629" s="34"/>
      <c r="K629" s="32"/>
      <c r="L629" s="32"/>
      <c r="M629" s="32"/>
      <c r="N629" s="48"/>
    </row>
    <row r="630">
      <c r="A630" s="32"/>
      <c r="B630" s="54"/>
      <c r="C630" s="32"/>
      <c r="D630" s="32"/>
      <c r="E630" s="32"/>
      <c r="F630" s="32"/>
      <c r="G630" s="32"/>
      <c r="H630" s="32"/>
      <c r="I630" s="32"/>
      <c r="J630" s="34"/>
      <c r="K630" s="32"/>
      <c r="L630" s="32"/>
      <c r="M630" s="32"/>
      <c r="N630" s="48"/>
    </row>
    <row r="631">
      <c r="A631" s="32"/>
      <c r="B631" s="54"/>
      <c r="C631" s="32"/>
      <c r="D631" s="32"/>
      <c r="E631" s="32"/>
      <c r="F631" s="32"/>
      <c r="G631" s="32"/>
      <c r="H631" s="32"/>
      <c r="I631" s="32"/>
      <c r="J631" s="34"/>
      <c r="K631" s="32"/>
      <c r="L631" s="32"/>
      <c r="M631" s="32"/>
      <c r="N631" s="48"/>
    </row>
    <row r="632">
      <c r="A632" s="32"/>
      <c r="B632" s="54"/>
      <c r="C632" s="32"/>
      <c r="D632" s="32"/>
      <c r="E632" s="32"/>
      <c r="F632" s="32"/>
      <c r="G632" s="32"/>
      <c r="H632" s="32"/>
      <c r="I632" s="32"/>
      <c r="J632" s="34"/>
      <c r="K632" s="32"/>
      <c r="L632" s="32"/>
      <c r="M632" s="32"/>
      <c r="N632" s="48"/>
    </row>
    <row r="633">
      <c r="A633" s="32"/>
      <c r="B633" s="54"/>
      <c r="C633" s="32"/>
      <c r="D633" s="32"/>
      <c r="E633" s="32"/>
      <c r="F633" s="32"/>
      <c r="G633" s="32"/>
      <c r="H633" s="32"/>
      <c r="I633" s="32"/>
      <c r="J633" s="34"/>
      <c r="K633" s="32"/>
      <c r="L633" s="32"/>
      <c r="M633" s="32"/>
      <c r="N633" s="48"/>
    </row>
    <row r="634">
      <c r="A634" s="32"/>
      <c r="B634" s="54"/>
      <c r="C634" s="32"/>
      <c r="D634" s="32"/>
      <c r="E634" s="32"/>
      <c r="F634" s="32"/>
      <c r="G634" s="32"/>
      <c r="H634" s="32"/>
      <c r="I634" s="32"/>
      <c r="J634" s="34"/>
      <c r="K634" s="32"/>
      <c r="L634" s="32"/>
      <c r="M634" s="32"/>
      <c r="N634" s="48"/>
    </row>
    <row r="635">
      <c r="A635" s="32"/>
      <c r="B635" s="54"/>
      <c r="C635" s="32"/>
      <c r="D635" s="32"/>
      <c r="E635" s="32"/>
      <c r="F635" s="32"/>
      <c r="G635" s="32"/>
      <c r="H635" s="32"/>
      <c r="I635" s="32"/>
      <c r="J635" s="34"/>
      <c r="K635" s="32"/>
      <c r="L635" s="32"/>
      <c r="M635" s="32"/>
      <c r="N635" s="48"/>
    </row>
    <row r="636">
      <c r="A636" s="32"/>
      <c r="B636" s="54"/>
      <c r="C636" s="32"/>
      <c r="D636" s="32"/>
      <c r="E636" s="32"/>
      <c r="F636" s="32"/>
      <c r="G636" s="32"/>
      <c r="H636" s="32"/>
      <c r="I636" s="32"/>
      <c r="J636" s="34"/>
      <c r="K636" s="32"/>
      <c r="L636" s="32"/>
      <c r="M636" s="32"/>
      <c r="N636" s="48"/>
    </row>
    <row r="637">
      <c r="A637" s="32"/>
      <c r="B637" s="54"/>
      <c r="C637" s="32"/>
      <c r="D637" s="32"/>
      <c r="E637" s="32"/>
      <c r="F637" s="32"/>
      <c r="G637" s="32"/>
      <c r="H637" s="32"/>
      <c r="I637" s="32"/>
      <c r="J637" s="34"/>
      <c r="K637" s="32"/>
      <c r="L637" s="32"/>
      <c r="M637" s="32"/>
      <c r="N637" s="48"/>
    </row>
    <row r="638">
      <c r="A638" s="32"/>
      <c r="B638" s="54"/>
      <c r="C638" s="32"/>
      <c r="D638" s="32"/>
      <c r="E638" s="32"/>
      <c r="F638" s="32"/>
      <c r="G638" s="32"/>
      <c r="H638" s="32"/>
      <c r="I638" s="32"/>
      <c r="J638" s="34"/>
      <c r="K638" s="32"/>
      <c r="L638" s="32"/>
      <c r="M638" s="32"/>
      <c r="N638" s="48"/>
    </row>
    <row r="639">
      <c r="A639" s="32"/>
      <c r="B639" s="54"/>
      <c r="C639" s="32"/>
      <c r="D639" s="32"/>
      <c r="E639" s="32"/>
      <c r="F639" s="32"/>
      <c r="G639" s="32"/>
      <c r="H639" s="32"/>
      <c r="I639" s="32"/>
      <c r="J639" s="34"/>
      <c r="K639" s="32"/>
      <c r="L639" s="32"/>
      <c r="M639" s="32"/>
      <c r="N639" s="48"/>
    </row>
    <row r="640">
      <c r="A640" s="32"/>
      <c r="B640" s="54"/>
      <c r="C640" s="32"/>
      <c r="D640" s="32"/>
      <c r="E640" s="32"/>
      <c r="F640" s="32"/>
      <c r="G640" s="32"/>
      <c r="H640" s="32"/>
      <c r="I640" s="32"/>
      <c r="J640" s="34"/>
      <c r="K640" s="32"/>
      <c r="L640" s="32"/>
      <c r="M640" s="32"/>
      <c r="N640" s="48"/>
    </row>
    <row r="641">
      <c r="A641" s="32"/>
      <c r="B641" s="54"/>
      <c r="C641" s="32"/>
      <c r="D641" s="32"/>
      <c r="E641" s="32"/>
      <c r="F641" s="32"/>
      <c r="G641" s="32"/>
      <c r="H641" s="32"/>
      <c r="I641" s="32"/>
      <c r="J641" s="34"/>
      <c r="K641" s="32"/>
      <c r="L641" s="32"/>
      <c r="M641" s="32"/>
      <c r="N641" s="48"/>
    </row>
    <row r="642">
      <c r="A642" s="32"/>
      <c r="B642" s="54"/>
      <c r="C642" s="32"/>
      <c r="D642" s="32"/>
      <c r="E642" s="32"/>
      <c r="F642" s="32"/>
      <c r="G642" s="32"/>
      <c r="H642" s="32"/>
      <c r="I642" s="32"/>
      <c r="J642" s="34"/>
      <c r="K642" s="32"/>
      <c r="L642" s="32"/>
      <c r="M642" s="32"/>
      <c r="N642" s="48"/>
    </row>
    <row r="643">
      <c r="A643" s="32"/>
      <c r="B643" s="54"/>
      <c r="C643" s="32"/>
      <c r="D643" s="32"/>
      <c r="E643" s="32"/>
      <c r="F643" s="32"/>
      <c r="G643" s="32"/>
      <c r="H643" s="32"/>
      <c r="I643" s="32"/>
      <c r="J643" s="34"/>
      <c r="K643" s="32"/>
      <c r="L643" s="32"/>
      <c r="M643" s="32"/>
      <c r="N643" s="48"/>
    </row>
    <row r="644">
      <c r="A644" s="32"/>
      <c r="B644" s="54"/>
      <c r="C644" s="32"/>
      <c r="D644" s="32"/>
      <c r="E644" s="32"/>
      <c r="F644" s="32"/>
      <c r="G644" s="32"/>
      <c r="H644" s="32"/>
      <c r="I644" s="32"/>
      <c r="J644" s="34"/>
      <c r="K644" s="32"/>
      <c r="L644" s="32"/>
      <c r="M644" s="32"/>
      <c r="N644" s="48"/>
    </row>
    <row r="645">
      <c r="A645" s="32"/>
      <c r="B645" s="54"/>
      <c r="C645" s="32"/>
      <c r="D645" s="32"/>
      <c r="E645" s="32"/>
      <c r="F645" s="32"/>
      <c r="G645" s="32"/>
      <c r="H645" s="32"/>
      <c r="I645" s="32"/>
      <c r="J645" s="34"/>
      <c r="K645" s="32"/>
      <c r="L645" s="32"/>
      <c r="M645" s="32"/>
      <c r="N645" s="48"/>
    </row>
    <row r="646">
      <c r="A646" s="32"/>
      <c r="B646" s="54"/>
      <c r="C646" s="32"/>
      <c r="D646" s="32"/>
      <c r="E646" s="32"/>
      <c r="F646" s="32"/>
      <c r="G646" s="32"/>
      <c r="H646" s="32"/>
      <c r="I646" s="32"/>
      <c r="J646" s="34"/>
      <c r="K646" s="32"/>
      <c r="L646" s="32"/>
      <c r="M646" s="32"/>
      <c r="N646" s="48"/>
    </row>
    <row r="647">
      <c r="A647" s="32"/>
      <c r="B647" s="54"/>
      <c r="C647" s="32"/>
      <c r="D647" s="32"/>
      <c r="E647" s="32"/>
      <c r="F647" s="32"/>
      <c r="G647" s="32"/>
      <c r="H647" s="32"/>
      <c r="I647" s="32"/>
      <c r="J647" s="34"/>
      <c r="K647" s="32"/>
      <c r="L647" s="32"/>
      <c r="M647" s="32"/>
      <c r="N647" s="48"/>
    </row>
    <row r="648">
      <c r="A648" s="32"/>
      <c r="B648" s="54"/>
      <c r="C648" s="32"/>
      <c r="D648" s="32"/>
      <c r="E648" s="32"/>
      <c r="F648" s="32"/>
      <c r="G648" s="32"/>
      <c r="H648" s="32"/>
      <c r="I648" s="32"/>
      <c r="J648" s="34"/>
      <c r="K648" s="32"/>
      <c r="L648" s="32"/>
      <c r="M648" s="32"/>
      <c r="N648" s="48"/>
    </row>
    <row r="649">
      <c r="A649" s="32"/>
      <c r="B649" s="54"/>
      <c r="C649" s="32"/>
      <c r="D649" s="32"/>
      <c r="E649" s="32"/>
      <c r="F649" s="32"/>
      <c r="G649" s="32"/>
      <c r="H649" s="32"/>
      <c r="I649" s="32"/>
      <c r="J649" s="34"/>
      <c r="K649" s="32"/>
      <c r="L649" s="32"/>
      <c r="M649" s="32"/>
      <c r="N649" s="48"/>
    </row>
    <row r="650">
      <c r="A650" s="32"/>
      <c r="B650" s="54"/>
      <c r="C650" s="32"/>
      <c r="D650" s="32"/>
      <c r="E650" s="32"/>
      <c r="F650" s="32"/>
      <c r="G650" s="32"/>
      <c r="H650" s="32"/>
      <c r="I650" s="32"/>
      <c r="J650" s="34"/>
      <c r="K650" s="32"/>
      <c r="L650" s="32"/>
      <c r="M650" s="32"/>
      <c r="N650" s="48"/>
    </row>
    <row r="651">
      <c r="A651" s="32"/>
      <c r="B651" s="54"/>
      <c r="C651" s="32"/>
      <c r="D651" s="32"/>
      <c r="E651" s="32"/>
      <c r="F651" s="32"/>
      <c r="G651" s="32"/>
      <c r="H651" s="32"/>
      <c r="I651" s="32"/>
      <c r="J651" s="34"/>
      <c r="K651" s="32"/>
      <c r="L651" s="32"/>
      <c r="M651" s="32"/>
      <c r="N651" s="48"/>
    </row>
    <row r="652">
      <c r="A652" s="32"/>
      <c r="B652" s="54"/>
      <c r="C652" s="32"/>
      <c r="D652" s="32"/>
      <c r="E652" s="32"/>
      <c r="F652" s="32"/>
      <c r="G652" s="32"/>
      <c r="H652" s="32"/>
      <c r="I652" s="32"/>
      <c r="J652" s="34"/>
      <c r="K652" s="32"/>
      <c r="L652" s="32"/>
      <c r="M652" s="32"/>
      <c r="N652" s="48"/>
    </row>
    <row r="653">
      <c r="A653" s="32"/>
      <c r="B653" s="54"/>
      <c r="C653" s="32"/>
      <c r="D653" s="32"/>
      <c r="E653" s="32"/>
      <c r="F653" s="32"/>
      <c r="G653" s="32"/>
      <c r="H653" s="32"/>
      <c r="I653" s="32"/>
      <c r="J653" s="34"/>
      <c r="K653" s="32"/>
      <c r="L653" s="32"/>
      <c r="M653" s="32"/>
      <c r="N653" s="48"/>
    </row>
    <row r="654">
      <c r="A654" s="32"/>
      <c r="B654" s="54"/>
      <c r="C654" s="32"/>
      <c r="D654" s="32"/>
      <c r="E654" s="32"/>
      <c r="F654" s="32"/>
      <c r="G654" s="32"/>
      <c r="H654" s="32"/>
      <c r="I654" s="32"/>
      <c r="J654" s="34"/>
      <c r="K654" s="32"/>
      <c r="L654" s="32"/>
      <c r="M654" s="32"/>
      <c r="N654" s="48"/>
    </row>
    <row r="655">
      <c r="A655" s="32"/>
      <c r="B655" s="54"/>
      <c r="C655" s="32"/>
      <c r="D655" s="32"/>
      <c r="E655" s="32"/>
      <c r="F655" s="32"/>
      <c r="G655" s="32"/>
      <c r="H655" s="32"/>
      <c r="I655" s="32"/>
      <c r="J655" s="34"/>
      <c r="K655" s="32"/>
      <c r="L655" s="32"/>
      <c r="M655" s="32"/>
      <c r="N655" s="48"/>
    </row>
    <row r="656">
      <c r="A656" s="32"/>
      <c r="B656" s="54"/>
      <c r="C656" s="32"/>
      <c r="D656" s="32"/>
      <c r="E656" s="32"/>
      <c r="F656" s="32"/>
      <c r="G656" s="32"/>
      <c r="H656" s="32"/>
      <c r="I656" s="32"/>
      <c r="J656" s="34"/>
      <c r="K656" s="32"/>
      <c r="L656" s="32"/>
      <c r="M656" s="32"/>
      <c r="N656" s="48"/>
    </row>
    <row r="657">
      <c r="A657" s="32"/>
      <c r="B657" s="54"/>
      <c r="C657" s="32"/>
      <c r="D657" s="32"/>
      <c r="E657" s="32"/>
      <c r="F657" s="32"/>
      <c r="G657" s="32"/>
      <c r="H657" s="32"/>
      <c r="I657" s="32"/>
      <c r="J657" s="34"/>
      <c r="K657" s="32"/>
      <c r="L657" s="32"/>
      <c r="M657" s="32"/>
      <c r="N657" s="48"/>
    </row>
    <row r="658">
      <c r="A658" s="32"/>
      <c r="B658" s="54"/>
      <c r="C658" s="32"/>
      <c r="D658" s="32"/>
      <c r="E658" s="32"/>
      <c r="F658" s="32"/>
      <c r="G658" s="32"/>
      <c r="H658" s="32"/>
      <c r="I658" s="32"/>
      <c r="J658" s="34"/>
      <c r="K658" s="32"/>
      <c r="L658" s="32"/>
      <c r="M658" s="32"/>
      <c r="N658" s="48"/>
    </row>
    <row r="659">
      <c r="A659" s="32"/>
      <c r="B659" s="54"/>
      <c r="C659" s="32"/>
      <c r="D659" s="32"/>
      <c r="E659" s="32"/>
      <c r="F659" s="32"/>
      <c r="G659" s="32"/>
      <c r="H659" s="32"/>
      <c r="I659" s="32"/>
      <c r="J659" s="34"/>
      <c r="K659" s="32"/>
      <c r="L659" s="32"/>
      <c r="M659" s="32"/>
      <c r="N659" s="48"/>
    </row>
    <row r="660">
      <c r="A660" s="32"/>
      <c r="B660" s="54"/>
      <c r="C660" s="32"/>
      <c r="D660" s="32"/>
      <c r="E660" s="32"/>
      <c r="F660" s="32"/>
      <c r="G660" s="32"/>
      <c r="H660" s="32"/>
      <c r="I660" s="32"/>
      <c r="J660" s="34"/>
      <c r="K660" s="32"/>
      <c r="L660" s="32"/>
      <c r="M660" s="32"/>
      <c r="N660" s="48"/>
    </row>
    <row r="661">
      <c r="A661" s="32"/>
      <c r="B661" s="54"/>
      <c r="C661" s="32"/>
      <c r="D661" s="32"/>
      <c r="E661" s="32"/>
      <c r="F661" s="32"/>
      <c r="G661" s="32"/>
      <c r="H661" s="32"/>
      <c r="I661" s="32"/>
      <c r="J661" s="34"/>
      <c r="K661" s="32"/>
      <c r="L661" s="32"/>
      <c r="M661" s="32"/>
      <c r="N661" s="48"/>
    </row>
    <row r="662">
      <c r="A662" s="32"/>
      <c r="B662" s="54"/>
      <c r="C662" s="32"/>
      <c r="D662" s="32"/>
      <c r="E662" s="32"/>
      <c r="F662" s="32"/>
      <c r="G662" s="32"/>
      <c r="H662" s="32"/>
      <c r="I662" s="32"/>
      <c r="J662" s="34"/>
      <c r="K662" s="32"/>
      <c r="L662" s="32"/>
      <c r="M662" s="32"/>
      <c r="N662" s="48"/>
    </row>
    <row r="663">
      <c r="A663" s="32"/>
      <c r="B663" s="54"/>
      <c r="C663" s="32"/>
      <c r="D663" s="32"/>
      <c r="E663" s="32"/>
      <c r="F663" s="32"/>
      <c r="G663" s="32"/>
      <c r="H663" s="32"/>
      <c r="I663" s="32"/>
      <c r="J663" s="34"/>
      <c r="K663" s="32"/>
      <c r="L663" s="32"/>
      <c r="M663" s="32"/>
      <c r="N663" s="48"/>
    </row>
    <row r="664">
      <c r="A664" s="32"/>
      <c r="B664" s="54"/>
      <c r="C664" s="32"/>
      <c r="D664" s="32"/>
      <c r="E664" s="32"/>
      <c r="F664" s="32"/>
      <c r="G664" s="32"/>
      <c r="H664" s="32"/>
      <c r="I664" s="32"/>
      <c r="J664" s="34"/>
      <c r="K664" s="32"/>
      <c r="L664" s="32"/>
      <c r="M664" s="32"/>
      <c r="N664" s="48"/>
    </row>
    <row r="665">
      <c r="A665" s="32"/>
      <c r="B665" s="54"/>
      <c r="C665" s="32"/>
      <c r="D665" s="32"/>
      <c r="E665" s="32"/>
      <c r="F665" s="32"/>
      <c r="G665" s="32"/>
      <c r="H665" s="32"/>
      <c r="I665" s="32"/>
      <c r="J665" s="34"/>
      <c r="K665" s="32"/>
      <c r="L665" s="32"/>
      <c r="M665" s="32"/>
      <c r="N665" s="48"/>
    </row>
    <row r="666">
      <c r="A666" s="32"/>
      <c r="B666" s="54"/>
      <c r="C666" s="32"/>
      <c r="D666" s="32"/>
      <c r="E666" s="32"/>
      <c r="F666" s="32"/>
      <c r="G666" s="32"/>
      <c r="H666" s="32"/>
      <c r="I666" s="32"/>
      <c r="J666" s="34"/>
      <c r="K666" s="32"/>
      <c r="L666" s="32"/>
      <c r="M666" s="32"/>
      <c r="N666" s="48"/>
    </row>
    <row r="667">
      <c r="A667" s="32"/>
      <c r="B667" s="54"/>
      <c r="C667" s="32"/>
      <c r="D667" s="32"/>
      <c r="E667" s="32"/>
      <c r="F667" s="32"/>
      <c r="G667" s="32"/>
      <c r="H667" s="32"/>
      <c r="I667" s="32"/>
      <c r="J667" s="34"/>
      <c r="K667" s="32"/>
      <c r="L667" s="32"/>
      <c r="M667" s="32"/>
      <c r="N667" s="48"/>
    </row>
    <row r="668">
      <c r="A668" s="32"/>
      <c r="B668" s="54"/>
      <c r="C668" s="32"/>
      <c r="D668" s="32"/>
      <c r="E668" s="32"/>
      <c r="F668" s="32"/>
      <c r="G668" s="32"/>
      <c r="H668" s="32"/>
      <c r="I668" s="32"/>
      <c r="J668" s="34"/>
      <c r="K668" s="32"/>
      <c r="L668" s="32"/>
      <c r="M668" s="32"/>
      <c r="N668" s="48"/>
    </row>
    <row r="669">
      <c r="A669" s="32"/>
      <c r="B669" s="54"/>
      <c r="C669" s="32"/>
      <c r="D669" s="32"/>
      <c r="E669" s="32"/>
      <c r="F669" s="32"/>
      <c r="G669" s="32"/>
      <c r="H669" s="32"/>
      <c r="I669" s="32"/>
      <c r="J669" s="34"/>
      <c r="K669" s="32"/>
      <c r="L669" s="32"/>
      <c r="M669" s="32"/>
      <c r="N669" s="48"/>
    </row>
    <row r="670">
      <c r="A670" s="32"/>
      <c r="B670" s="54"/>
      <c r="C670" s="32"/>
      <c r="D670" s="32"/>
      <c r="E670" s="32"/>
      <c r="F670" s="32"/>
      <c r="G670" s="32"/>
      <c r="H670" s="32"/>
      <c r="I670" s="32"/>
      <c r="J670" s="34"/>
      <c r="K670" s="32"/>
      <c r="L670" s="32"/>
      <c r="M670" s="32"/>
      <c r="N670" s="48"/>
    </row>
    <row r="671">
      <c r="A671" s="32"/>
      <c r="B671" s="54"/>
      <c r="C671" s="32"/>
      <c r="D671" s="32"/>
      <c r="E671" s="32"/>
      <c r="F671" s="32"/>
      <c r="G671" s="32"/>
      <c r="H671" s="32"/>
      <c r="I671" s="32"/>
      <c r="J671" s="34"/>
      <c r="K671" s="32"/>
      <c r="L671" s="32"/>
      <c r="M671" s="32"/>
      <c r="N671" s="48"/>
    </row>
    <row r="672">
      <c r="A672" s="32"/>
      <c r="B672" s="54"/>
      <c r="C672" s="32"/>
      <c r="D672" s="32"/>
      <c r="E672" s="32"/>
      <c r="F672" s="32"/>
      <c r="G672" s="32"/>
      <c r="H672" s="32"/>
      <c r="I672" s="32"/>
      <c r="J672" s="34"/>
      <c r="K672" s="32"/>
      <c r="L672" s="32"/>
      <c r="M672" s="32"/>
      <c r="N672" s="48"/>
    </row>
    <row r="673">
      <c r="A673" s="32"/>
      <c r="B673" s="54"/>
      <c r="C673" s="32"/>
      <c r="D673" s="32"/>
      <c r="E673" s="32"/>
      <c r="F673" s="32"/>
      <c r="G673" s="32"/>
      <c r="H673" s="32"/>
      <c r="I673" s="32"/>
      <c r="J673" s="34"/>
      <c r="K673" s="32"/>
      <c r="L673" s="32"/>
      <c r="M673" s="32"/>
      <c r="N673" s="48"/>
    </row>
    <row r="674">
      <c r="A674" s="32"/>
      <c r="B674" s="54"/>
      <c r="C674" s="32"/>
      <c r="D674" s="32"/>
      <c r="E674" s="32"/>
      <c r="F674" s="32"/>
      <c r="G674" s="32"/>
      <c r="H674" s="32"/>
      <c r="I674" s="32"/>
      <c r="J674" s="34"/>
      <c r="K674" s="32"/>
      <c r="L674" s="32"/>
      <c r="M674" s="32"/>
      <c r="N674" s="48"/>
    </row>
    <row r="675">
      <c r="A675" s="32"/>
      <c r="B675" s="54"/>
      <c r="C675" s="32"/>
      <c r="D675" s="32"/>
      <c r="E675" s="32"/>
      <c r="F675" s="32"/>
      <c r="G675" s="32"/>
      <c r="H675" s="32"/>
      <c r="I675" s="32"/>
      <c r="J675" s="34"/>
      <c r="K675" s="32"/>
      <c r="L675" s="32"/>
      <c r="M675" s="32"/>
      <c r="N675" s="48"/>
    </row>
    <row r="676">
      <c r="A676" s="32"/>
      <c r="B676" s="54"/>
      <c r="C676" s="32"/>
      <c r="D676" s="32"/>
      <c r="E676" s="32"/>
      <c r="F676" s="32"/>
      <c r="G676" s="32"/>
      <c r="H676" s="32"/>
      <c r="I676" s="32"/>
      <c r="J676" s="34"/>
      <c r="K676" s="32"/>
      <c r="L676" s="32"/>
      <c r="M676" s="32"/>
      <c r="N676" s="48"/>
    </row>
    <row r="677">
      <c r="A677" s="32"/>
      <c r="B677" s="54"/>
      <c r="C677" s="32"/>
      <c r="D677" s="32"/>
      <c r="E677" s="32"/>
      <c r="F677" s="32"/>
      <c r="G677" s="32"/>
      <c r="H677" s="32"/>
      <c r="I677" s="32"/>
      <c r="J677" s="34"/>
      <c r="K677" s="32"/>
      <c r="L677" s="32"/>
      <c r="M677" s="32"/>
      <c r="N677" s="48"/>
    </row>
    <row r="678">
      <c r="A678" s="32"/>
      <c r="B678" s="54"/>
      <c r="C678" s="32"/>
      <c r="D678" s="32"/>
      <c r="E678" s="32"/>
      <c r="F678" s="32"/>
      <c r="G678" s="32"/>
      <c r="H678" s="32"/>
      <c r="I678" s="32"/>
      <c r="J678" s="34"/>
      <c r="K678" s="32"/>
      <c r="L678" s="32"/>
      <c r="M678" s="32"/>
      <c r="N678" s="48"/>
    </row>
    <row r="679">
      <c r="A679" s="32"/>
      <c r="B679" s="54"/>
      <c r="C679" s="32"/>
      <c r="D679" s="32"/>
      <c r="E679" s="32"/>
      <c r="F679" s="32"/>
      <c r="G679" s="32"/>
      <c r="H679" s="32"/>
      <c r="I679" s="32"/>
      <c r="J679" s="34"/>
      <c r="K679" s="32"/>
      <c r="L679" s="32"/>
      <c r="M679" s="32"/>
      <c r="N679" s="48"/>
    </row>
    <row r="680">
      <c r="A680" s="32"/>
      <c r="B680" s="54"/>
      <c r="C680" s="32"/>
      <c r="D680" s="32"/>
      <c r="E680" s="32"/>
      <c r="F680" s="32"/>
      <c r="G680" s="32"/>
      <c r="H680" s="32"/>
      <c r="I680" s="32"/>
      <c r="J680" s="34"/>
      <c r="K680" s="32"/>
      <c r="L680" s="32"/>
      <c r="M680" s="32"/>
      <c r="N680" s="48"/>
    </row>
    <row r="681">
      <c r="A681" s="32"/>
      <c r="B681" s="54"/>
      <c r="C681" s="32"/>
      <c r="D681" s="32"/>
      <c r="E681" s="32"/>
      <c r="F681" s="32"/>
      <c r="G681" s="32"/>
      <c r="H681" s="32"/>
      <c r="I681" s="32"/>
      <c r="J681" s="34"/>
      <c r="K681" s="32"/>
      <c r="L681" s="32"/>
      <c r="M681" s="32"/>
      <c r="N681" s="48"/>
    </row>
    <row r="682">
      <c r="A682" s="32"/>
      <c r="B682" s="54"/>
      <c r="C682" s="32"/>
      <c r="D682" s="32"/>
      <c r="E682" s="32"/>
      <c r="F682" s="32"/>
      <c r="G682" s="32"/>
      <c r="H682" s="32"/>
      <c r="I682" s="32"/>
      <c r="J682" s="34"/>
      <c r="K682" s="32"/>
      <c r="L682" s="32"/>
      <c r="M682" s="32"/>
      <c r="N682" s="48"/>
    </row>
    <row r="683">
      <c r="A683" s="32"/>
      <c r="B683" s="54"/>
      <c r="C683" s="32"/>
      <c r="D683" s="32"/>
      <c r="E683" s="32"/>
      <c r="F683" s="32"/>
      <c r="G683" s="32"/>
      <c r="H683" s="32"/>
      <c r="I683" s="32"/>
      <c r="J683" s="34"/>
      <c r="K683" s="32"/>
      <c r="L683" s="32"/>
      <c r="M683" s="32"/>
      <c r="N683" s="48"/>
    </row>
    <row r="684">
      <c r="A684" s="32"/>
      <c r="B684" s="54"/>
      <c r="C684" s="32"/>
      <c r="D684" s="32"/>
      <c r="E684" s="32"/>
      <c r="F684" s="32"/>
      <c r="G684" s="32"/>
      <c r="H684" s="32"/>
      <c r="I684" s="32"/>
      <c r="J684" s="34"/>
      <c r="K684" s="32"/>
      <c r="L684" s="32"/>
      <c r="M684" s="32"/>
      <c r="N684" s="48"/>
    </row>
    <row r="685">
      <c r="A685" s="32"/>
      <c r="B685" s="54"/>
      <c r="C685" s="32"/>
      <c r="D685" s="32"/>
      <c r="E685" s="32"/>
      <c r="F685" s="32"/>
      <c r="G685" s="32"/>
      <c r="H685" s="32"/>
      <c r="I685" s="32"/>
      <c r="J685" s="34"/>
      <c r="K685" s="32"/>
      <c r="L685" s="32"/>
      <c r="M685" s="32"/>
      <c r="N685" s="48"/>
    </row>
    <row r="686">
      <c r="A686" s="32"/>
      <c r="B686" s="54"/>
      <c r="C686" s="32"/>
      <c r="D686" s="32"/>
      <c r="E686" s="32"/>
      <c r="F686" s="32"/>
      <c r="G686" s="32"/>
      <c r="H686" s="32"/>
      <c r="I686" s="32"/>
      <c r="J686" s="34"/>
      <c r="K686" s="32"/>
      <c r="L686" s="32"/>
      <c r="M686" s="32"/>
      <c r="N686" s="48"/>
    </row>
    <row r="687">
      <c r="A687" s="32"/>
      <c r="B687" s="54"/>
      <c r="C687" s="32"/>
      <c r="D687" s="32"/>
      <c r="E687" s="32"/>
      <c r="F687" s="32"/>
      <c r="G687" s="32"/>
      <c r="H687" s="32"/>
      <c r="I687" s="32"/>
      <c r="J687" s="34"/>
      <c r="K687" s="32"/>
      <c r="L687" s="32"/>
      <c r="M687" s="32"/>
      <c r="N687" s="48"/>
    </row>
    <row r="688">
      <c r="A688" s="32"/>
      <c r="B688" s="54"/>
      <c r="C688" s="32"/>
      <c r="D688" s="32"/>
      <c r="E688" s="32"/>
      <c r="F688" s="32"/>
      <c r="G688" s="32"/>
      <c r="H688" s="32"/>
      <c r="I688" s="32"/>
      <c r="J688" s="34"/>
      <c r="K688" s="32"/>
      <c r="L688" s="32"/>
      <c r="M688" s="32"/>
      <c r="N688" s="48"/>
    </row>
    <row r="689">
      <c r="A689" s="32"/>
      <c r="B689" s="54"/>
      <c r="C689" s="32"/>
      <c r="D689" s="32"/>
      <c r="E689" s="32"/>
      <c r="F689" s="32"/>
      <c r="G689" s="32"/>
      <c r="H689" s="32"/>
      <c r="I689" s="32"/>
      <c r="J689" s="34"/>
      <c r="K689" s="32"/>
      <c r="L689" s="32"/>
      <c r="M689" s="32"/>
      <c r="N689" s="48"/>
    </row>
    <row r="690">
      <c r="A690" s="32"/>
      <c r="B690" s="54"/>
      <c r="C690" s="32"/>
      <c r="D690" s="32"/>
      <c r="E690" s="32"/>
      <c r="F690" s="32"/>
      <c r="G690" s="32"/>
      <c r="H690" s="32"/>
      <c r="I690" s="32"/>
      <c r="J690" s="34"/>
      <c r="K690" s="32"/>
      <c r="L690" s="32"/>
      <c r="M690" s="32"/>
      <c r="N690" s="48"/>
    </row>
    <row r="691">
      <c r="A691" s="32"/>
      <c r="B691" s="54"/>
      <c r="C691" s="32"/>
      <c r="D691" s="32"/>
      <c r="E691" s="32"/>
      <c r="F691" s="32"/>
      <c r="G691" s="32"/>
      <c r="H691" s="32"/>
      <c r="I691" s="32"/>
      <c r="J691" s="34"/>
      <c r="K691" s="32"/>
      <c r="L691" s="32"/>
      <c r="M691" s="32"/>
      <c r="N691" s="48"/>
    </row>
    <row r="692">
      <c r="A692" s="32"/>
      <c r="B692" s="54"/>
      <c r="C692" s="32"/>
      <c r="D692" s="32"/>
      <c r="E692" s="32"/>
      <c r="F692" s="32"/>
      <c r="G692" s="32"/>
      <c r="H692" s="32"/>
      <c r="I692" s="32"/>
      <c r="J692" s="34"/>
      <c r="K692" s="32"/>
      <c r="L692" s="32"/>
      <c r="M692" s="32"/>
      <c r="N692" s="48"/>
    </row>
    <row r="693">
      <c r="A693" s="32"/>
      <c r="B693" s="54"/>
      <c r="C693" s="32"/>
      <c r="D693" s="32"/>
      <c r="E693" s="32"/>
      <c r="F693" s="32"/>
      <c r="G693" s="32"/>
      <c r="H693" s="32"/>
      <c r="I693" s="32"/>
      <c r="J693" s="34"/>
      <c r="K693" s="32"/>
      <c r="L693" s="32"/>
      <c r="M693" s="32"/>
      <c r="N693" s="48"/>
    </row>
    <row r="694">
      <c r="A694" s="32"/>
      <c r="B694" s="54"/>
      <c r="C694" s="32"/>
      <c r="D694" s="32"/>
      <c r="E694" s="32"/>
      <c r="F694" s="32"/>
      <c r="G694" s="32"/>
      <c r="H694" s="32"/>
      <c r="I694" s="32"/>
      <c r="J694" s="34"/>
      <c r="K694" s="32"/>
      <c r="L694" s="32"/>
      <c r="M694" s="32"/>
      <c r="N694" s="48"/>
    </row>
    <row r="695">
      <c r="A695" s="32"/>
      <c r="B695" s="54"/>
      <c r="C695" s="32"/>
      <c r="D695" s="32"/>
      <c r="E695" s="32"/>
      <c r="F695" s="32"/>
      <c r="G695" s="32"/>
      <c r="H695" s="32"/>
      <c r="I695" s="32"/>
      <c r="J695" s="34"/>
      <c r="K695" s="32"/>
      <c r="L695" s="32"/>
      <c r="M695" s="32"/>
      <c r="N695" s="48"/>
    </row>
    <row r="696">
      <c r="A696" s="32"/>
      <c r="B696" s="54"/>
      <c r="C696" s="32"/>
      <c r="D696" s="32"/>
      <c r="E696" s="32"/>
      <c r="F696" s="32"/>
      <c r="G696" s="32"/>
      <c r="H696" s="32"/>
      <c r="I696" s="32"/>
      <c r="J696" s="34"/>
      <c r="K696" s="32"/>
      <c r="L696" s="32"/>
      <c r="M696" s="32"/>
      <c r="N696" s="48"/>
    </row>
    <row r="697">
      <c r="A697" s="32"/>
      <c r="B697" s="54"/>
      <c r="C697" s="32"/>
      <c r="D697" s="32"/>
      <c r="E697" s="32"/>
      <c r="F697" s="32"/>
      <c r="G697" s="32"/>
      <c r="H697" s="32"/>
      <c r="I697" s="32"/>
      <c r="J697" s="34"/>
      <c r="K697" s="32"/>
      <c r="L697" s="32"/>
      <c r="M697" s="32"/>
      <c r="N697" s="48"/>
    </row>
    <row r="698">
      <c r="A698" s="32"/>
      <c r="B698" s="54"/>
      <c r="C698" s="32"/>
      <c r="D698" s="32"/>
      <c r="E698" s="32"/>
      <c r="F698" s="32"/>
      <c r="G698" s="32"/>
      <c r="H698" s="32"/>
      <c r="I698" s="32"/>
      <c r="J698" s="34"/>
      <c r="K698" s="32"/>
      <c r="L698" s="32"/>
      <c r="M698" s="32"/>
      <c r="N698" s="48"/>
    </row>
    <row r="699">
      <c r="A699" s="32"/>
      <c r="B699" s="54"/>
      <c r="C699" s="32"/>
      <c r="D699" s="32"/>
      <c r="E699" s="32"/>
      <c r="F699" s="32"/>
      <c r="G699" s="32"/>
      <c r="H699" s="32"/>
      <c r="I699" s="32"/>
      <c r="J699" s="34"/>
      <c r="K699" s="32"/>
      <c r="L699" s="32"/>
      <c r="M699" s="32"/>
      <c r="N699" s="48"/>
    </row>
    <row r="700">
      <c r="A700" s="32"/>
      <c r="B700" s="54"/>
      <c r="C700" s="32"/>
      <c r="D700" s="32"/>
      <c r="E700" s="32"/>
      <c r="F700" s="32"/>
      <c r="G700" s="32"/>
      <c r="H700" s="32"/>
      <c r="I700" s="32"/>
      <c r="J700" s="34"/>
      <c r="K700" s="32"/>
      <c r="L700" s="32"/>
      <c r="M700" s="32"/>
      <c r="N700" s="48"/>
    </row>
    <row r="701">
      <c r="A701" s="32"/>
      <c r="B701" s="54"/>
      <c r="C701" s="32"/>
      <c r="D701" s="32"/>
      <c r="E701" s="32"/>
      <c r="F701" s="32"/>
      <c r="G701" s="32"/>
      <c r="H701" s="32"/>
      <c r="I701" s="32"/>
      <c r="J701" s="34"/>
      <c r="K701" s="32"/>
      <c r="L701" s="32"/>
      <c r="M701" s="32"/>
      <c r="N701" s="48"/>
    </row>
    <row r="702">
      <c r="A702" s="32"/>
      <c r="B702" s="54"/>
      <c r="C702" s="32"/>
      <c r="D702" s="32"/>
      <c r="E702" s="32"/>
      <c r="F702" s="32"/>
      <c r="G702" s="32"/>
      <c r="H702" s="32"/>
      <c r="I702" s="32"/>
      <c r="J702" s="34"/>
      <c r="K702" s="32"/>
      <c r="L702" s="32"/>
      <c r="M702" s="32"/>
      <c r="N702" s="48"/>
    </row>
    <row r="703">
      <c r="A703" s="32"/>
      <c r="B703" s="54"/>
      <c r="C703" s="32"/>
      <c r="D703" s="32"/>
      <c r="E703" s="32"/>
      <c r="F703" s="32"/>
      <c r="G703" s="32"/>
      <c r="H703" s="32"/>
      <c r="I703" s="32"/>
      <c r="J703" s="34"/>
      <c r="K703" s="32"/>
      <c r="L703" s="32"/>
      <c r="M703" s="32"/>
      <c r="N703" s="48"/>
    </row>
    <row r="704">
      <c r="A704" s="32"/>
      <c r="B704" s="54"/>
      <c r="C704" s="32"/>
      <c r="D704" s="32"/>
      <c r="E704" s="32"/>
      <c r="F704" s="32"/>
      <c r="G704" s="32"/>
      <c r="H704" s="32"/>
      <c r="I704" s="32"/>
      <c r="J704" s="34"/>
      <c r="K704" s="32"/>
      <c r="L704" s="32"/>
      <c r="M704" s="32"/>
      <c r="N704" s="48"/>
    </row>
    <row r="705">
      <c r="A705" s="32"/>
      <c r="B705" s="54"/>
      <c r="C705" s="32"/>
      <c r="D705" s="32"/>
      <c r="E705" s="32"/>
      <c r="F705" s="32"/>
      <c r="G705" s="32"/>
      <c r="H705" s="32"/>
      <c r="I705" s="32"/>
      <c r="J705" s="34"/>
      <c r="K705" s="32"/>
      <c r="L705" s="32"/>
      <c r="M705" s="32"/>
      <c r="N705" s="48"/>
    </row>
    <row r="706">
      <c r="A706" s="32"/>
      <c r="B706" s="54"/>
      <c r="C706" s="32"/>
      <c r="D706" s="32"/>
      <c r="E706" s="32"/>
      <c r="F706" s="32"/>
      <c r="G706" s="32"/>
      <c r="H706" s="32"/>
      <c r="I706" s="32"/>
      <c r="J706" s="34"/>
      <c r="K706" s="32"/>
      <c r="L706" s="32"/>
      <c r="M706" s="32"/>
      <c r="N706" s="48"/>
    </row>
    <row r="707">
      <c r="A707" s="32"/>
      <c r="B707" s="54"/>
      <c r="C707" s="32"/>
      <c r="D707" s="32"/>
      <c r="E707" s="32"/>
      <c r="F707" s="32"/>
      <c r="G707" s="32"/>
      <c r="H707" s="32"/>
      <c r="I707" s="32"/>
      <c r="J707" s="34"/>
      <c r="K707" s="32"/>
      <c r="L707" s="32"/>
      <c r="M707" s="32"/>
      <c r="N707" s="48"/>
    </row>
    <row r="708">
      <c r="A708" s="32"/>
      <c r="B708" s="54"/>
      <c r="C708" s="32"/>
      <c r="D708" s="32"/>
      <c r="E708" s="32"/>
      <c r="F708" s="32"/>
      <c r="G708" s="32"/>
      <c r="H708" s="32"/>
      <c r="I708" s="32"/>
      <c r="J708" s="34"/>
      <c r="K708" s="32"/>
      <c r="L708" s="32"/>
      <c r="M708" s="32"/>
      <c r="N708" s="48"/>
    </row>
    <row r="709">
      <c r="A709" s="32"/>
      <c r="B709" s="54"/>
      <c r="C709" s="32"/>
      <c r="D709" s="32"/>
      <c r="E709" s="32"/>
      <c r="F709" s="32"/>
      <c r="G709" s="32"/>
      <c r="H709" s="32"/>
      <c r="I709" s="32"/>
      <c r="J709" s="34"/>
      <c r="K709" s="32"/>
      <c r="L709" s="32"/>
      <c r="M709" s="32"/>
      <c r="N709" s="48"/>
    </row>
    <row r="710">
      <c r="A710" s="32"/>
      <c r="B710" s="54"/>
      <c r="C710" s="32"/>
      <c r="D710" s="32"/>
      <c r="E710" s="32"/>
      <c r="F710" s="32"/>
      <c r="G710" s="32"/>
      <c r="H710" s="32"/>
      <c r="I710" s="32"/>
      <c r="J710" s="34"/>
      <c r="K710" s="32"/>
      <c r="L710" s="32"/>
      <c r="M710" s="32"/>
      <c r="N710" s="48"/>
    </row>
    <row r="711">
      <c r="A711" s="32"/>
      <c r="B711" s="54"/>
      <c r="C711" s="32"/>
      <c r="D711" s="32"/>
      <c r="E711" s="32"/>
      <c r="F711" s="32"/>
      <c r="G711" s="32"/>
      <c r="H711" s="32"/>
      <c r="I711" s="32"/>
      <c r="J711" s="34"/>
      <c r="K711" s="32"/>
      <c r="L711" s="32"/>
      <c r="M711" s="32"/>
      <c r="N711" s="48"/>
    </row>
    <row r="712">
      <c r="A712" s="32"/>
      <c r="B712" s="54"/>
      <c r="C712" s="32"/>
      <c r="D712" s="32"/>
      <c r="E712" s="32"/>
      <c r="F712" s="32"/>
      <c r="G712" s="32"/>
      <c r="H712" s="32"/>
      <c r="I712" s="32"/>
      <c r="J712" s="34"/>
      <c r="K712" s="32"/>
      <c r="L712" s="32"/>
      <c r="M712" s="32"/>
      <c r="N712" s="48"/>
    </row>
    <row r="713">
      <c r="A713" s="32"/>
      <c r="B713" s="54"/>
      <c r="C713" s="32"/>
      <c r="D713" s="32"/>
      <c r="E713" s="32"/>
      <c r="F713" s="32"/>
      <c r="G713" s="32"/>
      <c r="H713" s="32"/>
      <c r="I713" s="32"/>
      <c r="J713" s="34"/>
      <c r="K713" s="32"/>
      <c r="L713" s="32"/>
      <c r="M713" s="32"/>
      <c r="N713" s="48"/>
    </row>
    <row r="714">
      <c r="A714" s="32"/>
      <c r="B714" s="54"/>
      <c r="C714" s="32"/>
      <c r="D714" s="32"/>
      <c r="E714" s="32"/>
      <c r="F714" s="32"/>
      <c r="G714" s="32"/>
      <c r="H714" s="32"/>
      <c r="I714" s="32"/>
      <c r="J714" s="34"/>
      <c r="K714" s="32"/>
      <c r="L714" s="32"/>
      <c r="M714" s="32"/>
      <c r="N714" s="48"/>
    </row>
    <row r="715">
      <c r="A715" s="32"/>
      <c r="B715" s="54"/>
      <c r="C715" s="32"/>
      <c r="D715" s="32"/>
      <c r="E715" s="32"/>
      <c r="F715" s="32"/>
      <c r="G715" s="32"/>
      <c r="H715" s="32"/>
      <c r="I715" s="32"/>
      <c r="J715" s="34"/>
      <c r="K715" s="32"/>
      <c r="L715" s="32"/>
      <c r="M715" s="32"/>
      <c r="N715" s="48"/>
    </row>
    <row r="716">
      <c r="A716" s="32"/>
      <c r="B716" s="54"/>
      <c r="C716" s="32"/>
      <c r="D716" s="32"/>
      <c r="E716" s="32"/>
      <c r="F716" s="32"/>
      <c r="G716" s="32"/>
      <c r="H716" s="32"/>
      <c r="I716" s="32"/>
      <c r="J716" s="34"/>
      <c r="K716" s="32"/>
      <c r="L716" s="32"/>
      <c r="M716" s="32"/>
      <c r="N716" s="48"/>
    </row>
    <row r="717">
      <c r="A717" s="32"/>
      <c r="B717" s="54"/>
      <c r="C717" s="32"/>
      <c r="D717" s="32"/>
      <c r="E717" s="32"/>
      <c r="F717" s="32"/>
      <c r="G717" s="32"/>
      <c r="H717" s="32"/>
      <c r="I717" s="32"/>
      <c r="J717" s="34"/>
      <c r="K717" s="32"/>
      <c r="L717" s="32"/>
      <c r="M717" s="32"/>
      <c r="N717" s="48"/>
    </row>
    <row r="718">
      <c r="A718" s="32"/>
      <c r="B718" s="54"/>
      <c r="C718" s="32"/>
      <c r="D718" s="32"/>
      <c r="E718" s="32"/>
      <c r="F718" s="32"/>
      <c r="G718" s="32"/>
      <c r="H718" s="32"/>
      <c r="I718" s="32"/>
      <c r="J718" s="34"/>
      <c r="K718" s="32"/>
      <c r="L718" s="32"/>
      <c r="M718" s="32"/>
      <c r="N718" s="48"/>
    </row>
    <row r="719">
      <c r="A719" s="32"/>
      <c r="B719" s="54"/>
      <c r="C719" s="32"/>
      <c r="D719" s="32"/>
      <c r="E719" s="32"/>
      <c r="F719" s="32"/>
      <c r="G719" s="32"/>
      <c r="H719" s="32"/>
      <c r="I719" s="32"/>
      <c r="J719" s="34"/>
      <c r="K719" s="32"/>
      <c r="L719" s="32"/>
      <c r="M719" s="32"/>
      <c r="N719" s="48"/>
    </row>
    <row r="720">
      <c r="A720" s="32"/>
      <c r="B720" s="54"/>
      <c r="C720" s="32"/>
      <c r="D720" s="32"/>
      <c r="E720" s="32"/>
      <c r="F720" s="32"/>
      <c r="G720" s="32"/>
      <c r="H720" s="32"/>
      <c r="I720" s="32"/>
      <c r="J720" s="34"/>
      <c r="K720" s="32"/>
      <c r="L720" s="32"/>
      <c r="M720" s="32"/>
      <c r="N720" s="48"/>
    </row>
    <row r="721">
      <c r="A721" s="32"/>
      <c r="B721" s="54"/>
      <c r="C721" s="32"/>
      <c r="D721" s="32"/>
      <c r="E721" s="32"/>
      <c r="F721" s="32"/>
      <c r="G721" s="32"/>
      <c r="H721" s="32"/>
      <c r="I721" s="32"/>
      <c r="J721" s="34"/>
      <c r="K721" s="32"/>
      <c r="L721" s="32"/>
      <c r="M721" s="32"/>
      <c r="N721" s="48"/>
    </row>
    <row r="722">
      <c r="A722" s="32"/>
      <c r="B722" s="54"/>
      <c r="C722" s="32"/>
      <c r="D722" s="32"/>
      <c r="E722" s="32"/>
      <c r="F722" s="32"/>
      <c r="G722" s="32"/>
      <c r="H722" s="32"/>
      <c r="I722" s="32"/>
      <c r="J722" s="34"/>
      <c r="K722" s="32"/>
      <c r="L722" s="32"/>
      <c r="M722" s="32"/>
      <c r="N722" s="48"/>
    </row>
    <row r="723">
      <c r="A723" s="32"/>
      <c r="B723" s="54"/>
      <c r="C723" s="32"/>
      <c r="D723" s="32"/>
      <c r="E723" s="32"/>
      <c r="F723" s="32"/>
      <c r="G723" s="32"/>
      <c r="H723" s="32"/>
      <c r="I723" s="32"/>
      <c r="J723" s="34"/>
      <c r="K723" s="32"/>
      <c r="L723" s="32"/>
      <c r="M723" s="32"/>
      <c r="N723" s="48"/>
    </row>
    <row r="724">
      <c r="A724" s="32"/>
      <c r="B724" s="54"/>
      <c r="C724" s="32"/>
      <c r="D724" s="32"/>
      <c r="E724" s="32"/>
      <c r="F724" s="32"/>
      <c r="G724" s="32"/>
      <c r="H724" s="32"/>
      <c r="I724" s="32"/>
      <c r="J724" s="34"/>
      <c r="K724" s="32"/>
      <c r="L724" s="32"/>
      <c r="M724" s="32"/>
      <c r="N724" s="48"/>
    </row>
    <row r="725">
      <c r="A725" s="32"/>
      <c r="B725" s="54"/>
      <c r="C725" s="32"/>
      <c r="D725" s="32"/>
      <c r="E725" s="32"/>
      <c r="F725" s="32"/>
      <c r="G725" s="32"/>
      <c r="H725" s="32"/>
      <c r="I725" s="32"/>
      <c r="J725" s="34"/>
      <c r="K725" s="32"/>
      <c r="L725" s="32"/>
      <c r="M725" s="32"/>
      <c r="N725" s="48"/>
    </row>
    <row r="726">
      <c r="A726" s="32"/>
      <c r="B726" s="54"/>
      <c r="C726" s="32"/>
      <c r="D726" s="32"/>
      <c r="E726" s="32"/>
      <c r="F726" s="32"/>
      <c r="G726" s="32"/>
      <c r="H726" s="32"/>
      <c r="I726" s="32"/>
      <c r="J726" s="34"/>
      <c r="K726" s="32"/>
      <c r="L726" s="32"/>
      <c r="M726" s="32"/>
      <c r="N726" s="48"/>
    </row>
    <row r="727">
      <c r="A727" s="32"/>
      <c r="B727" s="54"/>
      <c r="C727" s="32"/>
      <c r="D727" s="32"/>
      <c r="E727" s="32"/>
      <c r="F727" s="32"/>
      <c r="G727" s="32"/>
      <c r="H727" s="32"/>
      <c r="I727" s="32"/>
      <c r="J727" s="34"/>
      <c r="K727" s="32"/>
      <c r="L727" s="32"/>
      <c r="M727" s="32"/>
      <c r="N727" s="48"/>
    </row>
    <row r="728">
      <c r="A728" s="32"/>
      <c r="B728" s="54"/>
      <c r="C728" s="32"/>
      <c r="D728" s="32"/>
      <c r="E728" s="32"/>
      <c r="F728" s="32"/>
      <c r="G728" s="32"/>
      <c r="H728" s="32"/>
      <c r="I728" s="32"/>
      <c r="J728" s="34"/>
      <c r="K728" s="32"/>
      <c r="L728" s="32"/>
      <c r="M728" s="32"/>
      <c r="N728" s="48"/>
    </row>
    <row r="729">
      <c r="A729" s="32"/>
      <c r="B729" s="54"/>
      <c r="C729" s="32"/>
      <c r="D729" s="32"/>
      <c r="E729" s="32"/>
      <c r="F729" s="32"/>
      <c r="G729" s="32"/>
      <c r="H729" s="32"/>
      <c r="I729" s="32"/>
      <c r="J729" s="34"/>
      <c r="K729" s="32"/>
      <c r="L729" s="32"/>
      <c r="M729" s="32"/>
      <c r="N729" s="48"/>
    </row>
    <row r="730">
      <c r="A730" s="32"/>
      <c r="B730" s="54"/>
      <c r="C730" s="32"/>
      <c r="D730" s="32"/>
      <c r="E730" s="32"/>
      <c r="F730" s="32"/>
      <c r="G730" s="32"/>
      <c r="H730" s="32"/>
      <c r="I730" s="32"/>
      <c r="J730" s="34"/>
      <c r="K730" s="32"/>
      <c r="L730" s="32"/>
      <c r="M730" s="32"/>
      <c r="N730" s="48"/>
    </row>
    <row r="731">
      <c r="A731" s="32"/>
      <c r="B731" s="54"/>
      <c r="C731" s="32"/>
      <c r="D731" s="32"/>
      <c r="E731" s="32"/>
      <c r="F731" s="32"/>
      <c r="G731" s="32"/>
      <c r="H731" s="32"/>
      <c r="I731" s="32"/>
      <c r="J731" s="34"/>
      <c r="K731" s="32"/>
      <c r="L731" s="32"/>
      <c r="M731" s="32"/>
      <c r="N731" s="48"/>
    </row>
    <row r="732">
      <c r="A732" s="32"/>
      <c r="B732" s="54"/>
      <c r="C732" s="32"/>
      <c r="D732" s="32"/>
      <c r="E732" s="32"/>
      <c r="F732" s="32"/>
      <c r="G732" s="32"/>
      <c r="H732" s="32"/>
      <c r="I732" s="32"/>
      <c r="J732" s="34"/>
      <c r="K732" s="32"/>
      <c r="L732" s="32"/>
      <c r="M732" s="32"/>
      <c r="N732" s="48"/>
    </row>
    <row r="733">
      <c r="A733" s="32"/>
      <c r="B733" s="54"/>
      <c r="C733" s="32"/>
      <c r="D733" s="32"/>
      <c r="E733" s="32"/>
      <c r="F733" s="32"/>
      <c r="G733" s="32"/>
      <c r="H733" s="32"/>
      <c r="I733" s="32"/>
      <c r="J733" s="34"/>
      <c r="K733" s="32"/>
      <c r="L733" s="32"/>
      <c r="M733" s="32"/>
      <c r="N733" s="48"/>
    </row>
    <row r="734">
      <c r="A734" s="32"/>
      <c r="B734" s="54"/>
      <c r="C734" s="32"/>
      <c r="D734" s="32"/>
      <c r="E734" s="32"/>
      <c r="F734" s="32"/>
      <c r="G734" s="32"/>
      <c r="H734" s="32"/>
      <c r="I734" s="32"/>
      <c r="J734" s="34"/>
      <c r="K734" s="32"/>
      <c r="L734" s="32"/>
      <c r="M734" s="32"/>
      <c r="N734" s="48"/>
    </row>
    <row r="735">
      <c r="A735" s="32"/>
      <c r="B735" s="54"/>
      <c r="C735" s="32"/>
      <c r="D735" s="32"/>
      <c r="E735" s="32"/>
      <c r="F735" s="32"/>
      <c r="G735" s="32"/>
      <c r="H735" s="32"/>
      <c r="I735" s="32"/>
      <c r="J735" s="34"/>
      <c r="K735" s="32"/>
      <c r="L735" s="32"/>
      <c r="M735" s="32"/>
      <c r="N735" s="48"/>
    </row>
    <row r="736">
      <c r="A736" s="32"/>
      <c r="B736" s="54"/>
      <c r="C736" s="32"/>
      <c r="D736" s="32"/>
      <c r="E736" s="32"/>
      <c r="F736" s="32"/>
      <c r="G736" s="32"/>
      <c r="H736" s="32"/>
      <c r="I736" s="32"/>
      <c r="J736" s="34"/>
      <c r="K736" s="32"/>
      <c r="L736" s="32"/>
      <c r="M736" s="32"/>
      <c r="N736" s="48"/>
    </row>
    <row r="737">
      <c r="A737" s="32"/>
      <c r="B737" s="54"/>
      <c r="C737" s="32"/>
      <c r="D737" s="32"/>
      <c r="E737" s="32"/>
      <c r="F737" s="32"/>
      <c r="G737" s="32"/>
      <c r="H737" s="32"/>
      <c r="I737" s="32"/>
      <c r="J737" s="34"/>
      <c r="K737" s="32"/>
      <c r="L737" s="32"/>
      <c r="M737" s="32"/>
      <c r="N737" s="48"/>
    </row>
    <row r="738">
      <c r="A738" s="32"/>
      <c r="B738" s="54"/>
      <c r="C738" s="32"/>
      <c r="D738" s="32"/>
      <c r="E738" s="32"/>
      <c r="F738" s="32"/>
      <c r="G738" s="32"/>
      <c r="H738" s="32"/>
      <c r="I738" s="32"/>
      <c r="J738" s="34"/>
      <c r="K738" s="32"/>
      <c r="L738" s="32"/>
      <c r="M738" s="32"/>
      <c r="N738" s="48"/>
    </row>
    <row r="739">
      <c r="A739" s="32"/>
      <c r="B739" s="54"/>
      <c r="C739" s="32"/>
      <c r="D739" s="32"/>
      <c r="E739" s="32"/>
      <c r="F739" s="32"/>
      <c r="G739" s="32"/>
      <c r="H739" s="32"/>
      <c r="I739" s="32"/>
      <c r="J739" s="34"/>
      <c r="K739" s="32"/>
      <c r="L739" s="32"/>
      <c r="M739" s="32"/>
      <c r="N739" s="48"/>
    </row>
    <row r="740">
      <c r="A740" s="32"/>
      <c r="B740" s="54"/>
      <c r="C740" s="32"/>
      <c r="D740" s="32"/>
      <c r="E740" s="32"/>
      <c r="F740" s="32"/>
      <c r="G740" s="32"/>
      <c r="H740" s="32"/>
      <c r="I740" s="32"/>
      <c r="J740" s="34"/>
      <c r="K740" s="32"/>
      <c r="L740" s="32"/>
      <c r="M740" s="32"/>
      <c r="N740" s="48"/>
    </row>
    <row r="741">
      <c r="A741" s="32"/>
      <c r="B741" s="54"/>
      <c r="C741" s="32"/>
      <c r="D741" s="32"/>
      <c r="E741" s="32"/>
      <c r="F741" s="32"/>
      <c r="G741" s="32"/>
      <c r="H741" s="32"/>
      <c r="I741" s="32"/>
      <c r="J741" s="34"/>
      <c r="K741" s="32"/>
      <c r="L741" s="32"/>
      <c r="M741" s="32"/>
      <c r="N741" s="48"/>
    </row>
    <row r="742">
      <c r="A742" s="32"/>
      <c r="B742" s="54"/>
      <c r="C742" s="32"/>
      <c r="D742" s="32"/>
      <c r="E742" s="32"/>
      <c r="F742" s="32"/>
      <c r="G742" s="32"/>
      <c r="H742" s="32"/>
      <c r="I742" s="32"/>
      <c r="J742" s="34"/>
      <c r="K742" s="32"/>
      <c r="L742" s="32"/>
      <c r="M742" s="32"/>
      <c r="N742" s="48"/>
    </row>
    <row r="743">
      <c r="A743" s="32"/>
      <c r="B743" s="54"/>
      <c r="C743" s="32"/>
      <c r="D743" s="32"/>
      <c r="E743" s="32"/>
      <c r="F743" s="32"/>
      <c r="G743" s="32"/>
      <c r="H743" s="32"/>
      <c r="I743" s="32"/>
      <c r="J743" s="34"/>
      <c r="K743" s="32"/>
      <c r="L743" s="32"/>
      <c r="M743" s="32"/>
      <c r="N743" s="48"/>
    </row>
    <row r="744">
      <c r="A744" s="32"/>
      <c r="B744" s="54"/>
      <c r="C744" s="32"/>
      <c r="D744" s="32"/>
      <c r="E744" s="32"/>
      <c r="F744" s="32"/>
      <c r="G744" s="32"/>
      <c r="H744" s="32"/>
      <c r="I744" s="32"/>
      <c r="J744" s="34"/>
      <c r="K744" s="32"/>
      <c r="L744" s="32"/>
      <c r="M744" s="32"/>
      <c r="N744" s="48"/>
    </row>
    <row r="745">
      <c r="A745" s="32"/>
      <c r="B745" s="54"/>
      <c r="C745" s="32"/>
      <c r="D745" s="32"/>
      <c r="E745" s="32"/>
      <c r="F745" s="32"/>
      <c r="G745" s="32"/>
      <c r="H745" s="32"/>
      <c r="I745" s="32"/>
      <c r="J745" s="34"/>
      <c r="K745" s="32"/>
      <c r="L745" s="32"/>
      <c r="M745" s="32"/>
      <c r="N745" s="48"/>
    </row>
    <row r="746">
      <c r="A746" s="32"/>
      <c r="B746" s="54"/>
      <c r="C746" s="32"/>
      <c r="D746" s="32"/>
      <c r="E746" s="32"/>
      <c r="F746" s="32"/>
      <c r="G746" s="32"/>
      <c r="H746" s="32"/>
      <c r="I746" s="32"/>
      <c r="J746" s="34"/>
      <c r="K746" s="32"/>
      <c r="L746" s="32"/>
      <c r="M746" s="32"/>
      <c r="N746" s="48"/>
    </row>
    <row r="747">
      <c r="A747" s="32"/>
      <c r="B747" s="54"/>
      <c r="C747" s="32"/>
      <c r="D747" s="32"/>
      <c r="E747" s="32"/>
      <c r="F747" s="32"/>
      <c r="G747" s="32"/>
      <c r="H747" s="32"/>
      <c r="I747" s="32"/>
      <c r="J747" s="34"/>
      <c r="K747" s="32"/>
      <c r="L747" s="32"/>
      <c r="M747" s="32"/>
      <c r="N747" s="48"/>
    </row>
    <row r="748">
      <c r="A748" s="32"/>
      <c r="B748" s="54"/>
      <c r="C748" s="32"/>
      <c r="D748" s="32"/>
      <c r="E748" s="32"/>
      <c r="F748" s="32"/>
      <c r="G748" s="32"/>
      <c r="H748" s="32"/>
      <c r="I748" s="32"/>
      <c r="J748" s="34"/>
      <c r="K748" s="32"/>
      <c r="L748" s="32"/>
      <c r="M748" s="32"/>
      <c r="N748" s="48"/>
    </row>
    <row r="749">
      <c r="A749" s="32"/>
      <c r="B749" s="54"/>
      <c r="C749" s="32"/>
      <c r="D749" s="32"/>
      <c r="E749" s="32"/>
      <c r="F749" s="32"/>
      <c r="G749" s="32"/>
      <c r="H749" s="32"/>
      <c r="I749" s="32"/>
      <c r="J749" s="34"/>
      <c r="K749" s="32"/>
      <c r="L749" s="32"/>
      <c r="M749" s="32"/>
      <c r="N749" s="48"/>
    </row>
    <row r="750">
      <c r="A750" s="32"/>
      <c r="B750" s="54"/>
      <c r="C750" s="32"/>
      <c r="D750" s="32"/>
      <c r="E750" s="32"/>
      <c r="F750" s="32"/>
      <c r="G750" s="32"/>
      <c r="H750" s="32"/>
      <c r="I750" s="32"/>
      <c r="J750" s="34"/>
      <c r="K750" s="32"/>
      <c r="L750" s="32"/>
      <c r="M750" s="32"/>
      <c r="N750" s="48"/>
    </row>
    <row r="751">
      <c r="A751" s="32"/>
      <c r="B751" s="54"/>
      <c r="C751" s="32"/>
      <c r="D751" s="32"/>
      <c r="E751" s="32"/>
      <c r="F751" s="32"/>
      <c r="G751" s="32"/>
      <c r="H751" s="32"/>
      <c r="I751" s="32"/>
      <c r="J751" s="34"/>
      <c r="K751" s="32"/>
      <c r="L751" s="32"/>
      <c r="M751" s="32"/>
      <c r="N751" s="48"/>
    </row>
    <row r="752">
      <c r="A752" s="32"/>
      <c r="B752" s="54"/>
      <c r="C752" s="32"/>
      <c r="D752" s="32"/>
      <c r="E752" s="32"/>
      <c r="F752" s="32"/>
      <c r="G752" s="32"/>
      <c r="H752" s="32"/>
      <c r="I752" s="32"/>
      <c r="J752" s="34"/>
      <c r="K752" s="32"/>
      <c r="L752" s="32"/>
      <c r="M752" s="32"/>
      <c r="N752" s="48"/>
    </row>
    <row r="753">
      <c r="A753" s="32"/>
      <c r="B753" s="54"/>
      <c r="C753" s="32"/>
      <c r="D753" s="32"/>
      <c r="E753" s="32"/>
      <c r="F753" s="32"/>
      <c r="G753" s="32"/>
      <c r="H753" s="32"/>
      <c r="I753" s="32"/>
      <c r="J753" s="34"/>
      <c r="K753" s="32"/>
      <c r="L753" s="32"/>
      <c r="M753" s="32"/>
      <c r="N753" s="48"/>
    </row>
    <row r="754">
      <c r="A754" s="32"/>
      <c r="B754" s="54"/>
      <c r="C754" s="32"/>
      <c r="D754" s="32"/>
      <c r="E754" s="32"/>
      <c r="F754" s="32"/>
      <c r="G754" s="32"/>
      <c r="H754" s="32"/>
      <c r="I754" s="32"/>
      <c r="J754" s="34"/>
      <c r="K754" s="32"/>
      <c r="L754" s="32"/>
      <c r="M754" s="32"/>
      <c r="N754" s="48"/>
    </row>
    <row r="755">
      <c r="A755" s="32"/>
      <c r="B755" s="54"/>
      <c r="C755" s="32"/>
      <c r="D755" s="32"/>
      <c r="E755" s="32"/>
      <c r="F755" s="32"/>
      <c r="G755" s="32"/>
      <c r="H755" s="32"/>
      <c r="I755" s="32"/>
      <c r="J755" s="34"/>
      <c r="K755" s="32"/>
      <c r="L755" s="32"/>
      <c r="M755" s="32"/>
      <c r="N755" s="48"/>
    </row>
    <row r="756">
      <c r="A756" s="32"/>
      <c r="B756" s="54"/>
      <c r="C756" s="32"/>
      <c r="D756" s="32"/>
      <c r="E756" s="32"/>
      <c r="F756" s="32"/>
      <c r="G756" s="32"/>
      <c r="H756" s="32"/>
      <c r="I756" s="32"/>
      <c r="J756" s="34"/>
      <c r="K756" s="32"/>
      <c r="L756" s="32"/>
      <c r="M756" s="32"/>
      <c r="N756" s="48"/>
    </row>
    <row r="757">
      <c r="A757" s="32"/>
      <c r="B757" s="54"/>
      <c r="C757" s="32"/>
      <c r="D757" s="32"/>
      <c r="E757" s="32"/>
      <c r="F757" s="32"/>
      <c r="G757" s="32"/>
      <c r="H757" s="32"/>
      <c r="I757" s="32"/>
      <c r="J757" s="34"/>
      <c r="K757" s="32"/>
      <c r="L757" s="32"/>
      <c r="M757" s="32"/>
      <c r="N757" s="48"/>
    </row>
    <row r="758">
      <c r="A758" s="32"/>
      <c r="B758" s="54"/>
      <c r="C758" s="32"/>
      <c r="D758" s="32"/>
      <c r="E758" s="32"/>
      <c r="F758" s="32"/>
      <c r="G758" s="32"/>
      <c r="H758" s="32"/>
      <c r="I758" s="32"/>
      <c r="J758" s="34"/>
      <c r="K758" s="32"/>
      <c r="L758" s="32"/>
      <c r="M758" s="32"/>
      <c r="N758" s="48"/>
    </row>
    <row r="759">
      <c r="A759" s="32"/>
      <c r="B759" s="54"/>
      <c r="C759" s="32"/>
      <c r="D759" s="32"/>
      <c r="E759" s="32"/>
      <c r="F759" s="32"/>
      <c r="G759" s="32"/>
      <c r="H759" s="32"/>
      <c r="I759" s="32"/>
      <c r="J759" s="34"/>
      <c r="K759" s="32"/>
      <c r="L759" s="32"/>
      <c r="M759" s="32"/>
      <c r="N759" s="48"/>
    </row>
    <row r="760">
      <c r="A760" s="32"/>
      <c r="B760" s="54"/>
      <c r="C760" s="32"/>
      <c r="D760" s="32"/>
      <c r="E760" s="32"/>
      <c r="F760" s="32"/>
      <c r="G760" s="32"/>
      <c r="H760" s="32"/>
      <c r="I760" s="32"/>
      <c r="J760" s="34"/>
      <c r="K760" s="32"/>
      <c r="L760" s="32"/>
      <c r="M760" s="32"/>
      <c r="N760" s="48"/>
    </row>
    <row r="761">
      <c r="A761" s="32"/>
      <c r="B761" s="54"/>
      <c r="C761" s="32"/>
      <c r="D761" s="32"/>
      <c r="E761" s="32"/>
      <c r="F761" s="32"/>
      <c r="G761" s="32"/>
      <c r="H761" s="32"/>
      <c r="I761" s="32"/>
      <c r="J761" s="34"/>
      <c r="K761" s="32"/>
      <c r="L761" s="32"/>
      <c r="M761" s="32"/>
      <c r="N761" s="48"/>
    </row>
    <row r="762">
      <c r="A762" s="32"/>
      <c r="B762" s="54"/>
      <c r="C762" s="32"/>
      <c r="D762" s="32"/>
      <c r="E762" s="32"/>
      <c r="F762" s="32"/>
      <c r="G762" s="32"/>
      <c r="H762" s="32"/>
      <c r="I762" s="32"/>
      <c r="J762" s="34"/>
      <c r="K762" s="32"/>
      <c r="L762" s="32"/>
      <c r="M762" s="32"/>
      <c r="N762" s="48"/>
    </row>
    <row r="763">
      <c r="A763" s="32"/>
      <c r="B763" s="54"/>
      <c r="C763" s="32"/>
      <c r="D763" s="32"/>
      <c r="E763" s="32"/>
      <c r="F763" s="32"/>
      <c r="G763" s="32"/>
      <c r="H763" s="32"/>
      <c r="I763" s="32"/>
      <c r="J763" s="34"/>
      <c r="K763" s="32"/>
      <c r="L763" s="32"/>
      <c r="M763" s="32"/>
      <c r="N763" s="48"/>
    </row>
    <row r="764">
      <c r="A764" s="32"/>
      <c r="B764" s="54"/>
      <c r="C764" s="32"/>
      <c r="D764" s="32"/>
      <c r="E764" s="32"/>
      <c r="F764" s="32"/>
      <c r="G764" s="32"/>
      <c r="H764" s="32"/>
      <c r="I764" s="32"/>
      <c r="J764" s="34"/>
      <c r="K764" s="32"/>
      <c r="L764" s="32"/>
      <c r="M764" s="32"/>
      <c r="N764" s="48"/>
    </row>
    <row r="765">
      <c r="A765" s="32"/>
      <c r="B765" s="54"/>
      <c r="C765" s="32"/>
      <c r="D765" s="32"/>
      <c r="E765" s="32"/>
      <c r="F765" s="32"/>
      <c r="G765" s="32"/>
      <c r="H765" s="32"/>
      <c r="I765" s="32"/>
      <c r="J765" s="34"/>
      <c r="K765" s="32"/>
      <c r="L765" s="32"/>
      <c r="M765" s="32"/>
      <c r="N765" s="48"/>
    </row>
    <row r="766">
      <c r="A766" s="32"/>
      <c r="B766" s="54"/>
      <c r="C766" s="32"/>
      <c r="D766" s="32"/>
      <c r="E766" s="32"/>
      <c r="F766" s="32"/>
      <c r="G766" s="32"/>
      <c r="H766" s="32"/>
      <c r="I766" s="32"/>
      <c r="J766" s="34"/>
      <c r="K766" s="32"/>
      <c r="L766" s="32"/>
      <c r="M766" s="32"/>
      <c r="N766" s="48"/>
    </row>
    <row r="767">
      <c r="A767" s="32"/>
      <c r="B767" s="54"/>
      <c r="C767" s="32"/>
      <c r="D767" s="32"/>
      <c r="E767" s="32"/>
      <c r="F767" s="32"/>
      <c r="G767" s="32"/>
      <c r="H767" s="32"/>
      <c r="I767" s="32"/>
      <c r="J767" s="34"/>
      <c r="K767" s="32"/>
      <c r="L767" s="32"/>
      <c r="M767" s="32"/>
      <c r="N767" s="48"/>
    </row>
    <row r="768">
      <c r="A768" s="32"/>
      <c r="B768" s="54"/>
      <c r="C768" s="32"/>
      <c r="D768" s="32"/>
      <c r="E768" s="32"/>
      <c r="F768" s="32"/>
      <c r="G768" s="32"/>
      <c r="H768" s="32"/>
      <c r="I768" s="32"/>
      <c r="J768" s="34"/>
      <c r="K768" s="32"/>
      <c r="L768" s="32"/>
      <c r="M768" s="32"/>
      <c r="N768" s="48"/>
    </row>
    <row r="769">
      <c r="A769" s="32"/>
      <c r="B769" s="54"/>
      <c r="C769" s="32"/>
      <c r="D769" s="32"/>
      <c r="E769" s="32"/>
      <c r="F769" s="32"/>
      <c r="G769" s="32"/>
      <c r="H769" s="32"/>
      <c r="I769" s="32"/>
      <c r="J769" s="34"/>
      <c r="K769" s="32"/>
      <c r="L769" s="32"/>
      <c r="M769" s="32"/>
      <c r="N769" s="48"/>
    </row>
    <row r="770">
      <c r="A770" s="32"/>
      <c r="B770" s="54"/>
      <c r="C770" s="32"/>
      <c r="D770" s="32"/>
      <c r="E770" s="32"/>
      <c r="F770" s="32"/>
      <c r="G770" s="32"/>
      <c r="H770" s="32"/>
      <c r="I770" s="32"/>
      <c r="J770" s="34"/>
      <c r="K770" s="32"/>
      <c r="L770" s="32"/>
      <c r="M770" s="32"/>
      <c r="N770" s="48"/>
    </row>
    <row r="771">
      <c r="A771" s="32"/>
      <c r="B771" s="54"/>
      <c r="C771" s="32"/>
      <c r="D771" s="32"/>
      <c r="E771" s="32"/>
      <c r="F771" s="32"/>
      <c r="G771" s="32"/>
      <c r="H771" s="32"/>
      <c r="I771" s="32"/>
      <c r="J771" s="34"/>
      <c r="K771" s="32"/>
      <c r="L771" s="32"/>
      <c r="M771" s="32"/>
      <c r="N771" s="48"/>
    </row>
    <row r="772">
      <c r="A772" s="32"/>
      <c r="B772" s="54"/>
      <c r="C772" s="32"/>
      <c r="D772" s="32"/>
      <c r="E772" s="32"/>
      <c r="F772" s="32"/>
      <c r="G772" s="32"/>
      <c r="H772" s="32"/>
      <c r="I772" s="32"/>
      <c r="J772" s="34"/>
      <c r="K772" s="32"/>
      <c r="L772" s="32"/>
      <c r="M772" s="32"/>
      <c r="N772" s="48"/>
    </row>
    <row r="773">
      <c r="A773" s="32"/>
      <c r="B773" s="54"/>
      <c r="C773" s="32"/>
      <c r="D773" s="32"/>
      <c r="E773" s="32"/>
      <c r="F773" s="32"/>
      <c r="G773" s="32"/>
      <c r="H773" s="32"/>
      <c r="I773" s="32"/>
      <c r="J773" s="34"/>
      <c r="K773" s="32"/>
      <c r="L773" s="32"/>
      <c r="M773" s="32"/>
      <c r="N773" s="48"/>
    </row>
    <row r="774">
      <c r="A774" s="32"/>
      <c r="B774" s="54"/>
      <c r="C774" s="32"/>
      <c r="D774" s="32"/>
      <c r="E774" s="32"/>
      <c r="F774" s="32"/>
      <c r="G774" s="32"/>
      <c r="H774" s="32"/>
      <c r="I774" s="32"/>
      <c r="J774" s="34"/>
      <c r="K774" s="32"/>
      <c r="L774" s="32"/>
      <c r="M774" s="32"/>
      <c r="N774" s="48"/>
    </row>
    <row r="775">
      <c r="A775" s="32"/>
      <c r="B775" s="54"/>
      <c r="C775" s="32"/>
      <c r="D775" s="32"/>
      <c r="E775" s="32"/>
      <c r="F775" s="32"/>
      <c r="G775" s="32"/>
      <c r="H775" s="32"/>
      <c r="I775" s="32"/>
      <c r="J775" s="34"/>
      <c r="K775" s="32"/>
      <c r="L775" s="32"/>
      <c r="M775" s="32"/>
      <c r="N775" s="48"/>
    </row>
    <row r="776">
      <c r="A776" s="32"/>
      <c r="B776" s="54"/>
      <c r="C776" s="32"/>
      <c r="D776" s="32"/>
      <c r="E776" s="32"/>
      <c r="F776" s="32"/>
      <c r="G776" s="32"/>
      <c r="H776" s="32"/>
      <c r="I776" s="32"/>
      <c r="J776" s="34"/>
      <c r="K776" s="32"/>
      <c r="L776" s="32"/>
      <c r="M776" s="32"/>
      <c r="N776" s="48"/>
    </row>
    <row r="777">
      <c r="A777" s="32"/>
      <c r="B777" s="54"/>
      <c r="C777" s="32"/>
      <c r="D777" s="32"/>
      <c r="E777" s="32"/>
      <c r="F777" s="32"/>
      <c r="G777" s="32"/>
      <c r="H777" s="32"/>
      <c r="I777" s="32"/>
      <c r="J777" s="34"/>
      <c r="K777" s="32"/>
      <c r="L777" s="32"/>
      <c r="M777" s="32"/>
      <c r="N777" s="48"/>
    </row>
    <row r="778">
      <c r="A778" s="32"/>
      <c r="B778" s="54"/>
      <c r="C778" s="32"/>
      <c r="D778" s="32"/>
      <c r="E778" s="32"/>
      <c r="F778" s="32"/>
      <c r="G778" s="32"/>
      <c r="H778" s="32"/>
      <c r="I778" s="32"/>
      <c r="J778" s="34"/>
      <c r="K778" s="32"/>
      <c r="L778" s="32"/>
      <c r="M778" s="32"/>
      <c r="N778" s="48"/>
    </row>
    <row r="779">
      <c r="A779" s="32"/>
      <c r="B779" s="54"/>
      <c r="C779" s="32"/>
      <c r="D779" s="32"/>
      <c r="E779" s="32"/>
      <c r="F779" s="32"/>
      <c r="G779" s="32"/>
      <c r="H779" s="32"/>
      <c r="I779" s="32"/>
      <c r="J779" s="34"/>
      <c r="K779" s="32"/>
      <c r="L779" s="32"/>
      <c r="M779" s="32"/>
      <c r="N779" s="48"/>
    </row>
    <row r="780">
      <c r="A780" s="32"/>
      <c r="B780" s="54"/>
      <c r="C780" s="32"/>
      <c r="D780" s="32"/>
      <c r="E780" s="32"/>
      <c r="F780" s="32"/>
      <c r="G780" s="32"/>
      <c r="H780" s="32"/>
      <c r="I780" s="32"/>
      <c r="J780" s="34"/>
      <c r="K780" s="32"/>
      <c r="L780" s="32"/>
      <c r="M780" s="32"/>
      <c r="N780" s="48"/>
    </row>
    <row r="781">
      <c r="A781" s="32"/>
      <c r="B781" s="54"/>
      <c r="C781" s="32"/>
      <c r="D781" s="32"/>
      <c r="E781" s="32"/>
      <c r="F781" s="32"/>
      <c r="G781" s="32"/>
      <c r="H781" s="32"/>
      <c r="I781" s="32"/>
      <c r="J781" s="34"/>
      <c r="K781" s="32"/>
      <c r="L781" s="32"/>
      <c r="M781" s="32"/>
      <c r="N781" s="48"/>
    </row>
    <row r="782">
      <c r="A782" s="32"/>
      <c r="B782" s="54"/>
      <c r="C782" s="32"/>
      <c r="D782" s="32"/>
      <c r="E782" s="32"/>
      <c r="F782" s="32"/>
      <c r="G782" s="32"/>
      <c r="H782" s="32"/>
      <c r="I782" s="32"/>
      <c r="J782" s="34"/>
      <c r="K782" s="32"/>
      <c r="L782" s="32"/>
      <c r="M782" s="32"/>
      <c r="N782" s="48"/>
    </row>
    <row r="783">
      <c r="A783" s="32"/>
      <c r="B783" s="54"/>
      <c r="C783" s="32"/>
      <c r="D783" s="32"/>
      <c r="E783" s="32"/>
      <c r="F783" s="32"/>
      <c r="G783" s="32"/>
      <c r="H783" s="32"/>
      <c r="I783" s="32"/>
      <c r="J783" s="34"/>
      <c r="K783" s="32"/>
      <c r="L783" s="32"/>
      <c r="M783" s="32"/>
      <c r="N783" s="48"/>
    </row>
    <row r="784">
      <c r="A784" s="32"/>
      <c r="B784" s="54"/>
      <c r="C784" s="32"/>
      <c r="D784" s="32"/>
      <c r="E784" s="32"/>
      <c r="F784" s="32"/>
      <c r="G784" s="32"/>
      <c r="H784" s="32"/>
      <c r="I784" s="32"/>
      <c r="J784" s="34"/>
      <c r="K784" s="32"/>
      <c r="L784" s="32"/>
      <c r="M784" s="32"/>
      <c r="N784" s="48"/>
    </row>
    <row r="785">
      <c r="A785" s="32"/>
      <c r="B785" s="54"/>
      <c r="C785" s="32"/>
      <c r="D785" s="32"/>
      <c r="E785" s="32"/>
      <c r="F785" s="32"/>
      <c r="G785" s="32"/>
      <c r="H785" s="32"/>
      <c r="I785" s="32"/>
      <c r="J785" s="34"/>
      <c r="K785" s="32"/>
      <c r="L785" s="32"/>
      <c r="M785" s="32"/>
      <c r="N785" s="48"/>
    </row>
    <row r="786">
      <c r="A786" s="32"/>
      <c r="B786" s="54"/>
      <c r="C786" s="32"/>
      <c r="D786" s="32"/>
      <c r="E786" s="32"/>
      <c r="F786" s="32"/>
      <c r="G786" s="32"/>
      <c r="H786" s="32"/>
      <c r="I786" s="32"/>
      <c r="J786" s="34"/>
      <c r="K786" s="32"/>
      <c r="L786" s="32"/>
      <c r="M786" s="32"/>
      <c r="N786" s="48"/>
    </row>
    <row r="787">
      <c r="A787" s="32"/>
      <c r="B787" s="54"/>
      <c r="C787" s="32"/>
      <c r="D787" s="32"/>
      <c r="E787" s="32"/>
      <c r="F787" s="32"/>
      <c r="G787" s="32"/>
      <c r="H787" s="32"/>
      <c r="I787" s="32"/>
      <c r="J787" s="34"/>
      <c r="K787" s="32"/>
      <c r="L787" s="32"/>
      <c r="M787" s="32"/>
      <c r="N787" s="48"/>
    </row>
    <row r="788">
      <c r="A788" s="32"/>
      <c r="B788" s="54"/>
      <c r="C788" s="32"/>
      <c r="D788" s="32"/>
      <c r="E788" s="32"/>
      <c r="F788" s="32"/>
      <c r="G788" s="32"/>
      <c r="H788" s="32"/>
      <c r="I788" s="32"/>
      <c r="J788" s="34"/>
      <c r="K788" s="32"/>
      <c r="L788" s="32"/>
      <c r="M788" s="32"/>
      <c r="N788" s="48"/>
    </row>
    <row r="789">
      <c r="A789" s="32"/>
      <c r="B789" s="54"/>
      <c r="C789" s="32"/>
      <c r="D789" s="32"/>
      <c r="E789" s="32"/>
      <c r="F789" s="32"/>
      <c r="G789" s="32"/>
      <c r="H789" s="32"/>
      <c r="I789" s="32"/>
      <c r="J789" s="34"/>
      <c r="K789" s="32"/>
      <c r="L789" s="32"/>
      <c r="M789" s="32"/>
      <c r="N789" s="48"/>
    </row>
    <row r="790">
      <c r="A790" s="32"/>
      <c r="B790" s="54"/>
      <c r="C790" s="32"/>
      <c r="D790" s="32"/>
      <c r="E790" s="32"/>
      <c r="F790" s="32"/>
      <c r="G790" s="32"/>
      <c r="H790" s="32"/>
      <c r="I790" s="32"/>
      <c r="J790" s="34"/>
      <c r="K790" s="32"/>
      <c r="L790" s="32"/>
      <c r="M790" s="32"/>
      <c r="N790" s="48"/>
    </row>
    <row r="791">
      <c r="A791" s="32"/>
      <c r="B791" s="54"/>
      <c r="C791" s="32"/>
      <c r="D791" s="32"/>
      <c r="E791" s="32"/>
      <c r="F791" s="32"/>
      <c r="G791" s="32"/>
      <c r="H791" s="32"/>
      <c r="I791" s="32"/>
      <c r="J791" s="34"/>
      <c r="K791" s="32"/>
      <c r="L791" s="32"/>
      <c r="M791" s="32"/>
      <c r="N791" s="48"/>
    </row>
    <row r="792">
      <c r="A792" s="32"/>
      <c r="B792" s="54"/>
      <c r="C792" s="32"/>
      <c r="D792" s="32"/>
      <c r="E792" s="32"/>
      <c r="F792" s="32"/>
      <c r="G792" s="32"/>
      <c r="H792" s="32"/>
      <c r="I792" s="32"/>
      <c r="J792" s="34"/>
      <c r="K792" s="32"/>
      <c r="L792" s="32"/>
      <c r="M792" s="32"/>
      <c r="N792" s="48"/>
    </row>
    <row r="793">
      <c r="A793" s="32"/>
      <c r="B793" s="54"/>
      <c r="C793" s="32"/>
      <c r="D793" s="32"/>
      <c r="E793" s="32"/>
      <c r="F793" s="32"/>
      <c r="G793" s="32"/>
      <c r="H793" s="32"/>
      <c r="I793" s="32"/>
      <c r="J793" s="34"/>
      <c r="K793" s="32"/>
      <c r="L793" s="32"/>
      <c r="M793" s="32"/>
      <c r="N793" s="48"/>
    </row>
    <row r="794">
      <c r="A794" s="32"/>
      <c r="B794" s="54"/>
      <c r="C794" s="32"/>
      <c r="D794" s="32"/>
      <c r="E794" s="32"/>
      <c r="F794" s="32"/>
      <c r="G794" s="32"/>
      <c r="H794" s="32"/>
      <c r="I794" s="32"/>
      <c r="J794" s="34"/>
      <c r="K794" s="32"/>
      <c r="L794" s="32"/>
      <c r="M794" s="32"/>
      <c r="N794" s="48"/>
    </row>
    <row r="795">
      <c r="A795" s="32"/>
      <c r="B795" s="54"/>
      <c r="C795" s="32"/>
      <c r="D795" s="32"/>
      <c r="E795" s="32"/>
      <c r="F795" s="32"/>
      <c r="G795" s="32"/>
      <c r="H795" s="32"/>
      <c r="I795" s="32"/>
      <c r="J795" s="34"/>
      <c r="K795" s="32"/>
      <c r="L795" s="32"/>
      <c r="M795" s="32"/>
      <c r="N795" s="48"/>
    </row>
    <row r="796">
      <c r="A796" s="32"/>
      <c r="B796" s="54"/>
      <c r="C796" s="32"/>
      <c r="D796" s="32"/>
      <c r="E796" s="32"/>
      <c r="F796" s="32"/>
      <c r="G796" s="32"/>
      <c r="H796" s="32"/>
      <c r="I796" s="32"/>
      <c r="J796" s="34"/>
      <c r="K796" s="32"/>
      <c r="L796" s="32"/>
      <c r="M796" s="32"/>
      <c r="N796" s="48"/>
    </row>
    <row r="797">
      <c r="A797" s="32"/>
      <c r="B797" s="54"/>
      <c r="C797" s="32"/>
      <c r="D797" s="32"/>
      <c r="E797" s="32"/>
      <c r="F797" s="32"/>
      <c r="G797" s="32"/>
      <c r="H797" s="32"/>
      <c r="I797" s="32"/>
      <c r="J797" s="34"/>
      <c r="K797" s="32"/>
      <c r="L797" s="32"/>
      <c r="M797" s="32"/>
      <c r="N797" s="48"/>
    </row>
    <row r="798">
      <c r="A798" s="32"/>
      <c r="B798" s="54"/>
      <c r="C798" s="32"/>
      <c r="D798" s="32"/>
      <c r="E798" s="32"/>
      <c r="F798" s="32"/>
      <c r="G798" s="32"/>
      <c r="H798" s="32"/>
      <c r="I798" s="32"/>
      <c r="J798" s="34"/>
      <c r="K798" s="32"/>
      <c r="L798" s="32"/>
      <c r="M798" s="32"/>
      <c r="N798" s="48"/>
    </row>
    <row r="799">
      <c r="A799" s="32"/>
      <c r="B799" s="54"/>
      <c r="C799" s="32"/>
      <c r="D799" s="32"/>
      <c r="E799" s="32"/>
      <c r="F799" s="32"/>
      <c r="G799" s="32"/>
      <c r="H799" s="32"/>
      <c r="I799" s="32"/>
      <c r="J799" s="34"/>
      <c r="K799" s="32"/>
      <c r="L799" s="32"/>
      <c r="M799" s="32"/>
      <c r="N799" s="48"/>
    </row>
    <row r="800">
      <c r="A800" s="32"/>
      <c r="B800" s="54"/>
      <c r="C800" s="32"/>
      <c r="D800" s="32"/>
      <c r="E800" s="32"/>
      <c r="F800" s="32"/>
      <c r="G800" s="32"/>
      <c r="H800" s="32"/>
      <c r="I800" s="32"/>
      <c r="J800" s="34"/>
      <c r="K800" s="32"/>
      <c r="L800" s="32"/>
      <c r="M800" s="32"/>
      <c r="N800" s="48"/>
    </row>
    <row r="801">
      <c r="A801" s="32"/>
      <c r="B801" s="54"/>
      <c r="C801" s="32"/>
      <c r="D801" s="32"/>
      <c r="E801" s="32"/>
      <c r="F801" s="32"/>
      <c r="G801" s="32"/>
      <c r="H801" s="32"/>
      <c r="I801" s="32"/>
      <c r="J801" s="34"/>
      <c r="K801" s="32"/>
      <c r="L801" s="32"/>
      <c r="M801" s="32"/>
      <c r="N801" s="48"/>
    </row>
    <row r="802">
      <c r="A802" s="32"/>
      <c r="B802" s="54"/>
      <c r="C802" s="32"/>
      <c r="D802" s="32"/>
      <c r="E802" s="32"/>
      <c r="F802" s="32"/>
      <c r="G802" s="32"/>
      <c r="H802" s="32"/>
      <c r="I802" s="32"/>
      <c r="J802" s="34"/>
      <c r="K802" s="32"/>
      <c r="L802" s="32"/>
      <c r="M802" s="32"/>
      <c r="N802" s="48"/>
    </row>
    <row r="803">
      <c r="A803" s="32"/>
      <c r="B803" s="54"/>
      <c r="C803" s="32"/>
      <c r="D803" s="32"/>
      <c r="E803" s="32"/>
      <c r="F803" s="32"/>
      <c r="G803" s="32"/>
      <c r="H803" s="32"/>
      <c r="I803" s="32"/>
      <c r="J803" s="34"/>
      <c r="K803" s="32"/>
      <c r="L803" s="32"/>
      <c r="M803" s="32"/>
      <c r="N803" s="48"/>
    </row>
    <row r="804">
      <c r="A804" s="32"/>
      <c r="B804" s="54"/>
      <c r="C804" s="32"/>
      <c r="D804" s="32"/>
      <c r="E804" s="32"/>
      <c r="F804" s="32"/>
      <c r="G804" s="32"/>
      <c r="H804" s="32"/>
      <c r="I804" s="32"/>
      <c r="J804" s="34"/>
      <c r="K804" s="32"/>
      <c r="L804" s="32"/>
      <c r="M804" s="32"/>
      <c r="N804" s="48"/>
    </row>
    <row r="805">
      <c r="A805" s="32"/>
      <c r="B805" s="54"/>
      <c r="C805" s="32"/>
      <c r="D805" s="32"/>
      <c r="E805" s="32"/>
      <c r="F805" s="32"/>
      <c r="G805" s="32"/>
      <c r="H805" s="32"/>
      <c r="I805" s="32"/>
      <c r="J805" s="34"/>
      <c r="K805" s="32"/>
      <c r="L805" s="32"/>
      <c r="M805" s="32"/>
      <c r="N805" s="48"/>
    </row>
    <row r="806">
      <c r="A806" s="32"/>
      <c r="B806" s="54"/>
      <c r="C806" s="32"/>
      <c r="D806" s="32"/>
      <c r="E806" s="32"/>
      <c r="F806" s="32"/>
      <c r="G806" s="32"/>
      <c r="H806" s="32"/>
      <c r="I806" s="32"/>
      <c r="J806" s="34"/>
      <c r="K806" s="32"/>
      <c r="L806" s="32"/>
      <c r="M806" s="32"/>
      <c r="N806" s="48"/>
    </row>
    <row r="807">
      <c r="A807" s="32"/>
      <c r="B807" s="54"/>
      <c r="C807" s="32"/>
      <c r="D807" s="32"/>
      <c r="E807" s="32"/>
      <c r="F807" s="32"/>
      <c r="G807" s="32"/>
      <c r="H807" s="32"/>
      <c r="I807" s="32"/>
      <c r="J807" s="34"/>
      <c r="K807" s="32"/>
      <c r="L807" s="32"/>
      <c r="M807" s="32"/>
      <c r="N807" s="48"/>
    </row>
    <row r="808">
      <c r="A808" s="32"/>
      <c r="B808" s="54"/>
      <c r="C808" s="32"/>
      <c r="D808" s="32"/>
      <c r="E808" s="32"/>
      <c r="F808" s="32"/>
      <c r="G808" s="32"/>
      <c r="H808" s="32"/>
      <c r="I808" s="32"/>
      <c r="J808" s="34"/>
      <c r="K808" s="32"/>
      <c r="L808" s="32"/>
      <c r="M808" s="32"/>
      <c r="N808" s="48"/>
    </row>
    <row r="809">
      <c r="A809" s="32"/>
      <c r="B809" s="54"/>
      <c r="C809" s="32"/>
      <c r="D809" s="32"/>
      <c r="E809" s="32"/>
      <c r="F809" s="32"/>
      <c r="G809" s="32"/>
      <c r="H809" s="32"/>
      <c r="I809" s="32"/>
      <c r="J809" s="34"/>
      <c r="K809" s="32"/>
      <c r="L809" s="32"/>
      <c r="M809" s="32"/>
      <c r="N809" s="48"/>
    </row>
    <row r="810">
      <c r="A810" s="32"/>
      <c r="B810" s="54"/>
      <c r="C810" s="32"/>
      <c r="D810" s="32"/>
      <c r="E810" s="32"/>
      <c r="F810" s="32"/>
      <c r="G810" s="32"/>
      <c r="H810" s="32"/>
      <c r="I810" s="32"/>
      <c r="J810" s="34"/>
      <c r="K810" s="32"/>
      <c r="L810" s="32"/>
      <c r="M810" s="32"/>
      <c r="N810" s="48"/>
    </row>
    <row r="811">
      <c r="A811" s="32"/>
      <c r="B811" s="54"/>
      <c r="C811" s="32"/>
      <c r="D811" s="32"/>
      <c r="E811" s="32"/>
      <c r="F811" s="32"/>
      <c r="G811" s="32"/>
      <c r="H811" s="32"/>
      <c r="I811" s="32"/>
      <c r="J811" s="34"/>
      <c r="K811" s="32"/>
      <c r="L811" s="32"/>
      <c r="M811" s="32"/>
      <c r="N811" s="48"/>
    </row>
    <row r="812">
      <c r="A812" s="32"/>
      <c r="B812" s="54"/>
      <c r="C812" s="32"/>
      <c r="D812" s="32"/>
      <c r="E812" s="32"/>
      <c r="F812" s="32"/>
      <c r="G812" s="32"/>
      <c r="H812" s="32"/>
      <c r="I812" s="32"/>
      <c r="J812" s="34"/>
      <c r="K812" s="32"/>
      <c r="L812" s="32"/>
      <c r="M812" s="32"/>
      <c r="N812" s="48"/>
    </row>
    <row r="813">
      <c r="A813" s="32"/>
      <c r="B813" s="54"/>
      <c r="C813" s="32"/>
      <c r="D813" s="32"/>
      <c r="E813" s="32"/>
      <c r="F813" s="32"/>
      <c r="G813" s="32"/>
      <c r="H813" s="32"/>
      <c r="I813" s="32"/>
      <c r="J813" s="34"/>
      <c r="K813" s="32"/>
      <c r="L813" s="32"/>
      <c r="M813" s="32"/>
      <c r="N813" s="48"/>
    </row>
    <row r="814">
      <c r="A814" s="32"/>
      <c r="B814" s="54"/>
      <c r="C814" s="32"/>
      <c r="D814" s="32"/>
      <c r="E814" s="32"/>
      <c r="F814" s="32"/>
      <c r="G814" s="32"/>
      <c r="H814" s="32"/>
      <c r="I814" s="32"/>
      <c r="J814" s="34"/>
      <c r="K814" s="32"/>
      <c r="L814" s="32"/>
      <c r="M814" s="32"/>
      <c r="N814" s="48"/>
    </row>
    <row r="815">
      <c r="A815" s="32"/>
      <c r="B815" s="54"/>
      <c r="C815" s="32"/>
      <c r="D815" s="32"/>
      <c r="E815" s="32"/>
      <c r="F815" s="32"/>
      <c r="G815" s="32"/>
      <c r="H815" s="32"/>
      <c r="I815" s="32"/>
      <c r="J815" s="34"/>
      <c r="K815" s="32"/>
      <c r="L815" s="32"/>
      <c r="M815" s="32"/>
      <c r="N815" s="48"/>
    </row>
    <row r="816">
      <c r="A816" s="32"/>
      <c r="B816" s="54"/>
      <c r="C816" s="32"/>
      <c r="D816" s="32"/>
      <c r="E816" s="32"/>
      <c r="F816" s="32"/>
      <c r="G816" s="32"/>
      <c r="H816" s="32"/>
      <c r="I816" s="32"/>
      <c r="J816" s="34"/>
      <c r="K816" s="32"/>
      <c r="L816" s="32"/>
      <c r="M816" s="32"/>
      <c r="N816" s="48"/>
    </row>
    <row r="817">
      <c r="A817" s="32"/>
      <c r="B817" s="54"/>
      <c r="C817" s="32"/>
      <c r="D817" s="32"/>
      <c r="E817" s="32"/>
      <c r="F817" s="32"/>
      <c r="G817" s="32"/>
      <c r="H817" s="32"/>
      <c r="I817" s="32"/>
      <c r="J817" s="34"/>
      <c r="K817" s="32"/>
      <c r="L817" s="32"/>
      <c r="M817" s="32"/>
      <c r="N817" s="48"/>
    </row>
    <row r="818">
      <c r="A818" s="32"/>
      <c r="B818" s="54"/>
      <c r="C818" s="32"/>
      <c r="D818" s="32"/>
      <c r="E818" s="32"/>
      <c r="F818" s="32"/>
      <c r="G818" s="32"/>
      <c r="H818" s="32"/>
      <c r="I818" s="32"/>
      <c r="J818" s="34"/>
      <c r="K818" s="32"/>
      <c r="L818" s="32"/>
      <c r="M818" s="32"/>
      <c r="N818" s="48"/>
    </row>
    <row r="819">
      <c r="A819" s="32"/>
      <c r="B819" s="54"/>
      <c r="C819" s="32"/>
      <c r="D819" s="32"/>
      <c r="E819" s="32"/>
      <c r="F819" s="32"/>
      <c r="G819" s="32"/>
      <c r="H819" s="32"/>
      <c r="I819" s="32"/>
      <c r="J819" s="34"/>
      <c r="K819" s="32"/>
      <c r="L819" s="32"/>
      <c r="M819" s="32"/>
      <c r="N819" s="48"/>
    </row>
    <row r="820">
      <c r="A820" s="32"/>
      <c r="B820" s="54"/>
      <c r="C820" s="32"/>
      <c r="D820" s="32"/>
      <c r="E820" s="32"/>
      <c r="F820" s="32"/>
      <c r="G820" s="32"/>
      <c r="H820" s="32"/>
      <c r="I820" s="32"/>
      <c r="J820" s="34"/>
      <c r="K820" s="32"/>
      <c r="L820" s="32"/>
      <c r="M820" s="32"/>
      <c r="N820" s="48"/>
    </row>
    <row r="821">
      <c r="A821" s="32"/>
      <c r="B821" s="54"/>
      <c r="C821" s="32"/>
      <c r="D821" s="32"/>
      <c r="E821" s="32"/>
      <c r="F821" s="32"/>
      <c r="G821" s="32"/>
      <c r="H821" s="32"/>
      <c r="I821" s="32"/>
      <c r="J821" s="34"/>
      <c r="K821" s="32"/>
      <c r="L821" s="32"/>
      <c r="M821" s="32"/>
      <c r="N821" s="48"/>
    </row>
    <row r="822">
      <c r="A822" s="32"/>
      <c r="B822" s="54"/>
      <c r="C822" s="32"/>
      <c r="D822" s="32"/>
      <c r="E822" s="32"/>
      <c r="F822" s="32"/>
      <c r="G822" s="32"/>
      <c r="H822" s="32"/>
      <c r="I822" s="32"/>
      <c r="J822" s="34"/>
      <c r="K822" s="32"/>
      <c r="L822" s="32"/>
      <c r="M822" s="32"/>
      <c r="N822" s="48"/>
    </row>
    <row r="823">
      <c r="A823" s="32"/>
      <c r="B823" s="54"/>
      <c r="C823" s="32"/>
      <c r="D823" s="32"/>
      <c r="E823" s="32"/>
      <c r="F823" s="32"/>
      <c r="G823" s="32"/>
      <c r="H823" s="32"/>
      <c r="I823" s="32"/>
      <c r="J823" s="34"/>
      <c r="K823" s="32"/>
      <c r="L823" s="32"/>
      <c r="M823" s="32"/>
      <c r="N823" s="48"/>
    </row>
    <row r="824">
      <c r="A824" s="32"/>
      <c r="B824" s="54"/>
      <c r="C824" s="32"/>
      <c r="D824" s="32"/>
      <c r="E824" s="32"/>
      <c r="F824" s="32"/>
      <c r="G824" s="32"/>
      <c r="H824" s="32"/>
      <c r="I824" s="32"/>
      <c r="J824" s="34"/>
      <c r="K824" s="32"/>
      <c r="L824" s="32"/>
      <c r="M824" s="32"/>
      <c r="N824" s="48"/>
    </row>
    <row r="825">
      <c r="A825" s="32"/>
      <c r="B825" s="54"/>
      <c r="C825" s="32"/>
      <c r="D825" s="32"/>
      <c r="E825" s="32"/>
      <c r="F825" s="32"/>
      <c r="G825" s="32"/>
      <c r="H825" s="32"/>
      <c r="I825" s="32"/>
      <c r="J825" s="34"/>
      <c r="K825" s="32"/>
      <c r="L825" s="32"/>
      <c r="M825" s="32"/>
      <c r="N825" s="48"/>
    </row>
    <row r="826">
      <c r="A826" s="32"/>
      <c r="B826" s="54"/>
      <c r="C826" s="32"/>
      <c r="D826" s="32"/>
      <c r="E826" s="32"/>
      <c r="F826" s="32"/>
      <c r="G826" s="32"/>
      <c r="H826" s="32"/>
      <c r="I826" s="32"/>
      <c r="J826" s="34"/>
      <c r="K826" s="32"/>
      <c r="L826" s="32"/>
      <c r="M826" s="32"/>
      <c r="N826" s="48"/>
    </row>
    <row r="827">
      <c r="A827" s="32"/>
      <c r="B827" s="54"/>
      <c r="C827" s="32"/>
      <c r="D827" s="32"/>
      <c r="E827" s="32"/>
      <c r="F827" s="32"/>
      <c r="G827" s="32"/>
      <c r="H827" s="32"/>
      <c r="I827" s="32"/>
      <c r="J827" s="34"/>
      <c r="K827" s="32"/>
      <c r="L827" s="32"/>
      <c r="M827" s="32"/>
      <c r="N827" s="48"/>
    </row>
    <row r="828">
      <c r="A828" s="32"/>
      <c r="B828" s="54"/>
      <c r="C828" s="32"/>
      <c r="D828" s="32"/>
      <c r="E828" s="32"/>
      <c r="F828" s="32"/>
      <c r="G828" s="32"/>
      <c r="H828" s="32"/>
      <c r="I828" s="32"/>
      <c r="J828" s="34"/>
      <c r="K828" s="32"/>
      <c r="L828" s="32"/>
      <c r="M828" s="32"/>
      <c r="N828" s="48"/>
    </row>
    <row r="829">
      <c r="A829" s="32"/>
      <c r="B829" s="54"/>
      <c r="C829" s="32"/>
      <c r="D829" s="32"/>
      <c r="E829" s="32"/>
      <c r="F829" s="32"/>
      <c r="G829" s="32"/>
      <c r="H829" s="32"/>
      <c r="I829" s="32"/>
      <c r="J829" s="34"/>
      <c r="K829" s="32"/>
      <c r="L829" s="32"/>
      <c r="M829" s="32"/>
      <c r="N829" s="48"/>
    </row>
    <row r="830">
      <c r="A830" s="32"/>
      <c r="B830" s="54"/>
      <c r="C830" s="32"/>
      <c r="D830" s="32"/>
      <c r="E830" s="32"/>
      <c r="F830" s="32"/>
      <c r="G830" s="32"/>
      <c r="H830" s="32"/>
      <c r="I830" s="32"/>
      <c r="J830" s="34"/>
      <c r="K830" s="32"/>
      <c r="L830" s="32"/>
      <c r="M830" s="32"/>
      <c r="N830" s="48"/>
    </row>
    <row r="831">
      <c r="A831" s="32"/>
      <c r="B831" s="54"/>
      <c r="C831" s="32"/>
      <c r="D831" s="32"/>
      <c r="E831" s="32"/>
      <c r="F831" s="32"/>
      <c r="G831" s="32"/>
      <c r="H831" s="32"/>
      <c r="I831" s="32"/>
      <c r="J831" s="34"/>
      <c r="K831" s="32"/>
      <c r="L831" s="32"/>
      <c r="M831" s="32"/>
      <c r="N831" s="48"/>
    </row>
    <row r="832">
      <c r="A832" s="32"/>
      <c r="B832" s="54"/>
      <c r="C832" s="32"/>
      <c r="D832" s="32"/>
      <c r="E832" s="32"/>
      <c r="F832" s="32"/>
      <c r="G832" s="32"/>
      <c r="H832" s="32"/>
      <c r="I832" s="32"/>
      <c r="J832" s="34"/>
      <c r="K832" s="32"/>
      <c r="L832" s="32"/>
      <c r="M832" s="32"/>
      <c r="N832" s="48"/>
    </row>
    <row r="833">
      <c r="A833" s="32"/>
      <c r="B833" s="54"/>
      <c r="C833" s="32"/>
      <c r="D833" s="32"/>
      <c r="E833" s="32"/>
      <c r="F833" s="32"/>
      <c r="G833" s="32"/>
      <c r="H833" s="32"/>
      <c r="I833" s="32"/>
      <c r="J833" s="34"/>
      <c r="K833" s="32"/>
      <c r="L833" s="32"/>
      <c r="M833" s="32"/>
      <c r="N833" s="48"/>
    </row>
    <row r="834">
      <c r="A834" s="32"/>
      <c r="B834" s="54"/>
      <c r="C834" s="32"/>
      <c r="D834" s="32"/>
      <c r="E834" s="32"/>
      <c r="F834" s="32"/>
      <c r="G834" s="32"/>
      <c r="H834" s="32"/>
      <c r="I834" s="32"/>
      <c r="J834" s="34"/>
      <c r="K834" s="32"/>
      <c r="L834" s="32"/>
      <c r="M834" s="32"/>
      <c r="N834" s="48"/>
    </row>
    <row r="835">
      <c r="A835" s="32"/>
      <c r="B835" s="54"/>
      <c r="C835" s="32"/>
      <c r="D835" s="32"/>
      <c r="E835" s="32"/>
      <c r="F835" s="32"/>
      <c r="G835" s="32"/>
      <c r="H835" s="32"/>
      <c r="I835" s="32"/>
      <c r="J835" s="34"/>
      <c r="K835" s="32"/>
      <c r="L835" s="32"/>
      <c r="M835" s="32"/>
      <c r="N835" s="48"/>
    </row>
    <row r="836">
      <c r="A836" s="32"/>
      <c r="B836" s="54"/>
      <c r="C836" s="32"/>
      <c r="D836" s="32"/>
      <c r="E836" s="32"/>
      <c r="F836" s="32"/>
      <c r="G836" s="32"/>
      <c r="H836" s="32"/>
      <c r="I836" s="32"/>
      <c r="J836" s="34"/>
      <c r="K836" s="32"/>
      <c r="L836" s="32"/>
      <c r="M836" s="32"/>
      <c r="N836" s="48"/>
    </row>
    <row r="837">
      <c r="A837" s="32"/>
      <c r="B837" s="54"/>
      <c r="C837" s="32"/>
      <c r="D837" s="32"/>
      <c r="E837" s="32"/>
      <c r="F837" s="32"/>
      <c r="G837" s="32"/>
      <c r="H837" s="32"/>
      <c r="I837" s="32"/>
      <c r="J837" s="34"/>
      <c r="K837" s="32"/>
      <c r="L837" s="32"/>
      <c r="M837" s="32"/>
      <c r="N837" s="48"/>
    </row>
    <row r="838">
      <c r="A838" s="32"/>
      <c r="B838" s="54"/>
      <c r="C838" s="32"/>
      <c r="D838" s="32"/>
      <c r="E838" s="32"/>
      <c r="F838" s="32"/>
      <c r="G838" s="32"/>
      <c r="H838" s="32"/>
      <c r="I838" s="32"/>
      <c r="J838" s="34"/>
      <c r="K838" s="32"/>
      <c r="L838" s="32"/>
      <c r="M838" s="32"/>
      <c r="N838" s="48"/>
    </row>
    <row r="839">
      <c r="A839" s="32"/>
      <c r="B839" s="54"/>
      <c r="C839" s="32"/>
      <c r="D839" s="32"/>
      <c r="E839" s="32"/>
      <c r="F839" s="32"/>
      <c r="G839" s="32"/>
      <c r="H839" s="32"/>
      <c r="I839" s="32"/>
      <c r="J839" s="34"/>
      <c r="K839" s="32"/>
      <c r="L839" s="32"/>
      <c r="M839" s="32"/>
      <c r="N839" s="48"/>
    </row>
    <row r="840">
      <c r="A840" s="32"/>
      <c r="B840" s="54"/>
      <c r="C840" s="32"/>
      <c r="D840" s="32"/>
      <c r="E840" s="32"/>
      <c r="F840" s="32"/>
      <c r="G840" s="32"/>
      <c r="H840" s="32"/>
      <c r="I840" s="32"/>
      <c r="J840" s="34"/>
      <c r="K840" s="32"/>
      <c r="L840" s="32"/>
      <c r="M840" s="32"/>
      <c r="N840" s="48"/>
    </row>
    <row r="841">
      <c r="A841" s="32"/>
      <c r="B841" s="54"/>
      <c r="C841" s="32"/>
      <c r="D841" s="32"/>
      <c r="E841" s="32"/>
      <c r="F841" s="32"/>
      <c r="G841" s="32"/>
      <c r="H841" s="32"/>
      <c r="I841" s="32"/>
      <c r="J841" s="34"/>
      <c r="K841" s="32"/>
      <c r="L841" s="32"/>
      <c r="M841" s="32"/>
      <c r="N841" s="48"/>
    </row>
    <row r="842">
      <c r="A842" s="32"/>
      <c r="B842" s="54"/>
      <c r="C842" s="32"/>
      <c r="D842" s="32"/>
      <c r="E842" s="32"/>
      <c r="F842" s="32"/>
      <c r="G842" s="32"/>
      <c r="H842" s="32"/>
      <c r="I842" s="32"/>
      <c r="J842" s="34"/>
      <c r="K842" s="32"/>
      <c r="L842" s="32"/>
      <c r="M842" s="32"/>
      <c r="N842" s="48"/>
    </row>
    <row r="843">
      <c r="A843" s="32"/>
      <c r="B843" s="54"/>
      <c r="C843" s="32"/>
      <c r="D843" s="32"/>
      <c r="E843" s="32"/>
      <c r="F843" s="32"/>
      <c r="G843" s="32"/>
      <c r="H843" s="32"/>
      <c r="I843" s="32"/>
      <c r="J843" s="34"/>
      <c r="K843" s="32"/>
      <c r="L843" s="32"/>
      <c r="M843" s="32"/>
      <c r="N843" s="48"/>
    </row>
    <row r="844">
      <c r="A844" s="32"/>
      <c r="B844" s="54"/>
      <c r="C844" s="32"/>
      <c r="D844" s="32"/>
      <c r="E844" s="32"/>
      <c r="F844" s="32"/>
      <c r="G844" s="32"/>
      <c r="H844" s="32"/>
      <c r="I844" s="32"/>
      <c r="J844" s="34"/>
      <c r="K844" s="32"/>
      <c r="L844" s="32"/>
      <c r="M844" s="32"/>
      <c r="N844" s="48"/>
    </row>
    <row r="845">
      <c r="A845" s="32"/>
      <c r="B845" s="54"/>
      <c r="C845" s="32"/>
      <c r="D845" s="32"/>
      <c r="E845" s="32"/>
      <c r="F845" s="32"/>
      <c r="G845" s="32"/>
      <c r="H845" s="32"/>
      <c r="I845" s="32"/>
      <c r="J845" s="34"/>
      <c r="K845" s="32"/>
      <c r="L845" s="32"/>
      <c r="M845" s="32"/>
      <c r="N845" s="48"/>
    </row>
    <row r="846">
      <c r="A846" s="32"/>
      <c r="B846" s="54"/>
      <c r="C846" s="32"/>
      <c r="D846" s="32"/>
      <c r="E846" s="32"/>
      <c r="F846" s="32"/>
      <c r="G846" s="32"/>
      <c r="H846" s="32"/>
      <c r="I846" s="32"/>
      <c r="J846" s="34"/>
      <c r="K846" s="32"/>
      <c r="L846" s="32"/>
      <c r="M846" s="32"/>
      <c r="N846" s="48"/>
    </row>
    <row r="847">
      <c r="A847" s="32"/>
      <c r="B847" s="54"/>
      <c r="C847" s="32"/>
      <c r="D847" s="32"/>
      <c r="E847" s="32"/>
      <c r="F847" s="32"/>
      <c r="G847" s="32"/>
      <c r="H847" s="32"/>
      <c r="I847" s="32"/>
      <c r="J847" s="34"/>
      <c r="K847" s="32"/>
      <c r="L847" s="32"/>
      <c r="M847" s="32"/>
      <c r="N847" s="48"/>
    </row>
    <row r="848">
      <c r="A848" s="32"/>
      <c r="B848" s="54"/>
      <c r="C848" s="32"/>
      <c r="D848" s="32"/>
      <c r="E848" s="32"/>
      <c r="F848" s="32"/>
      <c r="G848" s="32"/>
      <c r="H848" s="32"/>
      <c r="I848" s="32"/>
      <c r="J848" s="34"/>
      <c r="K848" s="32"/>
      <c r="L848" s="32"/>
      <c r="M848" s="32"/>
      <c r="N848" s="48"/>
    </row>
    <row r="849">
      <c r="A849" s="32"/>
      <c r="B849" s="54"/>
      <c r="C849" s="32"/>
      <c r="D849" s="32"/>
      <c r="E849" s="32"/>
      <c r="F849" s="32"/>
      <c r="G849" s="32"/>
      <c r="H849" s="32"/>
      <c r="I849" s="32"/>
      <c r="J849" s="34"/>
      <c r="K849" s="32"/>
      <c r="L849" s="32"/>
      <c r="M849" s="32"/>
      <c r="N849" s="48"/>
    </row>
    <row r="850">
      <c r="A850" s="32"/>
      <c r="B850" s="54"/>
      <c r="C850" s="32"/>
      <c r="D850" s="32"/>
      <c r="E850" s="32"/>
      <c r="F850" s="32"/>
      <c r="G850" s="32"/>
      <c r="H850" s="32"/>
      <c r="I850" s="32"/>
      <c r="J850" s="34"/>
      <c r="K850" s="32"/>
      <c r="L850" s="32"/>
      <c r="M850" s="32"/>
      <c r="N850" s="48"/>
    </row>
    <row r="851">
      <c r="A851" s="32"/>
      <c r="B851" s="54"/>
      <c r="C851" s="32"/>
      <c r="D851" s="32"/>
      <c r="E851" s="32"/>
      <c r="F851" s="32"/>
      <c r="G851" s="32"/>
      <c r="H851" s="32"/>
      <c r="I851" s="32"/>
      <c r="J851" s="34"/>
      <c r="K851" s="32"/>
      <c r="L851" s="32"/>
      <c r="M851" s="32"/>
      <c r="N851" s="48"/>
    </row>
    <row r="852">
      <c r="A852" s="32"/>
      <c r="B852" s="54"/>
      <c r="C852" s="32"/>
      <c r="D852" s="32"/>
      <c r="E852" s="32"/>
      <c r="F852" s="32"/>
      <c r="G852" s="32"/>
      <c r="H852" s="32"/>
      <c r="I852" s="32"/>
      <c r="J852" s="34"/>
      <c r="K852" s="32"/>
      <c r="L852" s="32"/>
      <c r="M852" s="32"/>
      <c r="N852" s="48"/>
    </row>
    <row r="853">
      <c r="A853" s="32"/>
      <c r="B853" s="54"/>
      <c r="C853" s="32"/>
      <c r="D853" s="32"/>
      <c r="E853" s="32"/>
      <c r="F853" s="32"/>
      <c r="G853" s="32"/>
      <c r="H853" s="32"/>
      <c r="I853" s="32"/>
      <c r="J853" s="34"/>
      <c r="K853" s="32"/>
      <c r="L853" s="32"/>
      <c r="M853" s="32"/>
      <c r="N853" s="48"/>
    </row>
    <row r="854">
      <c r="A854" s="32"/>
      <c r="B854" s="54"/>
      <c r="C854" s="32"/>
      <c r="D854" s="32"/>
      <c r="E854" s="32"/>
      <c r="F854" s="32"/>
      <c r="G854" s="32"/>
      <c r="H854" s="32"/>
      <c r="I854" s="32"/>
      <c r="J854" s="34"/>
      <c r="K854" s="32"/>
      <c r="L854" s="32"/>
      <c r="M854" s="32"/>
      <c r="N854" s="48"/>
    </row>
    <row r="855">
      <c r="A855" s="32"/>
      <c r="B855" s="54"/>
      <c r="C855" s="32"/>
      <c r="D855" s="32"/>
      <c r="E855" s="32"/>
      <c r="F855" s="32"/>
      <c r="G855" s="32"/>
      <c r="H855" s="32"/>
      <c r="I855" s="32"/>
      <c r="J855" s="34"/>
      <c r="K855" s="32"/>
      <c r="L855" s="32"/>
      <c r="M855" s="32"/>
      <c r="N855" s="48"/>
    </row>
    <row r="856">
      <c r="A856" s="32"/>
      <c r="B856" s="54"/>
      <c r="C856" s="32"/>
      <c r="D856" s="32"/>
      <c r="E856" s="32"/>
      <c r="F856" s="32"/>
      <c r="G856" s="32"/>
      <c r="H856" s="32"/>
      <c r="I856" s="32"/>
      <c r="J856" s="34"/>
      <c r="K856" s="32"/>
      <c r="L856" s="32"/>
      <c r="M856" s="32"/>
      <c r="N856" s="48"/>
    </row>
    <row r="857">
      <c r="A857" s="32"/>
      <c r="B857" s="54"/>
      <c r="C857" s="32"/>
      <c r="D857" s="32"/>
      <c r="E857" s="32"/>
      <c r="F857" s="32"/>
      <c r="G857" s="32"/>
      <c r="H857" s="32"/>
      <c r="I857" s="32"/>
      <c r="J857" s="34"/>
      <c r="K857" s="32"/>
      <c r="L857" s="32"/>
      <c r="M857" s="32"/>
      <c r="N857" s="48"/>
    </row>
    <row r="858">
      <c r="A858" s="32"/>
      <c r="B858" s="54"/>
      <c r="C858" s="32"/>
      <c r="D858" s="32"/>
      <c r="E858" s="32"/>
      <c r="F858" s="32"/>
      <c r="G858" s="32"/>
      <c r="H858" s="32"/>
      <c r="I858" s="32"/>
      <c r="J858" s="34"/>
      <c r="K858" s="32"/>
      <c r="L858" s="32"/>
      <c r="M858" s="32"/>
      <c r="N858" s="48"/>
    </row>
    <row r="859">
      <c r="A859" s="32"/>
      <c r="B859" s="54"/>
      <c r="C859" s="32"/>
      <c r="D859" s="32"/>
      <c r="E859" s="32"/>
      <c r="F859" s="32"/>
      <c r="G859" s="32"/>
      <c r="H859" s="32"/>
      <c r="I859" s="32"/>
      <c r="J859" s="34"/>
      <c r="K859" s="32"/>
      <c r="L859" s="32"/>
      <c r="M859" s="32"/>
      <c r="N859" s="48"/>
    </row>
    <row r="860">
      <c r="A860" s="32"/>
      <c r="B860" s="54"/>
      <c r="C860" s="32"/>
      <c r="D860" s="32"/>
      <c r="E860" s="32"/>
      <c r="F860" s="32"/>
      <c r="G860" s="32"/>
      <c r="H860" s="32"/>
      <c r="I860" s="32"/>
      <c r="J860" s="34"/>
      <c r="K860" s="32"/>
      <c r="L860" s="32"/>
      <c r="M860" s="32"/>
      <c r="N860" s="48"/>
    </row>
    <row r="861">
      <c r="A861" s="32"/>
      <c r="B861" s="54"/>
      <c r="C861" s="32"/>
      <c r="D861" s="32"/>
      <c r="E861" s="32"/>
      <c r="F861" s="32"/>
      <c r="G861" s="32"/>
      <c r="H861" s="32"/>
      <c r="I861" s="32"/>
      <c r="J861" s="34"/>
      <c r="K861" s="32"/>
      <c r="L861" s="32"/>
      <c r="M861" s="32"/>
      <c r="N861" s="48"/>
    </row>
    <row r="862">
      <c r="A862" s="32"/>
      <c r="B862" s="54"/>
      <c r="C862" s="32"/>
      <c r="D862" s="32"/>
      <c r="E862" s="32"/>
      <c r="F862" s="32"/>
      <c r="G862" s="32"/>
      <c r="H862" s="32"/>
      <c r="I862" s="32"/>
      <c r="J862" s="34"/>
      <c r="K862" s="32"/>
      <c r="L862" s="32"/>
      <c r="M862" s="32"/>
      <c r="N862" s="48"/>
    </row>
    <row r="863">
      <c r="A863" s="32"/>
      <c r="B863" s="54"/>
      <c r="C863" s="32"/>
      <c r="D863" s="32"/>
      <c r="E863" s="32"/>
      <c r="F863" s="32"/>
      <c r="G863" s="32"/>
      <c r="H863" s="32"/>
      <c r="I863" s="32"/>
      <c r="J863" s="34"/>
      <c r="K863" s="32"/>
      <c r="L863" s="32"/>
      <c r="M863" s="32"/>
      <c r="N863" s="48"/>
    </row>
    <row r="864">
      <c r="A864" s="32"/>
      <c r="B864" s="54"/>
      <c r="C864" s="32"/>
      <c r="D864" s="32"/>
      <c r="E864" s="32"/>
      <c r="F864" s="32"/>
      <c r="G864" s="32"/>
      <c r="H864" s="32"/>
      <c r="I864" s="32"/>
      <c r="J864" s="34"/>
      <c r="K864" s="32"/>
      <c r="L864" s="32"/>
      <c r="M864" s="32"/>
      <c r="N864" s="48"/>
    </row>
    <row r="865">
      <c r="A865" s="32"/>
      <c r="B865" s="54"/>
      <c r="C865" s="32"/>
      <c r="D865" s="32"/>
      <c r="E865" s="32"/>
      <c r="F865" s="32"/>
      <c r="G865" s="32"/>
      <c r="H865" s="32"/>
      <c r="I865" s="32"/>
      <c r="J865" s="34"/>
      <c r="K865" s="32"/>
      <c r="L865" s="32"/>
      <c r="M865" s="32"/>
      <c r="N865" s="48"/>
    </row>
    <row r="866">
      <c r="A866" s="32"/>
      <c r="B866" s="54"/>
      <c r="C866" s="32"/>
      <c r="D866" s="32"/>
      <c r="E866" s="32"/>
      <c r="F866" s="32"/>
      <c r="G866" s="32"/>
      <c r="H866" s="32"/>
      <c r="I866" s="32"/>
      <c r="J866" s="34"/>
      <c r="K866" s="32"/>
      <c r="L866" s="32"/>
      <c r="M866" s="32"/>
      <c r="N866" s="48"/>
    </row>
    <row r="867">
      <c r="A867" s="32"/>
      <c r="B867" s="54"/>
      <c r="C867" s="32"/>
      <c r="D867" s="32"/>
      <c r="E867" s="32"/>
      <c r="F867" s="32"/>
      <c r="G867" s="32"/>
      <c r="H867" s="32"/>
      <c r="I867" s="32"/>
      <c r="J867" s="34"/>
      <c r="K867" s="32"/>
      <c r="L867" s="32"/>
      <c r="M867" s="32"/>
      <c r="N867" s="48"/>
    </row>
    <row r="868">
      <c r="A868" s="32"/>
      <c r="B868" s="54"/>
      <c r="C868" s="32"/>
      <c r="D868" s="32"/>
      <c r="E868" s="32"/>
      <c r="F868" s="32"/>
      <c r="G868" s="32"/>
      <c r="H868" s="32"/>
      <c r="I868" s="32"/>
      <c r="J868" s="34"/>
      <c r="K868" s="32"/>
      <c r="L868" s="32"/>
      <c r="M868" s="32"/>
      <c r="N868" s="48"/>
    </row>
    <row r="869">
      <c r="A869" s="32"/>
      <c r="B869" s="54"/>
      <c r="C869" s="32"/>
      <c r="D869" s="32"/>
      <c r="E869" s="32"/>
      <c r="F869" s="32"/>
      <c r="G869" s="32"/>
      <c r="H869" s="32"/>
      <c r="I869" s="32"/>
      <c r="J869" s="34"/>
      <c r="K869" s="32"/>
      <c r="L869" s="32"/>
      <c r="M869" s="32"/>
      <c r="N869" s="48"/>
    </row>
    <row r="870">
      <c r="A870" s="32"/>
      <c r="B870" s="54"/>
      <c r="C870" s="32"/>
      <c r="D870" s="32"/>
      <c r="E870" s="32"/>
      <c r="F870" s="32"/>
      <c r="G870" s="32"/>
      <c r="H870" s="32"/>
      <c r="I870" s="32"/>
      <c r="J870" s="34"/>
      <c r="K870" s="32"/>
      <c r="L870" s="32"/>
      <c r="M870" s="32"/>
      <c r="N870" s="48"/>
    </row>
    <row r="871">
      <c r="A871" s="32"/>
      <c r="B871" s="54"/>
      <c r="C871" s="32"/>
      <c r="D871" s="32"/>
      <c r="E871" s="32"/>
      <c r="F871" s="32"/>
      <c r="G871" s="32"/>
      <c r="H871" s="32"/>
      <c r="I871" s="32"/>
      <c r="J871" s="34"/>
      <c r="K871" s="32"/>
      <c r="L871" s="32"/>
      <c r="M871" s="32"/>
      <c r="N871" s="48"/>
    </row>
    <row r="872">
      <c r="A872" s="32"/>
      <c r="B872" s="54"/>
      <c r="C872" s="32"/>
      <c r="D872" s="32"/>
      <c r="E872" s="32"/>
      <c r="F872" s="32"/>
      <c r="G872" s="32"/>
      <c r="H872" s="32"/>
      <c r="I872" s="32"/>
      <c r="J872" s="34"/>
      <c r="K872" s="32"/>
      <c r="L872" s="32"/>
      <c r="M872" s="32"/>
      <c r="N872" s="48"/>
    </row>
    <row r="873">
      <c r="A873" s="32"/>
      <c r="B873" s="54"/>
      <c r="C873" s="32"/>
      <c r="D873" s="32"/>
      <c r="E873" s="32"/>
      <c r="F873" s="32"/>
      <c r="G873" s="32"/>
      <c r="H873" s="32"/>
      <c r="I873" s="32"/>
      <c r="J873" s="34"/>
      <c r="K873" s="32"/>
      <c r="L873" s="32"/>
      <c r="M873" s="32"/>
      <c r="N873" s="48"/>
    </row>
    <row r="874">
      <c r="A874" s="32"/>
      <c r="B874" s="54"/>
      <c r="C874" s="32"/>
      <c r="D874" s="32"/>
      <c r="E874" s="32"/>
      <c r="F874" s="32"/>
      <c r="G874" s="32"/>
      <c r="H874" s="32"/>
      <c r="I874" s="32"/>
      <c r="J874" s="34"/>
      <c r="K874" s="32"/>
      <c r="L874" s="32"/>
      <c r="M874" s="32"/>
      <c r="N874" s="48"/>
    </row>
    <row r="875">
      <c r="A875" s="32"/>
      <c r="B875" s="54"/>
      <c r="C875" s="32"/>
      <c r="D875" s="32"/>
      <c r="E875" s="32"/>
      <c r="F875" s="32"/>
      <c r="G875" s="32"/>
      <c r="H875" s="32"/>
      <c r="I875" s="32"/>
      <c r="J875" s="34"/>
      <c r="K875" s="32"/>
      <c r="L875" s="32"/>
      <c r="M875" s="32"/>
      <c r="N875" s="48"/>
    </row>
    <row r="876">
      <c r="A876" s="32"/>
      <c r="B876" s="54"/>
      <c r="C876" s="32"/>
      <c r="D876" s="32"/>
      <c r="E876" s="32"/>
      <c r="F876" s="32"/>
      <c r="G876" s="32"/>
      <c r="H876" s="32"/>
      <c r="I876" s="32"/>
      <c r="J876" s="34"/>
      <c r="K876" s="32"/>
      <c r="L876" s="32"/>
      <c r="M876" s="32"/>
      <c r="N876" s="48"/>
    </row>
    <row r="877">
      <c r="A877" s="32"/>
      <c r="B877" s="54"/>
      <c r="C877" s="32"/>
      <c r="D877" s="32"/>
      <c r="E877" s="32"/>
      <c r="F877" s="32"/>
      <c r="G877" s="32"/>
      <c r="H877" s="32"/>
      <c r="I877" s="32"/>
      <c r="J877" s="34"/>
      <c r="K877" s="32"/>
      <c r="L877" s="32"/>
      <c r="M877" s="32"/>
      <c r="N877" s="48"/>
    </row>
    <row r="878">
      <c r="A878" s="32"/>
      <c r="B878" s="54"/>
      <c r="C878" s="32"/>
      <c r="D878" s="32"/>
      <c r="E878" s="32"/>
      <c r="F878" s="32"/>
      <c r="G878" s="32"/>
      <c r="H878" s="32"/>
      <c r="I878" s="32"/>
      <c r="J878" s="34"/>
      <c r="K878" s="32"/>
      <c r="L878" s="32"/>
      <c r="M878" s="32"/>
      <c r="N878" s="48"/>
    </row>
    <row r="879">
      <c r="A879" s="32"/>
      <c r="B879" s="54"/>
      <c r="C879" s="32"/>
      <c r="D879" s="32"/>
      <c r="E879" s="32"/>
      <c r="F879" s="32"/>
      <c r="G879" s="32"/>
      <c r="H879" s="32"/>
      <c r="I879" s="32"/>
      <c r="J879" s="34"/>
      <c r="K879" s="32"/>
      <c r="L879" s="32"/>
      <c r="M879" s="32"/>
      <c r="N879" s="48"/>
    </row>
    <row r="880">
      <c r="A880" s="32"/>
      <c r="B880" s="54"/>
      <c r="C880" s="32"/>
      <c r="D880" s="32"/>
      <c r="E880" s="32"/>
      <c r="F880" s="32"/>
      <c r="G880" s="32"/>
      <c r="H880" s="32"/>
      <c r="I880" s="32"/>
      <c r="J880" s="34"/>
      <c r="K880" s="32"/>
      <c r="L880" s="32"/>
      <c r="M880" s="32"/>
      <c r="N880" s="48"/>
    </row>
    <row r="881">
      <c r="A881" s="32"/>
      <c r="B881" s="54"/>
      <c r="C881" s="32"/>
      <c r="D881" s="32"/>
      <c r="E881" s="32"/>
      <c r="F881" s="32"/>
      <c r="G881" s="32"/>
      <c r="H881" s="32"/>
      <c r="I881" s="32"/>
      <c r="J881" s="34"/>
      <c r="K881" s="32"/>
      <c r="L881" s="32"/>
      <c r="M881" s="32"/>
      <c r="N881" s="48"/>
    </row>
    <row r="882">
      <c r="A882" s="32"/>
      <c r="B882" s="54"/>
      <c r="C882" s="32"/>
      <c r="D882" s="32"/>
      <c r="E882" s="32"/>
      <c r="F882" s="32"/>
      <c r="G882" s="32"/>
      <c r="H882" s="32"/>
      <c r="I882" s="32"/>
      <c r="J882" s="34"/>
      <c r="K882" s="32"/>
      <c r="L882" s="32"/>
      <c r="M882" s="32"/>
      <c r="N882" s="48"/>
    </row>
    <row r="883">
      <c r="A883" s="32"/>
      <c r="B883" s="54"/>
      <c r="C883" s="32"/>
      <c r="D883" s="32"/>
      <c r="E883" s="32"/>
      <c r="F883" s="32"/>
      <c r="G883" s="32"/>
      <c r="H883" s="32"/>
      <c r="I883" s="32"/>
      <c r="J883" s="34"/>
      <c r="K883" s="32"/>
      <c r="L883" s="32"/>
      <c r="M883" s="32"/>
      <c r="N883" s="48"/>
    </row>
    <row r="884">
      <c r="A884" s="32"/>
      <c r="B884" s="54"/>
      <c r="C884" s="32"/>
      <c r="D884" s="32"/>
      <c r="E884" s="32"/>
      <c r="F884" s="32"/>
      <c r="G884" s="32"/>
      <c r="H884" s="32"/>
      <c r="I884" s="32"/>
      <c r="J884" s="34"/>
      <c r="K884" s="32"/>
      <c r="L884" s="32"/>
      <c r="M884" s="32"/>
      <c r="N884" s="48"/>
    </row>
    <row r="885">
      <c r="A885" s="32"/>
      <c r="B885" s="54"/>
      <c r="C885" s="32"/>
      <c r="D885" s="32"/>
      <c r="E885" s="32"/>
      <c r="F885" s="32"/>
      <c r="G885" s="32"/>
      <c r="H885" s="32"/>
      <c r="I885" s="32"/>
      <c r="J885" s="34"/>
      <c r="K885" s="32"/>
      <c r="L885" s="32"/>
      <c r="M885" s="32"/>
      <c r="N885" s="48"/>
    </row>
    <row r="886">
      <c r="A886" s="32"/>
      <c r="B886" s="54"/>
      <c r="C886" s="32"/>
      <c r="D886" s="32"/>
      <c r="E886" s="32"/>
      <c r="F886" s="32"/>
      <c r="G886" s="32"/>
      <c r="H886" s="32"/>
      <c r="I886" s="32"/>
      <c r="J886" s="34"/>
      <c r="K886" s="32"/>
      <c r="L886" s="32"/>
      <c r="M886" s="32"/>
      <c r="N886" s="48"/>
    </row>
    <row r="887">
      <c r="A887" s="32"/>
      <c r="B887" s="54"/>
      <c r="C887" s="32"/>
      <c r="D887" s="32"/>
      <c r="E887" s="32"/>
      <c r="F887" s="32"/>
      <c r="G887" s="32"/>
      <c r="H887" s="32"/>
      <c r="I887" s="32"/>
      <c r="J887" s="34"/>
      <c r="K887" s="32"/>
      <c r="L887" s="32"/>
      <c r="M887" s="32"/>
      <c r="N887" s="48"/>
    </row>
    <row r="888">
      <c r="A888" s="32"/>
      <c r="B888" s="54"/>
      <c r="C888" s="32"/>
      <c r="D888" s="32"/>
      <c r="E888" s="32"/>
      <c r="F888" s="32"/>
      <c r="G888" s="32"/>
      <c r="H888" s="32"/>
      <c r="I888" s="32"/>
      <c r="J888" s="34"/>
      <c r="K888" s="32"/>
      <c r="L888" s="32"/>
      <c r="M888" s="32"/>
      <c r="N888" s="48"/>
    </row>
    <row r="889">
      <c r="A889" s="32"/>
      <c r="B889" s="54"/>
      <c r="C889" s="32"/>
      <c r="D889" s="32"/>
      <c r="E889" s="32"/>
      <c r="F889" s="32"/>
      <c r="G889" s="32"/>
      <c r="H889" s="32"/>
      <c r="I889" s="32"/>
      <c r="J889" s="34"/>
      <c r="K889" s="32"/>
      <c r="L889" s="32"/>
      <c r="M889" s="32"/>
      <c r="N889" s="48"/>
    </row>
    <row r="890">
      <c r="A890" s="32"/>
      <c r="B890" s="54"/>
      <c r="C890" s="32"/>
      <c r="D890" s="32"/>
      <c r="E890" s="32"/>
      <c r="F890" s="32"/>
      <c r="G890" s="32"/>
      <c r="H890" s="32"/>
      <c r="I890" s="32"/>
      <c r="J890" s="34"/>
      <c r="K890" s="32"/>
      <c r="L890" s="32"/>
      <c r="M890" s="32"/>
      <c r="N890" s="48"/>
    </row>
    <row r="891">
      <c r="A891" s="32"/>
      <c r="B891" s="54"/>
      <c r="C891" s="32"/>
      <c r="D891" s="32"/>
      <c r="E891" s="32"/>
      <c r="F891" s="32"/>
      <c r="G891" s="32"/>
      <c r="H891" s="32"/>
      <c r="I891" s="32"/>
      <c r="J891" s="34"/>
      <c r="K891" s="32"/>
      <c r="L891" s="32"/>
      <c r="M891" s="32"/>
      <c r="N891" s="48"/>
    </row>
    <row r="892">
      <c r="A892" s="32"/>
      <c r="B892" s="54"/>
      <c r="C892" s="32"/>
      <c r="D892" s="32"/>
      <c r="E892" s="32"/>
      <c r="F892" s="32"/>
      <c r="G892" s="32"/>
      <c r="H892" s="32"/>
      <c r="I892" s="32"/>
      <c r="J892" s="34"/>
      <c r="K892" s="32"/>
      <c r="L892" s="32"/>
      <c r="M892" s="32"/>
      <c r="N892" s="48"/>
    </row>
    <row r="893">
      <c r="A893" s="32"/>
      <c r="B893" s="54"/>
      <c r="C893" s="32"/>
      <c r="D893" s="32"/>
      <c r="E893" s="32"/>
      <c r="F893" s="32"/>
      <c r="G893" s="32"/>
      <c r="H893" s="32"/>
      <c r="I893" s="32"/>
      <c r="J893" s="34"/>
      <c r="K893" s="32"/>
      <c r="L893" s="32"/>
      <c r="M893" s="32"/>
      <c r="N893" s="48"/>
    </row>
    <row r="894">
      <c r="A894" s="32"/>
      <c r="B894" s="54"/>
      <c r="C894" s="32"/>
      <c r="D894" s="32"/>
      <c r="E894" s="32"/>
      <c r="F894" s="32"/>
      <c r="G894" s="32"/>
      <c r="H894" s="32"/>
      <c r="I894" s="32"/>
      <c r="J894" s="34"/>
      <c r="K894" s="32"/>
      <c r="L894" s="32"/>
      <c r="M894" s="32"/>
      <c r="N894" s="48"/>
    </row>
    <row r="895">
      <c r="A895" s="32"/>
      <c r="B895" s="54"/>
      <c r="C895" s="32"/>
      <c r="D895" s="32"/>
      <c r="E895" s="32"/>
      <c r="F895" s="32"/>
      <c r="G895" s="32"/>
      <c r="H895" s="32"/>
      <c r="I895" s="32"/>
      <c r="J895" s="34"/>
      <c r="K895" s="32"/>
      <c r="L895" s="32"/>
      <c r="M895" s="32"/>
      <c r="N895" s="48"/>
    </row>
    <row r="896">
      <c r="A896" s="32"/>
      <c r="B896" s="54"/>
      <c r="C896" s="32"/>
      <c r="D896" s="32"/>
      <c r="E896" s="32"/>
      <c r="F896" s="32"/>
      <c r="G896" s="32"/>
      <c r="H896" s="32"/>
      <c r="I896" s="32"/>
      <c r="J896" s="34"/>
      <c r="K896" s="32"/>
      <c r="L896" s="32"/>
      <c r="M896" s="32"/>
      <c r="N896" s="48"/>
    </row>
    <row r="897">
      <c r="A897" s="32"/>
      <c r="B897" s="54"/>
      <c r="C897" s="32"/>
      <c r="D897" s="32"/>
      <c r="E897" s="32"/>
      <c r="F897" s="32"/>
      <c r="G897" s="32"/>
      <c r="H897" s="32"/>
      <c r="I897" s="32"/>
      <c r="J897" s="34"/>
      <c r="K897" s="32"/>
      <c r="L897" s="32"/>
      <c r="M897" s="32"/>
      <c r="N897" s="48"/>
    </row>
    <row r="898">
      <c r="A898" s="32"/>
      <c r="B898" s="54"/>
      <c r="C898" s="32"/>
      <c r="D898" s="32"/>
      <c r="E898" s="32"/>
      <c r="F898" s="32"/>
      <c r="G898" s="32"/>
      <c r="H898" s="32"/>
      <c r="I898" s="32"/>
      <c r="J898" s="34"/>
      <c r="K898" s="32"/>
      <c r="L898" s="32"/>
      <c r="M898" s="32"/>
      <c r="N898" s="48"/>
    </row>
    <row r="899">
      <c r="A899" s="32"/>
      <c r="B899" s="54"/>
      <c r="C899" s="32"/>
      <c r="D899" s="32"/>
      <c r="E899" s="32"/>
      <c r="F899" s="32"/>
      <c r="G899" s="32"/>
      <c r="H899" s="32"/>
      <c r="I899" s="32"/>
      <c r="J899" s="34"/>
      <c r="K899" s="32"/>
      <c r="L899" s="32"/>
      <c r="M899" s="32"/>
      <c r="N899" s="48"/>
    </row>
    <row r="900">
      <c r="A900" s="32"/>
      <c r="B900" s="54"/>
      <c r="C900" s="32"/>
      <c r="D900" s="32"/>
      <c r="E900" s="32"/>
      <c r="F900" s="32"/>
      <c r="G900" s="32"/>
      <c r="H900" s="32"/>
      <c r="I900" s="32"/>
      <c r="J900" s="34"/>
      <c r="K900" s="32"/>
      <c r="L900" s="32"/>
      <c r="M900" s="32"/>
      <c r="N900" s="48"/>
    </row>
    <row r="901">
      <c r="A901" s="32"/>
      <c r="B901" s="54"/>
      <c r="C901" s="32"/>
      <c r="D901" s="32"/>
      <c r="E901" s="32"/>
      <c r="F901" s="32"/>
      <c r="G901" s="32"/>
      <c r="H901" s="32"/>
      <c r="I901" s="32"/>
      <c r="J901" s="34"/>
      <c r="K901" s="32"/>
      <c r="L901" s="32"/>
      <c r="M901" s="32"/>
      <c r="N901" s="48"/>
    </row>
    <row r="902">
      <c r="A902" s="32"/>
      <c r="B902" s="54"/>
      <c r="C902" s="32"/>
      <c r="D902" s="32"/>
      <c r="E902" s="32"/>
      <c r="F902" s="32"/>
      <c r="G902" s="32"/>
      <c r="H902" s="32"/>
      <c r="I902" s="32"/>
      <c r="J902" s="34"/>
      <c r="K902" s="32"/>
      <c r="L902" s="32"/>
      <c r="M902" s="32"/>
      <c r="N902" s="48"/>
    </row>
    <row r="903">
      <c r="A903" s="32"/>
      <c r="B903" s="54"/>
      <c r="C903" s="32"/>
      <c r="D903" s="32"/>
      <c r="E903" s="32"/>
      <c r="F903" s="32"/>
      <c r="G903" s="32"/>
      <c r="H903" s="32"/>
      <c r="I903" s="32"/>
      <c r="J903" s="34"/>
      <c r="K903" s="32"/>
      <c r="L903" s="32"/>
      <c r="M903" s="32"/>
      <c r="N903" s="48"/>
    </row>
    <row r="904">
      <c r="A904" s="32"/>
      <c r="B904" s="54"/>
      <c r="C904" s="32"/>
      <c r="D904" s="32"/>
      <c r="E904" s="32"/>
      <c r="F904" s="32"/>
      <c r="G904" s="32"/>
      <c r="H904" s="32"/>
      <c r="I904" s="32"/>
      <c r="J904" s="34"/>
      <c r="K904" s="32"/>
      <c r="L904" s="32"/>
      <c r="M904" s="32"/>
      <c r="N904" s="48"/>
    </row>
    <row r="905">
      <c r="A905" s="32"/>
      <c r="B905" s="54"/>
      <c r="C905" s="32"/>
      <c r="D905" s="32"/>
      <c r="E905" s="32"/>
      <c r="F905" s="32"/>
      <c r="G905" s="32"/>
      <c r="H905" s="32"/>
      <c r="I905" s="32"/>
      <c r="J905" s="34"/>
      <c r="K905" s="32"/>
      <c r="L905" s="32"/>
      <c r="M905" s="32"/>
      <c r="N905" s="48"/>
    </row>
    <row r="906">
      <c r="A906" s="32"/>
      <c r="B906" s="54"/>
      <c r="C906" s="32"/>
      <c r="D906" s="32"/>
      <c r="E906" s="32"/>
      <c r="F906" s="32"/>
      <c r="G906" s="32"/>
      <c r="H906" s="32"/>
      <c r="I906" s="32"/>
      <c r="J906" s="34"/>
      <c r="K906" s="32"/>
      <c r="L906" s="32"/>
      <c r="M906" s="32"/>
      <c r="N906" s="48"/>
    </row>
    <row r="907">
      <c r="A907" s="32"/>
      <c r="B907" s="54"/>
      <c r="C907" s="32"/>
      <c r="D907" s="32"/>
      <c r="E907" s="32"/>
      <c r="F907" s="32"/>
      <c r="G907" s="32"/>
      <c r="H907" s="32"/>
      <c r="I907" s="32"/>
      <c r="J907" s="34"/>
      <c r="K907" s="32"/>
      <c r="L907" s="32"/>
      <c r="M907" s="32"/>
      <c r="N907" s="48"/>
    </row>
    <row r="908">
      <c r="A908" s="32"/>
      <c r="B908" s="54"/>
      <c r="C908" s="32"/>
      <c r="D908" s="32"/>
      <c r="E908" s="32"/>
      <c r="F908" s="32"/>
      <c r="G908" s="32"/>
      <c r="H908" s="32"/>
      <c r="I908" s="32"/>
      <c r="J908" s="34"/>
      <c r="K908" s="32"/>
      <c r="L908" s="32"/>
      <c r="M908" s="32"/>
      <c r="N908" s="48"/>
    </row>
    <row r="909">
      <c r="A909" s="32"/>
      <c r="B909" s="54"/>
      <c r="C909" s="32"/>
      <c r="D909" s="32"/>
      <c r="E909" s="32"/>
      <c r="F909" s="32"/>
      <c r="G909" s="32"/>
      <c r="H909" s="32"/>
      <c r="I909" s="32"/>
      <c r="J909" s="34"/>
      <c r="K909" s="32"/>
      <c r="L909" s="32"/>
      <c r="M909" s="32"/>
      <c r="N909" s="48"/>
    </row>
    <row r="910">
      <c r="A910" s="32"/>
      <c r="B910" s="54"/>
      <c r="C910" s="32"/>
      <c r="D910" s="32"/>
      <c r="E910" s="32"/>
      <c r="F910" s="32"/>
      <c r="G910" s="32"/>
      <c r="H910" s="32"/>
      <c r="I910" s="32"/>
      <c r="J910" s="34"/>
      <c r="K910" s="32"/>
      <c r="L910" s="32"/>
      <c r="M910" s="32"/>
      <c r="N910" s="48"/>
    </row>
    <row r="911">
      <c r="A911" s="32"/>
      <c r="B911" s="54"/>
      <c r="C911" s="32"/>
      <c r="D911" s="32"/>
      <c r="E911" s="32"/>
      <c r="F911" s="32"/>
      <c r="G911" s="32"/>
      <c r="H911" s="32"/>
      <c r="I911" s="32"/>
      <c r="J911" s="34"/>
      <c r="K911" s="32"/>
      <c r="L911" s="32"/>
      <c r="M911" s="32"/>
      <c r="N911" s="48"/>
    </row>
    <row r="912">
      <c r="A912" s="32"/>
      <c r="B912" s="54"/>
      <c r="C912" s="32"/>
      <c r="D912" s="32"/>
      <c r="E912" s="32"/>
      <c r="F912" s="32"/>
      <c r="G912" s="32"/>
      <c r="H912" s="32"/>
      <c r="I912" s="32"/>
      <c r="J912" s="34"/>
      <c r="K912" s="32"/>
      <c r="L912" s="32"/>
      <c r="M912" s="32"/>
      <c r="N912" s="48"/>
    </row>
    <row r="913">
      <c r="A913" s="32"/>
      <c r="B913" s="54"/>
      <c r="C913" s="32"/>
      <c r="D913" s="32"/>
      <c r="E913" s="32"/>
      <c r="F913" s="32"/>
      <c r="G913" s="32"/>
      <c r="H913" s="32"/>
      <c r="I913" s="32"/>
      <c r="J913" s="34"/>
      <c r="K913" s="32"/>
      <c r="L913" s="32"/>
      <c r="M913" s="32"/>
      <c r="N913" s="48"/>
    </row>
    <row r="914">
      <c r="A914" s="32"/>
      <c r="B914" s="54"/>
      <c r="C914" s="32"/>
      <c r="D914" s="32"/>
      <c r="E914" s="32"/>
      <c r="F914" s="32"/>
      <c r="G914" s="32"/>
      <c r="H914" s="32"/>
      <c r="I914" s="32"/>
      <c r="J914" s="34"/>
      <c r="K914" s="32"/>
      <c r="L914" s="32"/>
      <c r="M914" s="32"/>
      <c r="N914" s="48"/>
    </row>
    <row r="915">
      <c r="A915" s="32"/>
      <c r="B915" s="54"/>
      <c r="C915" s="32"/>
      <c r="D915" s="32"/>
      <c r="E915" s="32"/>
      <c r="F915" s="32"/>
      <c r="G915" s="32"/>
      <c r="H915" s="32"/>
      <c r="I915" s="32"/>
      <c r="J915" s="34"/>
      <c r="K915" s="32"/>
      <c r="L915" s="32"/>
      <c r="M915" s="32"/>
      <c r="N915" s="48"/>
    </row>
    <row r="916">
      <c r="A916" s="32"/>
      <c r="B916" s="54"/>
      <c r="C916" s="32"/>
      <c r="D916" s="32"/>
      <c r="E916" s="32"/>
      <c r="F916" s="32"/>
      <c r="G916" s="32"/>
      <c r="H916" s="32"/>
      <c r="I916" s="32"/>
      <c r="J916" s="34"/>
      <c r="K916" s="32"/>
      <c r="L916" s="32"/>
      <c r="M916" s="32"/>
      <c r="N916" s="48"/>
    </row>
    <row r="917">
      <c r="A917" s="32"/>
      <c r="B917" s="54"/>
      <c r="C917" s="32"/>
      <c r="D917" s="32"/>
      <c r="E917" s="32"/>
      <c r="F917" s="32"/>
      <c r="G917" s="32"/>
      <c r="H917" s="32"/>
      <c r="I917" s="32"/>
      <c r="J917" s="34"/>
      <c r="K917" s="32"/>
      <c r="L917" s="32"/>
      <c r="M917" s="32"/>
      <c r="N917" s="48"/>
    </row>
    <row r="918">
      <c r="A918" s="32"/>
      <c r="B918" s="54"/>
      <c r="C918" s="32"/>
      <c r="D918" s="32"/>
      <c r="E918" s="32"/>
      <c r="F918" s="32"/>
      <c r="G918" s="32"/>
      <c r="H918" s="32"/>
      <c r="I918" s="32"/>
      <c r="J918" s="34"/>
      <c r="K918" s="32"/>
      <c r="L918" s="32"/>
      <c r="M918" s="32"/>
      <c r="N918" s="48"/>
    </row>
    <row r="919">
      <c r="A919" s="32"/>
      <c r="B919" s="54"/>
      <c r="C919" s="32"/>
      <c r="D919" s="32"/>
      <c r="E919" s="32"/>
      <c r="F919" s="32"/>
      <c r="G919" s="32"/>
      <c r="H919" s="32"/>
      <c r="I919" s="32"/>
      <c r="J919" s="34"/>
      <c r="K919" s="32"/>
      <c r="L919" s="32"/>
      <c r="M919" s="32"/>
      <c r="N919" s="48"/>
    </row>
    <row r="920">
      <c r="A920" s="32"/>
      <c r="B920" s="54"/>
      <c r="C920" s="32"/>
      <c r="D920" s="32"/>
      <c r="E920" s="32"/>
      <c r="F920" s="32"/>
      <c r="G920" s="32"/>
      <c r="H920" s="32"/>
      <c r="I920" s="32"/>
      <c r="J920" s="34"/>
      <c r="K920" s="32"/>
      <c r="L920" s="32"/>
      <c r="M920" s="32"/>
      <c r="N920" s="48"/>
    </row>
    <row r="921">
      <c r="A921" s="32"/>
      <c r="B921" s="54"/>
      <c r="C921" s="32"/>
      <c r="D921" s="32"/>
      <c r="E921" s="32"/>
      <c r="F921" s="32"/>
      <c r="G921" s="32"/>
      <c r="H921" s="32"/>
      <c r="I921" s="32"/>
      <c r="J921" s="34"/>
      <c r="K921" s="32"/>
      <c r="L921" s="32"/>
      <c r="M921" s="32"/>
      <c r="N921" s="48"/>
    </row>
    <row r="922">
      <c r="A922" s="32"/>
      <c r="B922" s="54"/>
      <c r="C922" s="32"/>
      <c r="D922" s="32"/>
      <c r="E922" s="32"/>
      <c r="F922" s="32"/>
      <c r="G922" s="32"/>
      <c r="H922" s="32"/>
      <c r="I922" s="32"/>
      <c r="J922" s="34"/>
      <c r="K922" s="32"/>
      <c r="L922" s="32"/>
      <c r="M922" s="32"/>
      <c r="N922" s="48"/>
    </row>
    <row r="923">
      <c r="A923" s="32"/>
      <c r="B923" s="54"/>
      <c r="C923" s="32"/>
      <c r="D923" s="32"/>
      <c r="E923" s="32"/>
      <c r="F923" s="32"/>
      <c r="G923" s="32"/>
      <c r="H923" s="32"/>
      <c r="I923" s="32"/>
      <c r="J923" s="34"/>
      <c r="K923" s="32"/>
      <c r="L923" s="32"/>
      <c r="M923" s="32"/>
      <c r="N923" s="48"/>
    </row>
    <row r="924">
      <c r="A924" s="32"/>
      <c r="B924" s="54"/>
      <c r="C924" s="32"/>
      <c r="D924" s="32"/>
      <c r="E924" s="32"/>
      <c r="F924" s="32"/>
      <c r="G924" s="32"/>
      <c r="H924" s="32"/>
      <c r="I924" s="32"/>
      <c r="J924" s="34"/>
      <c r="K924" s="32"/>
      <c r="L924" s="32"/>
      <c r="M924" s="32"/>
      <c r="N924" s="48"/>
    </row>
    <row r="925">
      <c r="A925" s="32"/>
      <c r="B925" s="54"/>
      <c r="C925" s="32"/>
      <c r="D925" s="32"/>
      <c r="E925" s="32"/>
      <c r="F925" s="32"/>
      <c r="G925" s="32"/>
      <c r="H925" s="32"/>
      <c r="I925" s="32"/>
      <c r="J925" s="34"/>
      <c r="K925" s="32"/>
      <c r="L925" s="32"/>
      <c r="M925" s="32"/>
      <c r="N925" s="48"/>
    </row>
    <row r="926">
      <c r="A926" s="32"/>
      <c r="B926" s="54"/>
      <c r="C926" s="32"/>
      <c r="D926" s="32"/>
      <c r="E926" s="32"/>
      <c r="F926" s="32"/>
      <c r="G926" s="32"/>
      <c r="H926" s="32"/>
      <c r="I926" s="32"/>
      <c r="J926" s="34"/>
      <c r="K926" s="32"/>
      <c r="L926" s="32"/>
      <c r="M926" s="32"/>
      <c r="N926" s="48"/>
    </row>
    <row r="927">
      <c r="A927" s="32"/>
      <c r="B927" s="54"/>
      <c r="C927" s="32"/>
      <c r="D927" s="32"/>
      <c r="E927" s="32"/>
      <c r="F927" s="32"/>
      <c r="G927" s="32"/>
      <c r="H927" s="32"/>
      <c r="I927" s="32"/>
      <c r="J927" s="34"/>
      <c r="K927" s="32"/>
      <c r="L927" s="32"/>
      <c r="M927" s="32"/>
      <c r="N927" s="48"/>
    </row>
    <row r="928">
      <c r="A928" s="32"/>
      <c r="B928" s="54"/>
      <c r="C928" s="32"/>
      <c r="D928" s="32"/>
      <c r="E928" s="32"/>
      <c r="F928" s="32"/>
      <c r="G928" s="32"/>
      <c r="H928" s="32"/>
      <c r="I928" s="32"/>
      <c r="J928" s="34"/>
      <c r="K928" s="32"/>
      <c r="L928" s="32"/>
      <c r="M928" s="32"/>
      <c r="N928" s="48"/>
    </row>
    <row r="929">
      <c r="A929" s="32"/>
      <c r="B929" s="54"/>
      <c r="C929" s="32"/>
      <c r="D929" s="32"/>
      <c r="E929" s="32"/>
      <c r="F929" s="32"/>
      <c r="G929" s="32"/>
      <c r="H929" s="32"/>
      <c r="I929" s="32"/>
      <c r="J929" s="34"/>
      <c r="K929" s="32"/>
      <c r="L929" s="32"/>
      <c r="M929" s="32"/>
      <c r="N929" s="48"/>
    </row>
    <row r="930">
      <c r="A930" s="32"/>
      <c r="B930" s="54"/>
      <c r="C930" s="32"/>
      <c r="D930" s="32"/>
      <c r="E930" s="32"/>
      <c r="F930" s="32"/>
      <c r="G930" s="32"/>
      <c r="H930" s="32"/>
      <c r="I930" s="32"/>
      <c r="J930" s="34"/>
      <c r="K930" s="32"/>
      <c r="L930" s="32"/>
      <c r="M930" s="32"/>
      <c r="N930" s="48"/>
    </row>
    <row r="931">
      <c r="A931" s="32"/>
      <c r="B931" s="54"/>
      <c r="C931" s="32"/>
      <c r="D931" s="32"/>
      <c r="E931" s="32"/>
      <c r="F931" s="32"/>
      <c r="G931" s="32"/>
      <c r="H931" s="32"/>
      <c r="I931" s="32"/>
      <c r="J931" s="34"/>
      <c r="K931" s="32"/>
      <c r="L931" s="32"/>
      <c r="M931" s="32"/>
      <c r="N931" s="48"/>
    </row>
    <row r="932">
      <c r="A932" s="32"/>
      <c r="B932" s="54"/>
      <c r="C932" s="32"/>
      <c r="D932" s="32"/>
      <c r="E932" s="32"/>
      <c r="F932" s="32"/>
      <c r="G932" s="32"/>
      <c r="H932" s="32"/>
      <c r="I932" s="32"/>
      <c r="J932" s="34"/>
      <c r="K932" s="32"/>
      <c r="L932" s="32"/>
      <c r="M932" s="32"/>
      <c r="N932" s="48"/>
    </row>
    <row r="933">
      <c r="A933" s="32"/>
      <c r="B933" s="54"/>
      <c r="C933" s="32"/>
      <c r="D933" s="32"/>
      <c r="E933" s="32"/>
      <c r="F933" s="32"/>
      <c r="G933" s="32"/>
      <c r="H933" s="32"/>
      <c r="I933" s="32"/>
      <c r="J933" s="34"/>
      <c r="K933" s="32"/>
      <c r="L933" s="32"/>
      <c r="M933" s="32"/>
      <c r="N933" s="48"/>
    </row>
    <row r="934">
      <c r="A934" s="32"/>
      <c r="B934" s="54"/>
      <c r="C934" s="32"/>
      <c r="D934" s="32"/>
      <c r="E934" s="32"/>
      <c r="F934" s="32"/>
      <c r="G934" s="32"/>
      <c r="H934" s="32"/>
      <c r="I934" s="32"/>
      <c r="J934" s="34"/>
      <c r="K934" s="32"/>
      <c r="L934" s="32"/>
      <c r="M934" s="32"/>
      <c r="N934" s="48"/>
    </row>
    <row r="935">
      <c r="A935" s="32"/>
      <c r="B935" s="54"/>
      <c r="C935" s="32"/>
      <c r="D935" s="32"/>
      <c r="E935" s="32"/>
      <c r="F935" s="32"/>
      <c r="G935" s="32"/>
      <c r="H935" s="32"/>
      <c r="I935" s="32"/>
      <c r="J935" s="34"/>
      <c r="K935" s="32"/>
      <c r="L935" s="32"/>
      <c r="M935" s="32"/>
      <c r="N935" s="48"/>
    </row>
    <row r="936">
      <c r="A936" s="32"/>
      <c r="B936" s="54"/>
      <c r="C936" s="32"/>
      <c r="D936" s="32"/>
      <c r="E936" s="32"/>
      <c r="F936" s="32"/>
      <c r="G936" s="32"/>
      <c r="H936" s="32"/>
      <c r="I936" s="32"/>
      <c r="J936" s="34"/>
      <c r="K936" s="32"/>
      <c r="L936" s="32"/>
      <c r="M936" s="32"/>
      <c r="N936" s="48"/>
    </row>
    <row r="937">
      <c r="A937" s="32"/>
      <c r="B937" s="54"/>
      <c r="C937" s="32"/>
      <c r="D937" s="32"/>
      <c r="E937" s="32"/>
      <c r="F937" s="32"/>
      <c r="G937" s="32"/>
      <c r="H937" s="32"/>
      <c r="I937" s="32"/>
      <c r="J937" s="34"/>
      <c r="K937" s="32"/>
      <c r="L937" s="32"/>
      <c r="M937" s="32"/>
      <c r="N937" s="48"/>
    </row>
    <row r="938">
      <c r="A938" s="32"/>
      <c r="B938" s="54"/>
      <c r="C938" s="32"/>
      <c r="D938" s="32"/>
      <c r="E938" s="32"/>
      <c r="F938" s="32"/>
      <c r="G938" s="32"/>
      <c r="H938" s="32"/>
      <c r="I938" s="32"/>
      <c r="J938" s="34"/>
      <c r="K938" s="32"/>
      <c r="L938" s="32"/>
      <c r="M938" s="32"/>
      <c r="N938" s="48"/>
    </row>
    <row r="939">
      <c r="A939" s="32"/>
      <c r="B939" s="54"/>
      <c r="C939" s="32"/>
      <c r="D939" s="32"/>
      <c r="E939" s="32"/>
      <c r="F939" s="32"/>
      <c r="G939" s="32"/>
      <c r="H939" s="32"/>
      <c r="I939" s="32"/>
      <c r="J939" s="34"/>
      <c r="K939" s="32"/>
      <c r="L939" s="32"/>
      <c r="M939" s="32"/>
      <c r="N939" s="48"/>
    </row>
    <row r="940">
      <c r="A940" s="32"/>
      <c r="B940" s="54"/>
      <c r="C940" s="32"/>
      <c r="D940" s="32"/>
      <c r="E940" s="32"/>
      <c r="F940" s="32"/>
      <c r="G940" s="32"/>
      <c r="H940" s="32"/>
      <c r="I940" s="32"/>
      <c r="J940" s="34"/>
      <c r="K940" s="32"/>
      <c r="L940" s="32"/>
      <c r="M940" s="32"/>
      <c r="N940" s="48"/>
    </row>
    <row r="941">
      <c r="A941" s="32"/>
      <c r="B941" s="54"/>
      <c r="C941" s="32"/>
      <c r="D941" s="32"/>
      <c r="E941" s="32"/>
      <c r="F941" s="32"/>
      <c r="G941" s="32"/>
      <c r="H941" s="32"/>
      <c r="I941" s="32"/>
      <c r="J941" s="34"/>
      <c r="K941" s="32"/>
      <c r="L941" s="32"/>
      <c r="M941" s="32"/>
      <c r="N941" s="48"/>
    </row>
    <row r="942">
      <c r="A942" s="32"/>
      <c r="B942" s="54"/>
      <c r="C942" s="32"/>
      <c r="D942" s="32"/>
      <c r="E942" s="32"/>
      <c r="F942" s="32"/>
      <c r="G942" s="32"/>
      <c r="H942" s="32"/>
      <c r="I942" s="32"/>
      <c r="J942" s="34"/>
      <c r="K942" s="32"/>
      <c r="L942" s="32"/>
      <c r="M942" s="32"/>
      <c r="N942" s="48"/>
    </row>
    <row r="943">
      <c r="A943" s="32"/>
      <c r="B943" s="54"/>
      <c r="C943" s="32"/>
      <c r="D943" s="32"/>
      <c r="E943" s="32"/>
      <c r="F943" s="32"/>
      <c r="G943" s="32"/>
      <c r="H943" s="32"/>
      <c r="I943" s="32"/>
      <c r="J943" s="34"/>
      <c r="K943" s="32"/>
      <c r="L943" s="32"/>
      <c r="M943" s="32"/>
      <c r="N943" s="48"/>
    </row>
    <row r="944">
      <c r="A944" s="32"/>
      <c r="B944" s="54"/>
      <c r="C944" s="32"/>
      <c r="D944" s="32"/>
      <c r="E944" s="32"/>
      <c r="F944" s="32"/>
      <c r="G944" s="32"/>
      <c r="H944" s="32"/>
      <c r="I944" s="32"/>
      <c r="J944" s="34"/>
      <c r="K944" s="32"/>
      <c r="L944" s="32"/>
      <c r="M944" s="32"/>
      <c r="N944" s="48"/>
    </row>
    <row r="945">
      <c r="A945" s="32"/>
      <c r="B945" s="54"/>
      <c r="C945" s="32"/>
      <c r="D945" s="32"/>
      <c r="E945" s="32"/>
      <c r="F945" s="32"/>
      <c r="G945" s="32"/>
      <c r="H945" s="32"/>
      <c r="I945" s="32"/>
      <c r="J945" s="34"/>
      <c r="K945" s="32"/>
      <c r="L945" s="32"/>
      <c r="M945" s="32"/>
      <c r="N945" s="48"/>
    </row>
    <row r="946">
      <c r="A946" s="32"/>
      <c r="B946" s="54"/>
      <c r="C946" s="32"/>
      <c r="D946" s="32"/>
      <c r="E946" s="32"/>
      <c r="F946" s="32"/>
      <c r="G946" s="32"/>
      <c r="H946" s="32"/>
      <c r="I946" s="32"/>
      <c r="J946" s="34"/>
      <c r="K946" s="32"/>
      <c r="L946" s="32"/>
      <c r="M946" s="32"/>
      <c r="N946" s="48"/>
    </row>
    <row r="947">
      <c r="A947" s="32"/>
      <c r="B947" s="54"/>
      <c r="C947" s="32"/>
      <c r="D947" s="32"/>
      <c r="E947" s="32"/>
      <c r="F947" s="32"/>
      <c r="G947" s="32"/>
      <c r="H947" s="32"/>
      <c r="I947" s="32"/>
      <c r="J947" s="34"/>
      <c r="K947" s="32"/>
      <c r="L947" s="32"/>
      <c r="M947" s="32"/>
      <c r="N947" s="48"/>
    </row>
    <row r="948">
      <c r="A948" s="32"/>
      <c r="B948" s="54"/>
      <c r="C948" s="32"/>
      <c r="D948" s="32"/>
      <c r="E948" s="32"/>
      <c r="F948" s="32"/>
      <c r="G948" s="32"/>
      <c r="H948" s="32"/>
      <c r="I948" s="32"/>
      <c r="J948" s="34"/>
      <c r="K948" s="32"/>
      <c r="L948" s="32"/>
      <c r="M948" s="32"/>
      <c r="N948" s="48"/>
    </row>
    <row r="949">
      <c r="A949" s="32"/>
      <c r="B949" s="54"/>
      <c r="C949" s="32"/>
      <c r="D949" s="32"/>
      <c r="E949" s="32"/>
      <c r="F949" s="32"/>
      <c r="G949" s="32"/>
      <c r="H949" s="32"/>
      <c r="I949" s="32"/>
      <c r="J949" s="34"/>
      <c r="K949" s="32"/>
      <c r="L949" s="32"/>
      <c r="M949" s="32"/>
      <c r="N949" s="48"/>
    </row>
    <row r="950">
      <c r="A950" s="32"/>
      <c r="B950" s="54"/>
      <c r="C950" s="32"/>
      <c r="D950" s="32"/>
      <c r="E950" s="32"/>
      <c r="F950" s="32"/>
      <c r="G950" s="32"/>
      <c r="H950" s="32"/>
      <c r="I950" s="32"/>
      <c r="J950" s="34"/>
      <c r="K950" s="32"/>
      <c r="L950" s="32"/>
      <c r="M950" s="32"/>
      <c r="N950" s="48"/>
    </row>
    <row r="951">
      <c r="A951" s="32"/>
      <c r="B951" s="54"/>
      <c r="C951" s="32"/>
      <c r="D951" s="32"/>
      <c r="E951" s="32"/>
      <c r="F951" s="32"/>
      <c r="G951" s="32"/>
      <c r="H951" s="32"/>
      <c r="I951" s="32"/>
      <c r="J951" s="34"/>
      <c r="K951" s="32"/>
      <c r="L951" s="32"/>
      <c r="M951" s="32"/>
      <c r="N951" s="48"/>
    </row>
    <row r="952">
      <c r="A952" s="32"/>
      <c r="B952" s="54"/>
      <c r="C952" s="32"/>
      <c r="D952" s="32"/>
      <c r="E952" s="32"/>
      <c r="F952" s="32"/>
      <c r="G952" s="32"/>
      <c r="H952" s="32"/>
      <c r="I952" s="32"/>
      <c r="J952" s="34"/>
      <c r="K952" s="32"/>
      <c r="L952" s="32"/>
      <c r="M952" s="32"/>
      <c r="N952" s="48"/>
    </row>
    <row r="953">
      <c r="A953" s="32"/>
      <c r="B953" s="54"/>
      <c r="C953" s="32"/>
      <c r="D953" s="32"/>
      <c r="E953" s="32"/>
      <c r="F953" s="32"/>
      <c r="G953" s="32"/>
      <c r="H953" s="32"/>
      <c r="I953" s="32"/>
      <c r="J953" s="34"/>
      <c r="K953" s="32"/>
      <c r="L953" s="32"/>
      <c r="M953" s="32"/>
      <c r="N953" s="48"/>
    </row>
    <row r="954">
      <c r="A954" s="32"/>
      <c r="B954" s="54"/>
      <c r="C954" s="32"/>
      <c r="D954" s="32"/>
      <c r="E954" s="32"/>
      <c r="F954" s="32"/>
      <c r="G954" s="32"/>
      <c r="H954" s="32"/>
      <c r="I954" s="32"/>
      <c r="J954" s="34"/>
      <c r="K954" s="32"/>
      <c r="L954" s="32"/>
      <c r="M954" s="32"/>
      <c r="N954" s="48"/>
    </row>
    <row r="955">
      <c r="A955" s="32"/>
      <c r="B955" s="54"/>
      <c r="C955" s="32"/>
      <c r="D955" s="32"/>
      <c r="E955" s="32"/>
      <c r="F955" s="32"/>
      <c r="G955" s="32"/>
      <c r="H955" s="32"/>
      <c r="I955" s="32"/>
      <c r="J955" s="34"/>
      <c r="K955" s="32"/>
      <c r="L955" s="32"/>
      <c r="M955" s="32"/>
      <c r="N955" s="48"/>
    </row>
    <row r="956">
      <c r="A956" s="32"/>
      <c r="B956" s="54"/>
      <c r="C956" s="32"/>
      <c r="D956" s="32"/>
      <c r="E956" s="32"/>
      <c r="F956" s="32"/>
      <c r="G956" s="32"/>
      <c r="H956" s="32"/>
      <c r="I956" s="32"/>
      <c r="J956" s="34"/>
      <c r="K956" s="32"/>
      <c r="L956" s="32"/>
      <c r="M956" s="32"/>
      <c r="N956" s="48"/>
    </row>
    <row r="957">
      <c r="A957" s="32"/>
      <c r="B957" s="54"/>
      <c r="C957" s="32"/>
      <c r="D957" s="32"/>
      <c r="E957" s="32"/>
      <c r="F957" s="32"/>
      <c r="G957" s="32"/>
      <c r="H957" s="32"/>
      <c r="I957" s="32"/>
      <c r="J957" s="34"/>
      <c r="K957" s="32"/>
      <c r="L957" s="32"/>
      <c r="M957" s="32"/>
      <c r="N957" s="48"/>
    </row>
    <row r="958">
      <c r="A958" s="32"/>
      <c r="B958" s="54"/>
      <c r="C958" s="32"/>
      <c r="D958" s="32"/>
      <c r="E958" s="32"/>
      <c r="F958" s="32"/>
      <c r="G958" s="32"/>
      <c r="H958" s="32"/>
      <c r="I958" s="32"/>
      <c r="J958" s="34"/>
      <c r="K958" s="32"/>
      <c r="L958" s="32"/>
      <c r="M958" s="32"/>
      <c r="N958" s="48"/>
    </row>
    <row r="959">
      <c r="A959" s="32"/>
      <c r="B959" s="54"/>
      <c r="C959" s="32"/>
      <c r="D959" s="32"/>
      <c r="E959" s="32"/>
      <c r="F959" s="32"/>
      <c r="G959" s="32"/>
      <c r="H959" s="32"/>
      <c r="I959" s="32"/>
      <c r="J959" s="34"/>
      <c r="K959" s="32"/>
      <c r="L959" s="32"/>
      <c r="M959" s="32"/>
      <c r="N959" s="48"/>
    </row>
    <row r="960">
      <c r="A960" s="32"/>
      <c r="B960" s="54"/>
      <c r="C960" s="32"/>
      <c r="D960" s="32"/>
      <c r="E960" s="32"/>
      <c r="F960" s="32"/>
      <c r="G960" s="32"/>
      <c r="H960" s="32"/>
      <c r="I960" s="32"/>
      <c r="J960" s="34"/>
      <c r="K960" s="32"/>
      <c r="L960" s="32"/>
      <c r="M960" s="32"/>
      <c r="N960" s="48"/>
    </row>
    <row r="961">
      <c r="A961" s="32"/>
      <c r="B961" s="54"/>
      <c r="C961" s="32"/>
      <c r="D961" s="32"/>
      <c r="E961" s="32"/>
      <c r="F961" s="32"/>
      <c r="G961" s="32"/>
      <c r="H961" s="32"/>
      <c r="I961" s="32"/>
      <c r="J961" s="34"/>
      <c r="K961" s="32"/>
      <c r="L961" s="32"/>
      <c r="M961" s="32"/>
      <c r="N961" s="48"/>
    </row>
    <row r="962">
      <c r="A962" s="32"/>
      <c r="B962" s="54"/>
      <c r="C962" s="32"/>
      <c r="D962" s="32"/>
      <c r="E962" s="32"/>
      <c r="F962" s="32"/>
      <c r="G962" s="32"/>
      <c r="H962" s="32"/>
      <c r="I962" s="32"/>
      <c r="J962" s="34"/>
      <c r="K962" s="32"/>
      <c r="L962" s="32"/>
      <c r="M962" s="32"/>
      <c r="N962" s="48"/>
    </row>
    <row r="963">
      <c r="A963" s="32"/>
      <c r="B963" s="54"/>
      <c r="C963" s="32"/>
      <c r="D963" s="32"/>
      <c r="E963" s="32"/>
      <c r="F963" s="32"/>
      <c r="G963" s="32"/>
      <c r="H963" s="32"/>
      <c r="I963" s="32"/>
      <c r="J963" s="34"/>
      <c r="K963" s="32"/>
      <c r="L963" s="32"/>
      <c r="M963" s="32"/>
      <c r="N963" s="48"/>
    </row>
    <row r="964">
      <c r="A964" s="32"/>
      <c r="B964" s="54"/>
      <c r="C964" s="32"/>
      <c r="D964" s="32"/>
      <c r="E964" s="32"/>
      <c r="F964" s="32"/>
      <c r="G964" s="32"/>
      <c r="H964" s="32"/>
      <c r="I964" s="32"/>
      <c r="J964" s="34"/>
      <c r="K964" s="32"/>
      <c r="L964" s="32"/>
      <c r="M964" s="32"/>
      <c r="N964" s="48"/>
    </row>
    <row r="965">
      <c r="A965" s="32"/>
      <c r="B965" s="54"/>
      <c r="C965" s="32"/>
      <c r="D965" s="32"/>
      <c r="E965" s="32"/>
      <c r="F965" s="32"/>
      <c r="G965" s="32"/>
      <c r="H965" s="32"/>
      <c r="I965" s="32"/>
      <c r="J965" s="34"/>
      <c r="K965" s="32"/>
      <c r="L965" s="32"/>
      <c r="M965" s="32"/>
      <c r="N965" s="48"/>
    </row>
    <row r="966">
      <c r="A966" s="32"/>
      <c r="B966" s="54"/>
      <c r="C966" s="32"/>
      <c r="D966" s="32"/>
      <c r="E966" s="32"/>
      <c r="F966" s="32"/>
      <c r="G966" s="32"/>
      <c r="H966" s="32"/>
      <c r="I966" s="32"/>
      <c r="J966" s="34"/>
      <c r="K966" s="32"/>
      <c r="L966" s="32"/>
      <c r="M966" s="32"/>
      <c r="N966" s="48"/>
    </row>
    <row r="967">
      <c r="A967" s="32"/>
      <c r="B967" s="54"/>
      <c r="C967" s="32"/>
      <c r="D967" s="32"/>
      <c r="E967" s="32"/>
      <c r="F967" s="32"/>
      <c r="G967" s="32"/>
      <c r="H967" s="32"/>
      <c r="I967" s="32"/>
      <c r="J967" s="34"/>
      <c r="K967" s="32"/>
      <c r="L967" s="32"/>
      <c r="M967" s="32"/>
      <c r="N967" s="48"/>
    </row>
    <row r="968">
      <c r="A968" s="32"/>
      <c r="B968" s="54"/>
      <c r="C968" s="32"/>
      <c r="D968" s="32"/>
      <c r="E968" s="32"/>
      <c r="F968" s="32"/>
      <c r="G968" s="32"/>
      <c r="H968" s="32"/>
      <c r="I968" s="32"/>
      <c r="J968" s="34"/>
      <c r="K968" s="32"/>
      <c r="L968" s="32"/>
      <c r="M968" s="32"/>
      <c r="N968" s="48"/>
    </row>
    <row r="969">
      <c r="A969" s="32"/>
      <c r="B969" s="54"/>
      <c r="C969" s="32"/>
      <c r="D969" s="32"/>
      <c r="E969" s="32"/>
      <c r="F969" s="32"/>
      <c r="G969" s="32"/>
      <c r="H969" s="32"/>
      <c r="I969" s="32"/>
      <c r="J969" s="34"/>
      <c r="K969" s="32"/>
      <c r="L969" s="32"/>
      <c r="M969" s="32"/>
      <c r="N969" s="48"/>
    </row>
    <row r="970">
      <c r="A970" s="32"/>
      <c r="B970" s="54"/>
      <c r="C970" s="32"/>
      <c r="D970" s="32"/>
      <c r="E970" s="32"/>
      <c r="F970" s="32"/>
      <c r="G970" s="32"/>
      <c r="H970" s="32"/>
      <c r="I970" s="32"/>
      <c r="J970" s="34"/>
      <c r="K970" s="32"/>
      <c r="L970" s="32"/>
      <c r="M970" s="32"/>
      <c r="N970" s="48"/>
    </row>
    <row r="971">
      <c r="A971" s="32"/>
      <c r="B971" s="54"/>
      <c r="C971" s="32"/>
      <c r="D971" s="32"/>
      <c r="E971" s="32"/>
      <c r="F971" s="32"/>
      <c r="G971" s="32"/>
      <c r="H971" s="32"/>
      <c r="I971" s="32"/>
      <c r="J971" s="34"/>
      <c r="K971" s="32"/>
      <c r="L971" s="32"/>
      <c r="M971" s="32"/>
      <c r="N971" s="48"/>
    </row>
    <row r="972">
      <c r="A972" s="32"/>
      <c r="B972" s="54"/>
      <c r="C972" s="32"/>
      <c r="D972" s="32"/>
      <c r="E972" s="32"/>
      <c r="F972" s="32"/>
      <c r="G972" s="32"/>
      <c r="H972" s="32"/>
      <c r="I972" s="32"/>
      <c r="J972" s="34"/>
      <c r="K972" s="32"/>
      <c r="L972" s="32"/>
      <c r="M972" s="32"/>
      <c r="N972" s="48"/>
    </row>
    <row r="973">
      <c r="A973" s="32"/>
      <c r="B973" s="54"/>
      <c r="C973" s="32"/>
      <c r="D973" s="32"/>
      <c r="E973" s="32"/>
      <c r="F973" s="32"/>
      <c r="G973" s="32"/>
      <c r="H973" s="32"/>
      <c r="I973" s="32"/>
      <c r="J973" s="34"/>
      <c r="K973" s="32"/>
      <c r="L973" s="32"/>
      <c r="M973" s="32"/>
      <c r="N973" s="48"/>
    </row>
    <row r="974">
      <c r="A974" s="32"/>
      <c r="B974" s="54"/>
      <c r="C974" s="32"/>
      <c r="D974" s="32"/>
      <c r="E974" s="32"/>
      <c r="F974" s="32"/>
      <c r="G974" s="32"/>
      <c r="H974" s="32"/>
      <c r="I974" s="32"/>
      <c r="J974" s="34"/>
      <c r="K974" s="32"/>
      <c r="L974" s="32"/>
      <c r="M974" s="32"/>
      <c r="N974" s="48"/>
    </row>
    <row r="975">
      <c r="A975" s="32"/>
      <c r="B975" s="54"/>
      <c r="C975" s="32"/>
      <c r="D975" s="32"/>
      <c r="E975" s="32"/>
      <c r="F975" s="32"/>
      <c r="G975" s="32"/>
      <c r="H975" s="32"/>
      <c r="I975" s="32"/>
      <c r="J975" s="34"/>
      <c r="K975" s="32"/>
      <c r="L975" s="32"/>
      <c r="M975" s="32"/>
      <c r="N975" s="48"/>
    </row>
    <row r="976">
      <c r="A976" s="32"/>
      <c r="B976" s="54"/>
      <c r="C976" s="32"/>
      <c r="D976" s="32"/>
      <c r="E976" s="32"/>
      <c r="F976" s="32"/>
      <c r="G976" s="32"/>
      <c r="H976" s="32"/>
      <c r="I976" s="32"/>
      <c r="J976" s="34"/>
      <c r="K976" s="32"/>
      <c r="L976" s="32"/>
      <c r="M976" s="32"/>
      <c r="N976" s="48"/>
    </row>
    <row r="977">
      <c r="A977" s="32"/>
      <c r="B977" s="54"/>
      <c r="C977" s="32"/>
      <c r="D977" s="32"/>
      <c r="E977" s="32"/>
      <c r="F977" s="32"/>
      <c r="G977" s="32"/>
      <c r="H977" s="32"/>
      <c r="I977" s="32"/>
      <c r="J977" s="34"/>
      <c r="K977" s="32"/>
      <c r="L977" s="32"/>
      <c r="M977" s="32"/>
      <c r="N977" s="48"/>
    </row>
    <row r="978">
      <c r="A978" s="32"/>
      <c r="B978" s="54"/>
      <c r="C978" s="32"/>
      <c r="D978" s="32"/>
      <c r="E978" s="32"/>
      <c r="F978" s="32"/>
      <c r="G978" s="32"/>
      <c r="H978" s="32"/>
      <c r="I978" s="32"/>
      <c r="J978" s="34"/>
      <c r="K978" s="32"/>
      <c r="L978" s="32"/>
      <c r="M978" s="32"/>
      <c r="N978" s="48"/>
    </row>
    <row r="979">
      <c r="A979" s="32"/>
      <c r="B979" s="54"/>
      <c r="C979" s="32"/>
      <c r="D979" s="32"/>
      <c r="E979" s="32"/>
      <c r="F979" s="32"/>
      <c r="G979" s="32"/>
      <c r="H979" s="32"/>
      <c r="I979" s="32"/>
      <c r="J979" s="34"/>
      <c r="K979" s="32"/>
      <c r="L979" s="32"/>
      <c r="M979" s="32"/>
      <c r="N979" s="48"/>
    </row>
    <row r="980">
      <c r="A980" s="32"/>
      <c r="B980" s="54"/>
      <c r="C980" s="32"/>
      <c r="D980" s="32"/>
      <c r="E980" s="32"/>
      <c r="F980" s="32"/>
      <c r="G980" s="32"/>
      <c r="H980" s="32"/>
      <c r="I980" s="32"/>
      <c r="J980" s="34"/>
      <c r="K980" s="32"/>
      <c r="L980" s="32"/>
      <c r="M980" s="32"/>
      <c r="N980" s="48"/>
    </row>
    <row r="981">
      <c r="A981" s="32"/>
      <c r="B981" s="54"/>
      <c r="C981" s="32"/>
      <c r="D981" s="32"/>
      <c r="E981" s="32"/>
      <c r="F981" s="32"/>
      <c r="G981" s="32"/>
      <c r="H981" s="32"/>
      <c r="I981" s="32"/>
      <c r="J981" s="34"/>
      <c r="K981" s="32"/>
      <c r="L981" s="32"/>
      <c r="M981" s="32"/>
      <c r="N981" s="48"/>
    </row>
    <row r="982">
      <c r="A982" s="32"/>
      <c r="B982" s="54"/>
      <c r="C982" s="32"/>
      <c r="D982" s="32"/>
      <c r="E982" s="32"/>
      <c r="F982" s="32"/>
      <c r="G982" s="32"/>
      <c r="H982" s="32"/>
      <c r="I982" s="32"/>
      <c r="J982" s="34"/>
      <c r="K982" s="32"/>
      <c r="L982" s="32"/>
      <c r="M982" s="32"/>
      <c r="N982" s="48"/>
    </row>
    <row r="983">
      <c r="A983" s="32"/>
      <c r="B983" s="54"/>
      <c r="C983" s="32"/>
      <c r="D983" s="32"/>
      <c r="E983" s="32"/>
      <c r="F983" s="32"/>
      <c r="G983" s="32"/>
      <c r="H983" s="32"/>
      <c r="I983" s="32"/>
      <c r="J983" s="34"/>
      <c r="K983" s="32"/>
      <c r="L983" s="32"/>
      <c r="M983" s="32"/>
      <c r="N983" s="48"/>
    </row>
    <row r="984">
      <c r="A984" s="32"/>
      <c r="B984" s="54"/>
      <c r="C984" s="32"/>
      <c r="D984" s="32"/>
      <c r="E984" s="32"/>
      <c r="F984" s="32"/>
      <c r="G984" s="32"/>
      <c r="H984" s="32"/>
      <c r="I984" s="32"/>
      <c r="J984" s="34"/>
      <c r="K984" s="32"/>
      <c r="L984" s="32"/>
      <c r="M984" s="32"/>
      <c r="N984" s="48"/>
    </row>
    <row r="985">
      <c r="A985" s="32"/>
      <c r="B985" s="54"/>
      <c r="C985" s="32"/>
      <c r="D985" s="32"/>
      <c r="E985" s="32"/>
      <c r="F985" s="32"/>
      <c r="G985" s="32"/>
      <c r="H985" s="32"/>
      <c r="I985" s="32"/>
      <c r="J985" s="34"/>
      <c r="K985" s="32"/>
      <c r="L985" s="32"/>
      <c r="M985" s="32"/>
      <c r="N985" s="48"/>
    </row>
    <row r="986">
      <c r="A986" s="32"/>
      <c r="B986" s="54"/>
      <c r="C986" s="32"/>
      <c r="D986" s="32"/>
      <c r="E986" s="32"/>
      <c r="F986" s="32"/>
      <c r="G986" s="32"/>
      <c r="H986" s="32"/>
      <c r="I986" s="32"/>
      <c r="J986" s="34"/>
      <c r="K986" s="32"/>
      <c r="L986" s="32"/>
      <c r="M986" s="32"/>
      <c r="N986" s="48"/>
    </row>
    <row r="987">
      <c r="A987" s="32"/>
      <c r="B987" s="54"/>
      <c r="C987" s="32"/>
      <c r="D987" s="32"/>
      <c r="E987" s="32"/>
      <c r="F987" s="32"/>
      <c r="G987" s="32"/>
      <c r="H987" s="32"/>
      <c r="I987" s="32"/>
      <c r="J987" s="34"/>
      <c r="K987" s="32"/>
      <c r="L987" s="32"/>
      <c r="M987" s="32"/>
      <c r="N987" s="48"/>
    </row>
    <row r="988">
      <c r="A988" s="32"/>
      <c r="B988" s="54"/>
      <c r="C988" s="32"/>
      <c r="D988" s="32"/>
      <c r="E988" s="32"/>
      <c r="F988" s="32"/>
      <c r="G988" s="32"/>
      <c r="H988" s="32"/>
      <c r="I988" s="32"/>
      <c r="J988" s="34"/>
      <c r="K988" s="32"/>
      <c r="L988" s="32"/>
      <c r="M988" s="32"/>
      <c r="N988" s="48"/>
    </row>
    <row r="989">
      <c r="A989" s="32"/>
      <c r="B989" s="54"/>
      <c r="C989" s="32"/>
      <c r="D989" s="32"/>
      <c r="E989" s="32"/>
      <c r="F989" s="32"/>
      <c r="G989" s="32"/>
      <c r="H989" s="32"/>
      <c r="I989" s="32"/>
      <c r="J989" s="34"/>
      <c r="K989" s="32"/>
      <c r="L989" s="32"/>
      <c r="M989" s="32"/>
      <c r="N989" s="48"/>
    </row>
    <row r="990">
      <c r="A990" s="32"/>
      <c r="B990" s="54"/>
      <c r="C990" s="32"/>
      <c r="D990" s="32"/>
      <c r="E990" s="32"/>
      <c r="F990" s="32"/>
      <c r="G990" s="32"/>
      <c r="H990" s="32"/>
      <c r="I990" s="32"/>
      <c r="J990" s="34"/>
      <c r="K990" s="32"/>
      <c r="L990" s="32"/>
      <c r="M990" s="32"/>
      <c r="N990" s="48"/>
    </row>
    <row r="991">
      <c r="A991" s="32"/>
      <c r="B991" s="54"/>
      <c r="C991" s="32"/>
      <c r="D991" s="32"/>
      <c r="E991" s="32"/>
      <c r="F991" s="32"/>
      <c r="G991" s="32"/>
      <c r="H991" s="32"/>
      <c r="I991" s="32"/>
      <c r="J991" s="34"/>
      <c r="K991" s="32"/>
      <c r="L991" s="32"/>
      <c r="M991" s="32"/>
      <c r="N991" s="48"/>
    </row>
    <row r="992">
      <c r="A992" s="32"/>
      <c r="B992" s="54"/>
      <c r="C992" s="32"/>
      <c r="D992" s="32"/>
      <c r="E992" s="32"/>
      <c r="F992" s="32"/>
      <c r="G992" s="32"/>
      <c r="H992" s="32"/>
      <c r="I992" s="32"/>
      <c r="J992" s="34"/>
      <c r="K992" s="32"/>
      <c r="L992" s="32"/>
      <c r="M992" s="32"/>
      <c r="N992" s="48"/>
    </row>
    <row r="993">
      <c r="A993" s="32"/>
      <c r="B993" s="54"/>
      <c r="C993" s="32"/>
      <c r="D993" s="32"/>
      <c r="E993" s="32"/>
      <c r="F993" s="32"/>
      <c r="G993" s="32"/>
      <c r="H993" s="32"/>
      <c r="I993" s="32"/>
      <c r="J993" s="34"/>
      <c r="K993" s="32"/>
      <c r="L993" s="32"/>
      <c r="M993" s="32"/>
      <c r="N993" s="48"/>
    </row>
    <row r="994">
      <c r="A994" s="32"/>
      <c r="B994" s="54"/>
      <c r="C994" s="32"/>
      <c r="D994" s="32"/>
      <c r="E994" s="32"/>
      <c r="F994" s="32"/>
      <c r="G994" s="32"/>
      <c r="H994" s="32"/>
      <c r="I994" s="32"/>
      <c r="J994" s="34"/>
      <c r="K994" s="32"/>
      <c r="L994" s="32"/>
      <c r="M994" s="32"/>
      <c r="N994" s="48"/>
    </row>
    <row r="995">
      <c r="A995" s="32"/>
      <c r="B995" s="54"/>
      <c r="C995" s="32"/>
      <c r="D995" s="32"/>
      <c r="E995" s="32"/>
      <c r="F995" s="32"/>
      <c r="G995" s="32"/>
      <c r="H995" s="32"/>
      <c r="I995" s="32"/>
      <c r="J995" s="34"/>
      <c r="K995" s="32"/>
      <c r="L995" s="32"/>
      <c r="M995" s="32"/>
      <c r="N995" s="48"/>
    </row>
    <row r="996">
      <c r="A996" s="32"/>
      <c r="B996" s="54"/>
      <c r="C996" s="32"/>
      <c r="D996" s="32"/>
      <c r="E996" s="32"/>
      <c r="F996" s="32"/>
      <c r="G996" s="32"/>
      <c r="H996" s="32"/>
      <c r="I996" s="32"/>
      <c r="J996" s="34"/>
      <c r="K996" s="32"/>
      <c r="L996" s="32"/>
      <c r="M996" s="32"/>
      <c r="N996" s="48"/>
    </row>
    <row r="997">
      <c r="A997" s="32"/>
      <c r="B997" s="54"/>
      <c r="C997" s="32"/>
      <c r="D997" s="32"/>
      <c r="E997" s="32"/>
      <c r="F997" s="32"/>
      <c r="G997" s="32"/>
      <c r="H997" s="32"/>
      <c r="I997" s="32"/>
      <c r="J997" s="34"/>
      <c r="K997" s="32"/>
      <c r="L997" s="32"/>
      <c r="M997" s="32"/>
      <c r="N997" s="48"/>
    </row>
    <row r="998">
      <c r="A998" s="32"/>
      <c r="B998" s="54"/>
      <c r="C998" s="32"/>
      <c r="D998" s="32"/>
      <c r="E998" s="32"/>
      <c r="F998" s="32"/>
      <c r="G998" s="32"/>
      <c r="H998" s="32"/>
      <c r="I998" s="32"/>
      <c r="J998" s="34"/>
      <c r="K998" s="32"/>
      <c r="L998" s="32"/>
      <c r="M998" s="32"/>
      <c r="N998" s="48"/>
    </row>
    <row r="999">
      <c r="A999" s="32"/>
      <c r="B999" s="54"/>
      <c r="C999" s="32"/>
      <c r="D999" s="32"/>
      <c r="E999" s="32"/>
      <c r="F999" s="32"/>
      <c r="G999" s="32"/>
      <c r="H999" s="32"/>
      <c r="I999" s="32"/>
      <c r="J999" s="34"/>
      <c r="K999" s="32"/>
      <c r="L999" s="32"/>
      <c r="M999" s="32"/>
      <c r="N999" s="48"/>
    </row>
    <row r="1000">
      <c r="A1000" s="32"/>
      <c r="B1000" s="54"/>
      <c r="C1000" s="32"/>
      <c r="D1000" s="32"/>
      <c r="E1000" s="32"/>
      <c r="F1000" s="32"/>
      <c r="G1000" s="32"/>
      <c r="H1000" s="32"/>
      <c r="I1000" s="32"/>
      <c r="J1000" s="34"/>
      <c r="K1000" s="32"/>
      <c r="L1000" s="32"/>
      <c r="M1000" s="32"/>
      <c r="N1000" s="48"/>
    </row>
    <row r="1001">
      <c r="A1001" s="32"/>
      <c r="B1001" s="54"/>
      <c r="C1001" s="32"/>
      <c r="D1001" s="32"/>
      <c r="E1001" s="32"/>
      <c r="F1001" s="32"/>
      <c r="G1001" s="32"/>
      <c r="H1001" s="32"/>
      <c r="I1001" s="32"/>
      <c r="J1001" s="34"/>
      <c r="K1001" s="32"/>
      <c r="L1001" s="32"/>
      <c r="M1001" s="32"/>
      <c r="N1001" s="48"/>
    </row>
    <row r="1002">
      <c r="A1002" s="32"/>
      <c r="B1002" s="54"/>
      <c r="C1002" s="32"/>
      <c r="D1002" s="32"/>
      <c r="E1002" s="32"/>
      <c r="F1002" s="32"/>
      <c r="G1002" s="32"/>
      <c r="H1002" s="32"/>
      <c r="I1002" s="32"/>
      <c r="J1002" s="34"/>
      <c r="K1002" s="32"/>
      <c r="L1002" s="32"/>
      <c r="M1002" s="32"/>
      <c r="N1002" s="48"/>
    </row>
    <row r="1003">
      <c r="A1003" s="32"/>
      <c r="B1003" s="54"/>
      <c r="C1003" s="32"/>
      <c r="D1003" s="32"/>
      <c r="E1003" s="32"/>
      <c r="F1003" s="32"/>
      <c r="G1003" s="32"/>
      <c r="H1003" s="32"/>
      <c r="I1003" s="32"/>
      <c r="J1003" s="34"/>
      <c r="K1003" s="32"/>
      <c r="L1003" s="32"/>
      <c r="M1003" s="32"/>
      <c r="N1003" s="48"/>
    </row>
    <row r="1004">
      <c r="A1004" s="32"/>
      <c r="B1004" s="54"/>
      <c r="C1004" s="32"/>
      <c r="D1004" s="32"/>
      <c r="E1004" s="32"/>
      <c r="F1004" s="32"/>
      <c r="G1004" s="32"/>
      <c r="H1004" s="32"/>
      <c r="I1004" s="32"/>
      <c r="J1004" s="34"/>
      <c r="K1004" s="32"/>
      <c r="L1004" s="32"/>
      <c r="M1004" s="32"/>
      <c r="N1004" s="48"/>
    </row>
    <row r="1005">
      <c r="A1005" s="32"/>
      <c r="B1005" s="54"/>
      <c r="C1005" s="32"/>
      <c r="D1005" s="32"/>
      <c r="E1005" s="32"/>
      <c r="F1005" s="32"/>
      <c r="G1005" s="32"/>
      <c r="H1005" s="32"/>
      <c r="I1005" s="32"/>
      <c r="J1005" s="34"/>
      <c r="K1005" s="32"/>
      <c r="L1005" s="32"/>
      <c r="M1005" s="32"/>
      <c r="N1005" s="48"/>
    </row>
    <row r="1006">
      <c r="A1006" s="32"/>
      <c r="B1006" s="54"/>
      <c r="C1006" s="32"/>
      <c r="D1006" s="32"/>
      <c r="E1006" s="32"/>
      <c r="F1006" s="32"/>
      <c r="G1006" s="32"/>
      <c r="H1006" s="32"/>
      <c r="I1006" s="32"/>
      <c r="J1006" s="34"/>
      <c r="K1006" s="32"/>
      <c r="L1006" s="32"/>
      <c r="M1006" s="32"/>
      <c r="N1006" s="48"/>
    </row>
    <row r="1007">
      <c r="A1007" s="32"/>
      <c r="B1007" s="54"/>
      <c r="C1007" s="32"/>
      <c r="D1007" s="32"/>
      <c r="E1007" s="32"/>
      <c r="F1007" s="32"/>
      <c r="G1007" s="32"/>
      <c r="H1007" s="32"/>
      <c r="I1007" s="32"/>
      <c r="J1007" s="34"/>
      <c r="K1007" s="32"/>
      <c r="L1007" s="32"/>
      <c r="M1007" s="32"/>
      <c r="N1007" s="48"/>
    </row>
    <row r="1008">
      <c r="A1008" s="32"/>
      <c r="B1008" s="54"/>
      <c r="C1008" s="32"/>
      <c r="D1008" s="32"/>
      <c r="E1008" s="32"/>
      <c r="F1008" s="32"/>
      <c r="G1008" s="32"/>
      <c r="H1008" s="32"/>
      <c r="I1008" s="32"/>
      <c r="J1008" s="34"/>
      <c r="K1008" s="32"/>
      <c r="L1008" s="32"/>
      <c r="M1008" s="32"/>
      <c r="N1008" s="48"/>
    </row>
    <row r="1009">
      <c r="A1009" s="32"/>
      <c r="B1009" s="54"/>
      <c r="C1009" s="32"/>
      <c r="D1009" s="32"/>
      <c r="E1009" s="32"/>
      <c r="F1009" s="32"/>
      <c r="G1009" s="32"/>
      <c r="H1009" s="32"/>
      <c r="I1009" s="32"/>
      <c r="J1009" s="34"/>
      <c r="K1009" s="32"/>
      <c r="L1009" s="32"/>
      <c r="M1009" s="32"/>
      <c r="N1009" s="48"/>
    </row>
    <row r="1010">
      <c r="A1010" s="32"/>
      <c r="B1010" s="54"/>
      <c r="C1010" s="32"/>
      <c r="D1010" s="32"/>
      <c r="E1010" s="32"/>
      <c r="F1010" s="32"/>
      <c r="G1010" s="32"/>
      <c r="H1010" s="32"/>
      <c r="I1010" s="32"/>
      <c r="J1010" s="34"/>
      <c r="K1010" s="32"/>
      <c r="L1010" s="32"/>
      <c r="M1010" s="32"/>
      <c r="N1010" s="48"/>
    </row>
    <row r="1011">
      <c r="A1011" s="32"/>
      <c r="B1011" s="54"/>
      <c r="C1011" s="32"/>
      <c r="D1011" s="32"/>
      <c r="E1011" s="32"/>
      <c r="F1011" s="32"/>
      <c r="G1011" s="32"/>
      <c r="H1011" s="32"/>
      <c r="I1011" s="32"/>
      <c r="J1011" s="34"/>
      <c r="K1011" s="32"/>
      <c r="L1011" s="32"/>
      <c r="M1011" s="32"/>
      <c r="N1011" s="48"/>
    </row>
    <row r="1012">
      <c r="A1012" s="32"/>
      <c r="B1012" s="54"/>
      <c r="C1012" s="32"/>
      <c r="D1012" s="32"/>
      <c r="E1012" s="32"/>
      <c r="F1012" s="32"/>
      <c r="G1012" s="32"/>
      <c r="H1012" s="32"/>
      <c r="I1012" s="32"/>
      <c r="J1012" s="34"/>
      <c r="K1012" s="32"/>
      <c r="L1012" s="32"/>
      <c r="M1012" s="32"/>
      <c r="N1012" s="48"/>
    </row>
    <row r="1013">
      <c r="A1013" s="32"/>
      <c r="B1013" s="54"/>
      <c r="C1013" s="32"/>
      <c r="D1013" s="32"/>
      <c r="E1013" s="32"/>
      <c r="F1013" s="32"/>
      <c r="G1013" s="32"/>
      <c r="H1013" s="32"/>
      <c r="I1013" s="32"/>
      <c r="J1013" s="34"/>
      <c r="K1013" s="32"/>
      <c r="L1013" s="32"/>
      <c r="M1013" s="32"/>
      <c r="N1013" s="48"/>
    </row>
    <row r="1014">
      <c r="A1014" s="32"/>
      <c r="B1014" s="54"/>
      <c r="C1014" s="32"/>
      <c r="D1014" s="32"/>
      <c r="E1014" s="32"/>
      <c r="F1014" s="32"/>
      <c r="G1014" s="32"/>
      <c r="H1014" s="32"/>
      <c r="I1014" s="32"/>
      <c r="J1014" s="34"/>
      <c r="K1014" s="32"/>
      <c r="L1014" s="32"/>
      <c r="M1014" s="32"/>
      <c r="N1014" s="48"/>
    </row>
    <row r="1015">
      <c r="A1015" s="32"/>
      <c r="B1015" s="54"/>
      <c r="C1015" s="32"/>
      <c r="D1015" s="32"/>
      <c r="E1015" s="32"/>
      <c r="F1015" s="32"/>
      <c r="G1015" s="32"/>
      <c r="H1015" s="32"/>
      <c r="I1015" s="32"/>
      <c r="J1015" s="34"/>
      <c r="K1015" s="32"/>
      <c r="L1015" s="32"/>
      <c r="M1015" s="32"/>
      <c r="N1015" s="48"/>
    </row>
    <row r="1016">
      <c r="A1016" s="32"/>
      <c r="B1016" s="54"/>
      <c r="C1016" s="32"/>
      <c r="D1016" s="32"/>
      <c r="E1016" s="32"/>
      <c r="F1016" s="32"/>
      <c r="G1016" s="32"/>
      <c r="H1016" s="32"/>
      <c r="I1016" s="32"/>
      <c r="J1016" s="34"/>
      <c r="K1016" s="32"/>
      <c r="L1016" s="32"/>
      <c r="M1016" s="32"/>
      <c r="N1016" s="48"/>
    </row>
    <row r="1017">
      <c r="A1017" s="32"/>
      <c r="B1017" s="54"/>
      <c r="C1017" s="32"/>
      <c r="D1017" s="32"/>
      <c r="E1017" s="32"/>
      <c r="F1017" s="32"/>
      <c r="G1017" s="32"/>
      <c r="H1017" s="32"/>
      <c r="I1017" s="32"/>
      <c r="J1017" s="34"/>
      <c r="K1017" s="32"/>
      <c r="L1017" s="32"/>
      <c r="M1017" s="32"/>
      <c r="N1017" s="48"/>
    </row>
    <row r="1018">
      <c r="A1018" s="32"/>
      <c r="B1018" s="54"/>
      <c r="C1018" s="32"/>
      <c r="D1018" s="32"/>
      <c r="E1018" s="32"/>
      <c r="F1018" s="32"/>
      <c r="G1018" s="32"/>
      <c r="H1018" s="32"/>
      <c r="I1018" s="32"/>
      <c r="J1018" s="34"/>
      <c r="K1018" s="32"/>
      <c r="L1018" s="32"/>
      <c r="M1018" s="32"/>
      <c r="N1018" s="48"/>
    </row>
    <row r="1019">
      <c r="A1019" s="32"/>
      <c r="B1019" s="54"/>
      <c r="C1019" s="32"/>
      <c r="D1019" s="32"/>
      <c r="E1019" s="32"/>
      <c r="F1019" s="32"/>
      <c r="G1019" s="32"/>
      <c r="H1019" s="32"/>
      <c r="I1019" s="32"/>
      <c r="J1019" s="34"/>
      <c r="K1019" s="32"/>
      <c r="L1019" s="32"/>
      <c r="M1019" s="32"/>
      <c r="N1019" s="48"/>
    </row>
    <row r="1020">
      <c r="A1020" s="32"/>
      <c r="B1020" s="54"/>
      <c r="C1020" s="32"/>
      <c r="D1020" s="32"/>
      <c r="E1020" s="32"/>
      <c r="F1020" s="32"/>
      <c r="G1020" s="32"/>
      <c r="H1020" s="32"/>
      <c r="I1020" s="32"/>
      <c r="J1020" s="34"/>
      <c r="K1020" s="32"/>
      <c r="L1020" s="32"/>
      <c r="M1020" s="32"/>
      <c r="N1020" s="48"/>
    </row>
    <row r="1021">
      <c r="A1021" s="32"/>
      <c r="B1021" s="54"/>
      <c r="C1021" s="32"/>
      <c r="D1021" s="32"/>
      <c r="E1021" s="32"/>
      <c r="F1021" s="32"/>
      <c r="G1021" s="32"/>
      <c r="H1021" s="32"/>
      <c r="I1021" s="32"/>
      <c r="J1021" s="34"/>
      <c r="K1021" s="32"/>
      <c r="L1021" s="32"/>
      <c r="M1021" s="32"/>
      <c r="N1021" s="48"/>
    </row>
    <row r="1022">
      <c r="A1022" s="32"/>
      <c r="B1022" s="54"/>
      <c r="C1022" s="32"/>
      <c r="D1022" s="32"/>
      <c r="E1022" s="32"/>
      <c r="F1022" s="32"/>
      <c r="G1022" s="32"/>
      <c r="H1022" s="32"/>
      <c r="I1022" s="32"/>
      <c r="J1022" s="34"/>
      <c r="K1022" s="32"/>
      <c r="L1022" s="32"/>
      <c r="M1022" s="32"/>
      <c r="N1022" s="48"/>
    </row>
    <row r="1023">
      <c r="A1023" s="32"/>
      <c r="B1023" s="54"/>
      <c r="C1023" s="32"/>
      <c r="D1023" s="32"/>
      <c r="E1023" s="32"/>
      <c r="F1023" s="32"/>
      <c r="G1023" s="32"/>
      <c r="H1023" s="32"/>
      <c r="I1023" s="32"/>
      <c r="J1023" s="34"/>
      <c r="K1023" s="32"/>
      <c r="L1023" s="32"/>
      <c r="M1023" s="32"/>
      <c r="N1023" s="48"/>
    </row>
    <row r="1024">
      <c r="A1024" s="32"/>
      <c r="B1024" s="54"/>
      <c r="C1024" s="32"/>
      <c r="D1024" s="32"/>
      <c r="E1024" s="32"/>
      <c r="F1024" s="32"/>
      <c r="G1024" s="32"/>
      <c r="H1024" s="32"/>
      <c r="I1024" s="32"/>
      <c r="J1024" s="34"/>
      <c r="K1024" s="32"/>
      <c r="L1024" s="32"/>
      <c r="M1024" s="32"/>
      <c r="N1024" s="48"/>
    </row>
    <row r="1025">
      <c r="A1025" s="32"/>
      <c r="B1025" s="54"/>
      <c r="C1025" s="32"/>
      <c r="D1025" s="32"/>
      <c r="E1025" s="32"/>
      <c r="F1025" s="32"/>
      <c r="G1025" s="32"/>
      <c r="H1025" s="32"/>
      <c r="I1025" s="32"/>
      <c r="J1025" s="34"/>
      <c r="K1025" s="32"/>
      <c r="L1025" s="32"/>
      <c r="M1025" s="32"/>
      <c r="N1025" s="48"/>
    </row>
    <row r="1026">
      <c r="A1026" s="32"/>
      <c r="B1026" s="54"/>
      <c r="C1026" s="32"/>
      <c r="D1026" s="32"/>
      <c r="E1026" s="32"/>
      <c r="F1026" s="32"/>
      <c r="G1026" s="32"/>
      <c r="H1026" s="32"/>
      <c r="I1026" s="32"/>
      <c r="J1026" s="34"/>
      <c r="K1026" s="32"/>
      <c r="L1026" s="32"/>
      <c r="M1026" s="32"/>
      <c r="N1026" s="48"/>
    </row>
    <row r="1027">
      <c r="A1027" s="32"/>
      <c r="B1027" s="54"/>
      <c r="C1027" s="32"/>
      <c r="D1027" s="32"/>
      <c r="E1027" s="32"/>
      <c r="F1027" s="32"/>
      <c r="G1027" s="32"/>
      <c r="H1027" s="32"/>
      <c r="I1027" s="32"/>
      <c r="J1027" s="34"/>
      <c r="K1027" s="32"/>
      <c r="L1027" s="32"/>
      <c r="M1027" s="32"/>
      <c r="N1027" s="48"/>
    </row>
    <row r="1028">
      <c r="A1028" s="32"/>
      <c r="B1028" s="54"/>
      <c r="C1028" s="32"/>
      <c r="D1028" s="32"/>
      <c r="E1028" s="32"/>
      <c r="F1028" s="32"/>
      <c r="G1028" s="32"/>
      <c r="H1028" s="32"/>
      <c r="I1028" s="32"/>
      <c r="J1028" s="34"/>
      <c r="K1028" s="32"/>
      <c r="L1028" s="32"/>
      <c r="M1028" s="32"/>
      <c r="N1028" s="48"/>
    </row>
    <row r="1029">
      <c r="A1029" s="32"/>
      <c r="B1029" s="54"/>
      <c r="C1029" s="32"/>
      <c r="D1029" s="32"/>
      <c r="E1029" s="32"/>
      <c r="F1029" s="32"/>
      <c r="G1029" s="32"/>
      <c r="H1029" s="32"/>
      <c r="I1029" s="32"/>
      <c r="J1029" s="34"/>
      <c r="K1029" s="32"/>
      <c r="L1029" s="32"/>
      <c r="M1029" s="32"/>
      <c r="N1029" s="48"/>
    </row>
    <row r="1030">
      <c r="A1030" s="32"/>
      <c r="B1030" s="54"/>
      <c r="C1030" s="32"/>
      <c r="D1030" s="32"/>
      <c r="E1030" s="32"/>
      <c r="F1030" s="32"/>
      <c r="G1030" s="32"/>
      <c r="H1030" s="32"/>
      <c r="I1030" s="32"/>
      <c r="J1030" s="34"/>
      <c r="K1030" s="32"/>
      <c r="L1030" s="32"/>
      <c r="M1030" s="32"/>
      <c r="N1030" s="48"/>
    </row>
    <row r="1031">
      <c r="A1031" s="32"/>
      <c r="B1031" s="54"/>
      <c r="C1031" s="32"/>
      <c r="D1031" s="32"/>
      <c r="E1031" s="32"/>
      <c r="F1031" s="32"/>
      <c r="G1031" s="32"/>
      <c r="H1031" s="32"/>
      <c r="I1031" s="32"/>
      <c r="J1031" s="34"/>
      <c r="K1031" s="32"/>
      <c r="L1031" s="32"/>
      <c r="M1031" s="32"/>
      <c r="N1031" s="48"/>
    </row>
    <row r="1032">
      <c r="A1032" s="32"/>
      <c r="B1032" s="54"/>
      <c r="C1032" s="32"/>
      <c r="D1032" s="32"/>
      <c r="E1032" s="32"/>
      <c r="F1032" s="32"/>
      <c r="G1032" s="32"/>
      <c r="H1032" s="32"/>
      <c r="I1032" s="32"/>
      <c r="J1032" s="34"/>
      <c r="K1032" s="32"/>
      <c r="L1032" s="32"/>
      <c r="M1032" s="32"/>
      <c r="N1032" s="48"/>
    </row>
    <row r="1033">
      <c r="A1033" s="32"/>
      <c r="B1033" s="54"/>
      <c r="C1033" s="32"/>
      <c r="D1033" s="32"/>
      <c r="E1033" s="32"/>
      <c r="F1033" s="32"/>
      <c r="G1033" s="32"/>
      <c r="H1033" s="32"/>
      <c r="I1033" s="32"/>
      <c r="J1033" s="34"/>
      <c r="K1033" s="32"/>
      <c r="L1033" s="32"/>
      <c r="M1033" s="32"/>
      <c r="N1033" s="48"/>
    </row>
    <row r="1034">
      <c r="A1034" s="32"/>
      <c r="B1034" s="54"/>
      <c r="C1034" s="32"/>
      <c r="D1034" s="32"/>
      <c r="E1034" s="32"/>
      <c r="F1034" s="32"/>
      <c r="G1034" s="32"/>
      <c r="H1034" s="32"/>
      <c r="I1034" s="32"/>
      <c r="J1034" s="34"/>
      <c r="K1034" s="32"/>
      <c r="L1034" s="32"/>
      <c r="M1034" s="32"/>
      <c r="N1034" s="48"/>
    </row>
    <row r="1035">
      <c r="A1035" s="32"/>
      <c r="B1035" s="54"/>
      <c r="C1035" s="32"/>
      <c r="D1035" s="32"/>
      <c r="E1035" s="32"/>
      <c r="F1035" s="32"/>
      <c r="G1035" s="32"/>
      <c r="H1035" s="32"/>
      <c r="I1035" s="32"/>
      <c r="J1035" s="34"/>
      <c r="K1035" s="32"/>
      <c r="L1035" s="32"/>
      <c r="M1035" s="32"/>
      <c r="N1035" s="48"/>
    </row>
    <row r="1036">
      <c r="A1036" s="32"/>
      <c r="B1036" s="54"/>
      <c r="C1036" s="32"/>
      <c r="D1036" s="32"/>
      <c r="E1036" s="32"/>
      <c r="F1036" s="32"/>
      <c r="G1036" s="32"/>
      <c r="H1036" s="32"/>
      <c r="I1036" s="32"/>
      <c r="J1036" s="34"/>
      <c r="K1036" s="32"/>
      <c r="L1036" s="32"/>
      <c r="M1036" s="32"/>
      <c r="N1036" s="48"/>
    </row>
    <row r="1037">
      <c r="A1037" s="32"/>
      <c r="B1037" s="54"/>
      <c r="C1037" s="32"/>
      <c r="D1037" s="32"/>
      <c r="E1037" s="32"/>
      <c r="F1037" s="32"/>
      <c r="G1037" s="32"/>
      <c r="H1037" s="32"/>
      <c r="I1037" s="32"/>
      <c r="J1037" s="34"/>
      <c r="K1037" s="32"/>
      <c r="L1037" s="32"/>
      <c r="M1037" s="32"/>
      <c r="N1037" s="48"/>
    </row>
    <row r="1038">
      <c r="A1038" s="32"/>
      <c r="B1038" s="54"/>
      <c r="C1038" s="32"/>
      <c r="D1038" s="32"/>
      <c r="E1038" s="32"/>
      <c r="F1038" s="32"/>
      <c r="G1038" s="32"/>
      <c r="H1038" s="32"/>
      <c r="I1038" s="32"/>
      <c r="J1038" s="34"/>
      <c r="K1038" s="32"/>
      <c r="L1038" s="32"/>
      <c r="M1038" s="32"/>
      <c r="N1038" s="48"/>
    </row>
    <row r="1039">
      <c r="A1039" s="32"/>
      <c r="B1039" s="54"/>
      <c r="C1039" s="32"/>
      <c r="D1039" s="32"/>
      <c r="E1039" s="32"/>
      <c r="F1039" s="32"/>
      <c r="G1039" s="32"/>
      <c r="H1039" s="32"/>
      <c r="I1039" s="32"/>
      <c r="J1039" s="34"/>
      <c r="K1039" s="32"/>
      <c r="L1039" s="32"/>
      <c r="M1039" s="32"/>
      <c r="N1039" s="48"/>
    </row>
    <row r="1040">
      <c r="A1040" s="32"/>
      <c r="B1040" s="54"/>
      <c r="C1040" s="32"/>
      <c r="D1040" s="32"/>
      <c r="E1040" s="32"/>
      <c r="F1040" s="32"/>
      <c r="G1040" s="32"/>
      <c r="H1040" s="32"/>
      <c r="I1040" s="32"/>
      <c r="J1040" s="34"/>
      <c r="K1040" s="32"/>
      <c r="L1040" s="32"/>
      <c r="M1040" s="32"/>
      <c r="N1040" s="48"/>
    </row>
    <row r="1041">
      <c r="A1041" s="32"/>
      <c r="B1041" s="54"/>
      <c r="C1041" s="32"/>
      <c r="D1041" s="32"/>
      <c r="E1041" s="32"/>
      <c r="F1041" s="32"/>
      <c r="G1041" s="32"/>
      <c r="H1041" s="32"/>
      <c r="I1041" s="32"/>
      <c r="J1041" s="34"/>
      <c r="K1041" s="32"/>
      <c r="L1041" s="32"/>
      <c r="M1041" s="32"/>
      <c r="N1041" s="48"/>
    </row>
    <row r="1042">
      <c r="A1042" s="32"/>
      <c r="B1042" s="54"/>
      <c r="C1042" s="32"/>
      <c r="D1042" s="32"/>
      <c r="E1042" s="32"/>
      <c r="F1042" s="32"/>
      <c r="G1042" s="32"/>
      <c r="H1042" s="32"/>
      <c r="I1042" s="32"/>
      <c r="J1042" s="34"/>
      <c r="K1042" s="32"/>
      <c r="L1042" s="32"/>
      <c r="M1042" s="32"/>
      <c r="N1042" s="48"/>
    </row>
    <row r="1043">
      <c r="A1043" s="32"/>
      <c r="B1043" s="54"/>
      <c r="C1043" s="32"/>
      <c r="D1043" s="32"/>
      <c r="E1043" s="32"/>
      <c r="F1043" s="32"/>
      <c r="G1043" s="32"/>
      <c r="H1043" s="32"/>
      <c r="I1043" s="32"/>
      <c r="J1043" s="34"/>
      <c r="K1043" s="32"/>
      <c r="L1043" s="32"/>
      <c r="M1043" s="32"/>
      <c r="N1043" s="48"/>
    </row>
    <row r="1044">
      <c r="A1044" s="32"/>
      <c r="B1044" s="54"/>
      <c r="C1044" s="32"/>
      <c r="D1044" s="32"/>
      <c r="E1044" s="32"/>
      <c r="F1044" s="32"/>
      <c r="G1044" s="32"/>
      <c r="H1044" s="32"/>
      <c r="I1044" s="32"/>
      <c r="J1044" s="34"/>
      <c r="K1044" s="32"/>
      <c r="L1044" s="32"/>
      <c r="M1044" s="32"/>
      <c r="N1044" s="48"/>
    </row>
    <row r="1045">
      <c r="A1045" s="32"/>
      <c r="B1045" s="54"/>
      <c r="C1045" s="32"/>
      <c r="D1045" s="32"/>
      <c r="E1045" s="32"/>
      <c r="F1045" s="32"/>
      <c r="G1045" s="32"/>
      <c r="H1045" s="32"/>
      <c r="I1045" s="32"/>
      <c r="J1045" s="34"/>
      <c r="K1045" s="32"/>
      <c r="L1045" s="32"/>
      <c r="M1045" s="32"/>
      <c r="N1045" s="48"/>
    </row>
    <row r="1046">
      <c r="A1046" s="32"/>
      <c r="B1046" s="54"/>
      <c r="C1046" s="32"/>
      <c r="D1046" s="32"/>
      <c r="E1046" s="32"/>
      <c r="F1046" s="32"/>
      <c r="G1046" s="32"/>
      <c r="H1046" s="32"/>
      <c r="I1046" s="32"/>
      <c r="J1046" s="34"/>
      <c r="K1046" s="32"/>
      <c r="L1046" s="32"/>
      <c r="M1046" s="32"/>
      <c r="N1046" s="48"/>
    </row>
    <row r="1047">
      <c r="A1047" s="32"/>
      <c r="B1047" s="54"/>
      <c r="C1047" s="32"/>
      <c r="D1047" s="32"/>
      <c r="E1047" s="32"/>
      <c r="F1047" s="32"/>
      <c r="G1047" s="32"/>
      <c r="H1047" s="32"/>
      <c r="I1047" s="32"/>
      <c r="J1047" s="34"/>
      <c r="K1047" s="32"/>
      <c r="L1047" s="32"/>
      <c r="M1047" s="32"/>
      <c r="N1047" s="48"/>
    </row>
    <row r="1048">
      <c r="A1048" s="32"/>
      <c r="B1048" s="54"/>
      <c r="C1048" s="32"/>
      <c r="D1048" s="32"/>
      <c r="E1048" s="32"/>
      <c r="F1048" s="32"/>
      <c r="G1048" s="32"/>
      <c r="H1048" s="32"/>
      <c r="I1048" s="32"/>
      <c r="J1048" s="34"/>
      <c r="K1048" s="32"/>
      <c r="L1048" s="32"/>
      <c r="M1048" s="32"/>
      <c r="N1048" s="48"/>
    </row>
    <row r="1049">
      <c r="A1049" s="32"/>
      <c r="B1049" s="54"/>
      <c r="C1049" s="32"/>
      <c r="D1049" s="32"/>
      <c r="E1049" s="32"/>
      <c r="F1049" s="32"/>
      <c r="G1049" s="32"/>
      <c r="H1049" s="32"/>
      <c r="I1049" s="32"/>
      <c r="J1049" s="34"/>
      <c r="K1049" s="32"/>
      <c r="L1049" s="32"/>
      <c r="M1049" s="32"/>
      <c r="N1049" s="48"/>
    </row>
    <row r="1050">
      <c r="A1050" s="32"/>
      <c r="B1050" s="54"/>
      <c r="C1050" s="32"/>
      <c r="D1050" s="32"/>
      <c r="E1050" s="32"/>
      <c r="F1050" s="32"/>
      <c r="G1050" s="32"/>
      <c r="H1050" s="32"/>
      <c r="I1050" s="32"/>
      <c r="J1050" s="34"/>
      <c r="K1050" s="32"/>
      <c r="L1050" s="32"/>
      <c r="M1050" s="32"/>
      <c r="N1050" s="48"/>
    </row>
    <row r="1051">
      <c r="A1051" s="32"/>
      <c r="B1051" s="54"/>
      <c r="C1051" s="32"/>
      <c r="D1051" s="32"/>
      <c r="E1051" s="32"/>
      <c r="F1051" s="32"/>
      <c r="G1051" s="32"/>
      <c r="H1051" s="32"/>
      <c r="I1051" s="32"/>
      <c r="J1051" s="34"/>
      <c r="K1051" s="32"/>
      <c r="L1051" s="32"/>
      <c r="M1051" s="32"/>
      <c r="N1051" s="48"/>
    </row>
    <row r="1052">
      <c r="A1052" s="32"/>
      <c r="B1052" s="54"/>
      <c r="C1052" s="32"/>
      <c r="D1052" s="32"/>
      <c r="E1052" s="32"/>
      <c r="F1052" s="32"/>
      <c r="G1052" s="32"/>
      <c r="H1052" s="32"/>
      <c r="I1052" s="32"/>
      <c r="J1052" s="34"/>
      <c r="K1052" s="32"/>
      <c r="L1052" s="32"/>
      <c r="M1052" s="32"/>
      <c r="N1052" s="48"/>
    </row>
    <row r="1053">
      <c r="A1053" s="32"/>
      <c r="B1053" s="54"/>
      <c r="C1053" s="32"/>
      <c r="D1053" s="32"/>
      <c r="E1053" s="32"/>
      <c r="F1053" s="32"/>
      <c r="G1053" s="32"/>
      <c r="H1053" s="32"/>
      <c r="I1053" s="32"/>
      <c r="J1053" s="34"/>
      <c r="K1053" s="32"/>
      <c r="L1053" s="32"/>
      <c r="M1053" s="32"/>
      <c r="N1053" s="48"/>
    </row>
    <row r="1054">
      <c r="A1054" s="32"/>
      <c r="B1054" s="54"/>
      <c r="C1054" s="32"/>
      <c r="D1054" s="32"/>
      <c r="E1054" s="32"/>
      <c r="F1054" s="32"/>
      <c r="G1054" s="32"/>
      <c r="H1054" s="32"/>
      <c r="I1054" s="32"/>
      <c r="J1054" s="34"/>
      <c r="K1054" s="32"/>
      <c r="L1054" s="32"/>
      <c r="M1054" s="32"/>
      <c r="N1054" s="48"/>
    </row>
    <row r="1055">
      <c r="A1055" s="32"/>
      <c r="B1055" s="54"/>
      <c r="C1055" s="32"/>
      <c r="D1055" s="32"/>
      <c r="E1055" s="32"/>
      <c r="F1055" s="32"/>
      <c r="G1055" s="32"/>
      <c r="H1055" s="32"/>
      <c r="I1055" s="32"/>
      <c r="J1055" s="34"/>
      <c r="K1055" s="32"/>
      <c r="L1055" s="32"/>
      <c r="M1055" s="32"/>
      <c r="N1055" s="48"/>
    </row>
    <row r="1056">
      <c r="A1056" s="32"/>
      <c r="B1056" s="54"/>
      <c r="C1056" s="32"/>
      <c r="D1056" s="32"/>
      <c r="E1056" s="32"/>
      <c r="F1056" s="32"/>
      <c r="G1056" s="32"/>
      <c r="H1056" s="32"/>
      <c r="I1056" s="32"/>
      <c r="J1056" s="34"/>
      <c r="K1056" s="32"/>
      <c r="L1056" s="32"/>
      <c r="M1056" s="32"/>
      <c r="N1056" s="48"/>
    </row>
    <row r="1057">
      <c r="A1057" s="32"/>
      <c r="B1057" s="54"/>
      <c r="C1057" s="32"/>
      <c r="D1057" s="32"/>
      <c r="E1057" s="32"/>
      <c r="F1057" s="32"/>
      <c r="G1057" s="32"/>
      <c r="H1057" s="32"/>
      <c r="I1057" s="32"/>
      <c r="J1057" s="34"/>
      <c r="K1057" s="32"/>
      <c r="L1057" s="32"/>
      <c r="M1057" s="32"/>
      <c r="N1057" s="48"/>
    </row>
    <row r="1058">
      <c r="A1058" s="32"/>
      <c r="B1058" s="54"/>
      <c r="C1058" s="32"/>
      <c r="D1058" s="32"/>
      <c r="E1058" s="32"/>
      <c r="F1058" s="32"/>
      <c r="G1058" s="32"/>
      <c r="H1058" s="32"/>
      <c r="I1058" s="32"/>
      <c r="J1058" s="34"/>
      <c r="K1058" s="32"/>
      <c r="L1058" s="32"/>
      <c r="M1058" s="32"/>
      <c r="N1058" s="48"/>
    </row>
    <row r="1059">
      <c r="A1059" s="32"/>
      <c r="B1059" s="54"/>
      <c r="C1059" s="32"/>
      <c r="D1059" s="32"/>
      <c r="E1059" s="32"/>
      <c r="F1059" s="32"/>
      <c r="G1059" s="32"/>
      <c r="H1059" s="32"/>
      <c r="I1059" s="32"/>
      <c r="J1059" s="34"/>
      <c r="K1059" s="32"/>
      <c r="L1059" s="32"/>
      <c r="M1059" s="32"/>
      <c r="N1059" s="48"/>
    </row>
    <row r="1060">
      <c r="A1060" s="32"/>
      <c r="B1060" s="54"/>
      <c r="C1060" s="32"/>
      <c r="D1060" s="32"/>
      <c r="E1060" s="32"/>
      <c r="F1060" s="32"/>
      <c r="G1060" s="32"/>
      <c r="H1060" s="32"/>
      <c r="I1060" s="32"/>
      <c r="J1060" s="34"/>
      <c r="K1060" s="32"/>
      <c r="L1060" s="32"/>
      <c r="M1060" s="32"/>
      <c r="N1060" s="48"/>
    </row>
    <row r="1061">
      <c r="A1061" s="32"/>
      <c r="B1061" s="54"/>
      <c r="C1061" s="32"/>
      <c r="D1061" s="32"/>
      <c r="E1061" s="32"/>
      <c r="F1061" s="32"/>
      <c r="G1061" s="32"/>
      <c r="H1061" s="32"/>
      <c r="I1061" s="32"/>
      <c r="J1061" s="34"/>
      <c r="K1061" s="32"/>
      <c r="L1061" s="32"/>
      <c r="M1061" s="32"/>
      <c r="N1061" s="48"/>
    </row>
    <row r="1062">
      <c r="A1062" s="32"/>
      <c r="B1062" s="54"/>
      <c r="C1062" s="32"/>
      <c r="D1062" s="32"/>
      <c r="E1062" s="32"/>
      <c r="F1062" s="32"/>
      <c r="G1062" s="32"/>
      <c r="H1062" s="32"/>
      <c r="I1062" s="32"/>
      <c r="J1062" s="34"/>
      <c r="K1062" s="32"/>
      <c r="L1062" s="32"/>
      <c r="M1062" s="32"/>
      <c r="N1062" s="48"/>
    </row>
    <row r="1063">
      <c r="A1063" s="32"/>
      <c r="B1063" s="54"/>
      <c r="C1063" s="32"/>
      <c r="D1063" s="32"/>
      <c r="E1063" s="32"/>
      <c r="F1063" s="32"/>
      <c r="G1063" s="32"/>
      <c r="H1063" s="32"/>
      <c r="I1063" s="32"/>
      <c r="J1063" s="34"/>
      <c r="K1063" s="32"/>
      <c r="L1063" s="32"/>
      <c r="M1063" s="32"/>
      <c r="N1063" s="48"/>
    </row>
    <row r="1064">
      <c r="A1064" s="32"/>
      <c r="B1064" s="54"/>
      <c r="C1064" s="32"/>
      <c r="D1064" s="32"/>
      <c r="E1064" s="32"/>
      <c r="F1064" s="32"/>
      <c r="G1064" s="32"/>
      <c r="H1064" s="32"/>
      <c r="I1064" s="32"/>
      <c r="J1064" s="34"/>
      <c r="K1064" s="32"/>
      <c r="L1064" s="32"/>
      <c r="M1064" s="32"/>
      <c r="N1064" s="48"/>
    </row>
    <row r="1065">
      <c r="A1065" s="32"/>
      <c r="B1065" s="54"/>
      <c r="C1065" s="32"/>
      <c r="D1065" s="32"/>
      <c r="E1065" s="32"/>
      <c r="F1065" s="32"/>
      <c r="G1065" s="32"/>
      <c r="H1065" s="32"/>
      <c r="I1065" s="32"/>
      <c r="J1065" s="34"/>
      <c r="K1065" s="32"/>
      <c r="L1065" s="32"/>
      <c r="M1065" s="32"/>
      <c r="N1065" s="48"/>
    </row>
    <row r="1066">
      <c r="A1066" s="32"/>
      <c r="B1066" s="54"/>
      <c r="C1066" s="32"/>
      <c r="D1066" s="32"/>
      <c r="E1066" s="32"/>
      <c r="F1066" s="32"/>
      <c r="G1066" s="32"/>
      <c r="H1066" s="32"/>
      <c r="I1066" s="32"/>
      <c r="J1066" s="34"/>
      <c r="K1066" s="32"/>
      <c r="L1066" s="32"/>
      <c r="M1066" s="32"/>
      <c r="N1066" s="48"/>
    </row>
    <row r="1067">
      <c r="A1067" s="32"/>
      <c r="B1067" s="54"/>
      <c r="C1067" s="32"/>
      <c r="D1067" s="32"/>
      <c r="E1067" s="32"/>
      <c r="F1067" s="32"/>
      <c r="G1067" s="32"/>
      <c r="H1067" s="32"/>
      <c r="I1067" s="32"/>
      <c r="J1067" s="34"/>
      <c r="K1067" s="32"/>
      <c r="L1067" s="32"/>
      <c r="M1067" s="32"/>
      <c r="N1067" s="48"/>
    </row>
    <row r="1068">
      <c r="A1068" s="32"/>
      <c r="B1068" s="54"/>
      <c r="C1068" s="32"/>
      <c r="D1068" s="32"/>
      <c r="E1068" s="32"/>
      <c r="F1068" s="32"/>
      <c r="G1068" s="32"/>
      <c r="H1068" s="32"/>
      <c r="I1068" s="32"/>
      <c r="J1068" s="34"/>
      <c r="K1068" s="32"/>
      <c r="L1068" s="32"/>
      <c r="M1068" s="32"/>
      <c r="N1068" s="48"/>
    </row>
    <row r="1069">
      <c r="A1069" s="32"/>
      <c r="B1069" s="54"/>
      <c r="C1069" s="32"/>
      <c r="D1069" s="32"/>
      <c r="E1069" s="32"/>
      <c r="F1069" s="32"/>
      <c r="G1069" s="32"/>
      <c r="H1069" s="32"/>
      <c r="I1069" s="32"/>
      <c r="J1069" s="34"/>
      <c r="K1069" s="32"/>
      <c r="L1069" s="32"/>
      <c r="M1069" s="32"/>
      <c r="N1069" s="48"/>
    </row>
    <row r="1070">
      <c r="A1070" s="32"/>
      <c r="B1070" s="54"/>
      <c r="C1070" s="32"/>
      <c r="D1070" s="32"/>
      <c r="E1070" s="32"/>
      <c r="F1070" s="32"/>
      <c r="G1070" s="32"/>
      <c r="H1070" s="32"/>
      <c r="I1070" s="32"/>
      <c r="J1070" s="34"/>
      <c r="K1070" s="32"/>
      <c r="L1070" s="32"/>
      <c r="M1070" s="32"/>
      <c r="N1070" s="48"/>
    </row>
    <row r="1071">
      <c r="A1071" s="32"/>
      <c r="B1071" s="54"/>
      <c r="C1071" s="32"/>
      <c r="D1071" s="32"/>
      <c r="E1071" s="32"/>
      <c r="F1071" s="32"/>
      <c r="G1071" s="32"/>
      <c r="H1071" s="32"/>
      <c r="I1071" s="32"/>
      <c r="J1071" s="34"/>
      <c r="K1071" s="32"/>
      <c r="L1071" s="32"/>
      <c r="M1071" s="32"/>
      <c r="N1071" s="48"/>
    </row>
    <row r="1072">
      <c r="A1072" s="32"/>
      <c r="B1072" s="54"/>
      <c r="C1072" s="32"/>
      <c r="D1072" s="32"/>
      <c r="E1072" s="32"/>
      <c r="F1072" s="32"/>
      <c r="G1072" s="32"/>
      <c r="H1072" s="32"/>
      <c r="I1072" s="32"/>
      <c r="J1072" s="34"/>
      <c r="K1072" s="32"/>
      <c r="L1072" s="32"/>
      <c r="M1072" s="32"/>
      <c r="N1072" s="48"/>
    </row>
    <row r="1073">
      <c r="A1073" s="32"/>
      <c r="B1073" s="54"/>
      <c r="C1073" s="32"/>
      <c r="D1073" s="32"/>
      <c r="E1073" s="32"/>
      <c r="F1073" s="32"/>
      <c r="G1073" s="32"/>
      <c r="H1073" s="32"/>
      <c r="I1073" s="32"/>
      <c r="J1073" s="34"/>
      <c r="K1073" s="32"/>
      <c r="L1073" s="32"/>
      <c r="M1073" s="32"/>
      <c r="N1073" s="48"/>
    </row>
    <row r="1074">
      <c r="A1074" s="32"/>
      <c r="B1074" s="54"/>
      <c r="C1074" s="32"/>
      <c r="D1074" s="32"/>
      <c r="E1074" s="32"/>
      <c r="F1074" s="32"/>
      <c r="G1074" s="32"/>
      <c r="H1074" s="32"/>
      <c r="I1074" s="32"/>
      <c r="J1074" s="34"/>
      <c r="K1074" s="32"/>
      <c r="L1074" s="32"/>
      <c r="M1074" s="32"/>
      <c r="N1074" s="48"/>
    </row>
    <row r="1075">
      <c r="A1075" s="32"/>
      <c r="B1075" s="54"/>
      <c r="C1075" s="32"/>
      <c r="D1075" s="32"/>
      <c r="E1075" s="32"/>
      <c r="F1075" s="32"/>
      <c r="G1075" s="32"/>
      <c r="H1075" s="32"/>
      <c r="I1075" s="32"/>
      <c r="J1075" s="34"/>
      <c r="K1075" s="32"/>
      <c r="L1075" s="32"/>
      <c r="M1075" s="32"/>
      <c r="N1075" s="48"/>
    </row>
    <row r="1076">
      <c r="A1076" s="32"/>
      <c r="B1076" s="54"/>
      <c r="C1076" s="32"/>
      <c r="D1076" s="32"/>
      <c r="E1076" s="32"/>
      <c r="F1076" s="32"/>
      <c r="G1076" s="32"/>
      <c r="H1076" s="32"/>
      <c r="I1076" s="32"/>
      <c r="J1076" s="34"/>
      <c r="K1076" s="32"/>
      <c r="L1076" s="32"/>
      <c r="M1076" s="32"/>
      <c r="N1076" s="48"/>
    </row>
    <row r="1077">
      <c r="A1077" s="32"/>
      <c r="B1077" s="54"/>
      <c r="C1077" s="32"/>
      <c r="D1077" s="32"/>
      <c r="E1077" s="32"/>
      <c r="F1077" s="32"/>
      <c r="G1077" s="32"/>
      <c r="H1077" s="32"/>
      <c r="I1077" s="32"/>
      <c r="J1077" s="34"/>
      <c r="K1077" s="32"/>
      <c r="L1077" s="32"/>
      <c r="M1077" s="32"/>
      <c r="N1077" s="48"/>
    </row>
    <row r="1078">
      <c r="A1078" s="32"/>
      <c r="B1078" s="54"/>
      <c r="C1078" s="32"/>
      <c r="D1078" s="32"/>
      <c r="E1078" s="32"/>
      <c r="F1078" s="32"/>
      <c r="G1078" s="32"/>
      <c r="H1078" s="32"/>
      <c r="I1078" s="32"/>
      <c r="J1078" s="34"/>
      <c r="K1078" s="32"/>
      <c r="L1078" s="32"/>
      <c r="M1078" s="32"/>
      <c r="N1078" s="48"/>
    </row>
    <row r="1079">
      <c r="A1079" s="32"/>
      <c r="B1079" s="54"/>
      <c r="C1079" s="32"/>
      <c r="D1079" s="32"/>
      <c r="E1079" s="32"/>
      <c r="F1079" s="32"/>
      <c r="G1079" s="32"/>
      <c r="H1079" s="32"/>
      <c r="I1079" s="32"/>
      <c r="J1079" s="34"/>
      <c r="K1079" s="32"/>
      <c r="L1079" s="32"/>
      <c r="M1079" s="32"/>
      <c r="N1079" s="48"/>
    </row>
    <row r="1080">
      <c r="A1080" s="32"/>
      <c r="B1080" s="54"/>
      <c r="C1080" s="32"/>
      <c r="D1080" s="32"/>
      <c r="E1080" s="32"/>
      <c r="F1080" s="32"/>
      <c r="G1080" s="32"/>
      <c r="H1080" s="32"/>
      <c r="I1080" s="32"/>
      <c r="J1080" s="34"/>
      <c r="K1080" s="32"/>
      <c r="L1080" s="32"/>
      <c r="M1080" s="32"/>
      <c r="N1080" s="48"/>
    </row>
    <row r="1081">
      <c r="A1081" s="32"/>
      <c r="B1081" s="54"/>
      <c r="C1081" s="32"/>
      <c r="D1081" s="32"/>
      <c r="E1081" s="32"/>
      <c r="F1081" s="32"/>
      <c r="G1081" s="32"/>
      <c r="H1081" s="32"/>
      <c r="I1081" s="32"/>
      <c r="J1081" s="34"/>
      <c r="K1081" s="32"/>
      <c r="L1081" s="32"/>
      <c r="M1081" s="32"/>
      <c r="N1081" s="48"/>
    </row>
    <row r="1082">
      <c r="A1082" s="32"/>
      <c r="B1082" s="54"/>
      <c r="C1082" s="32"/>
      <c r="D1082" s="32"/>
      <c r="E1082" s="32"/>
      <c r="F1082" s="32"/>
      <c r="G1082" s="32"/>
      <c r="H1082" s="32"/>
      <c r="I1082" s="32"/>
      <c r="J1082" s="34"/>
      <c r="K1082" s="32"/>
      <c r="L1082" s="32"/>
      <c r="M1082" s="32"/>
      <c r="N1082" s="48"/>
    </row>
    <row r="1083">
      <c r="A1083" s="32"/>
      <c r="B1083" s="54"/>
      <c r="C1083" s="32"/>
      <c r="D1083" s="32"/>
      <c r="E1083" s="32"/>
      <c r="F1083" s="32"/>
      <c r="G1083" s="32"/>
      <c r="H1083" s="32"/>
      <c r="I1083" s="32"/>
      <c r="J1083" s="34"/>
      <c r="K1083" s="32"/>
      <c r="L1083" s="32"/>
      <c r="M1083" s="32"/>
      <c r="N1083" s="48"/>
    </row>
    <row r="1084">
      <c r="A1084" s="32"/>
      <c r="B1084" s="54"/>
      <c r="C1084" s="32"/>
      <c r="D1084" s="32"/>
      <c r="E1084" s="32"/>
      <c r="F1084" s="32"/>
      <c r="G1084" s="32"/>
      <c r="H1084" s="32"/>
      <c r="I1084" s="32"/>
      <c r="J1084" s="34"/>
      <c r="K1084" s="32"/>
      <c r="L1084" s="32"/>
      <c r="M1084" s="32"/>
      <c r="N1084" s="48"/>
    </row>
    <row r="1085">
      <c r="A1085" s="32"/>
      <c r="B1085" s="54"/>
      <c r="C1085" s="32"/>
      <c r="D1085" s="32"/>
      <c r="E1085" s="32"/>
      <c r="F1085" s="32"/>
      <c r="G1085" s="32"/>
      <c r="H1085" s="32"/>
      <c r="I1085" s="32"/>
      <c r="J1085" s="34"/>
      <c r="K1085" s="32"/>
      <c r="L1085" s="32"/>
      <c r="M1085" s="32"/>
      <c r="N1085" s="48"/>
    </row>
    <row r="1086">
      <c r="A1086" s="32"/>
      <c r="B1086" s="54"/>
      <c r="C1086" s="32"/>
      <c r="D1086" s="32"/>
      <c r="E1086" s="32"/>
      <c r="F1086" s="32"/>
      <c r="G1086" s="32"/>
      <c r="H1086" s="32"/>
      <c r="I1086" s="32"/>
      <c r="J1086" s="34"/>
      <c r="K1086" s="32"/>
      <c r="L1086" s="32"/>
      <c r="M1086" s="32"/>
      <c r="N1086" s="48"/>
    </row>
    <row r="1087">
      <c r="A1087" s="32"/>
      <c r="B1087" s="54"/>
      <c r="C1087" s="32"/>
      <c r="D1087" s="32"/>
      <c r="E1087" s="32"/>
      <c r="F1087" s="32"/>
      <c r="G1087" s="32"/>
      <c r="H1087" s="32"/>
      <c r="I1087" s="32"/>
      <c r="J1087" s="34"/>
      <c r="K1087" s="32"/>
      <c r="L1087" s="32"/>
      <c r="M1087" s="32"/>
      <c r="N1087" s="48"/>
    </row>
    <row r="1088">
      <c r="A1088" s="32"/>
      <c r="B1088" s="54"/>
      <c r="C1088" s="32"/>
      <c r="D1088" s="32"/>
      <c r="E1088" s="32"/>
      <c r="F1088" s="32"/>
      <c r="G1088" s="32"/>
      <c r="H1088" s="32"/>
      <c r="I1088" s="32"/>
      <c r="J1088" s="34"/>
      <c r="K1088" s="32"/>
      <c r="L1088" s="32"/>
      <c r="M1088" s="32"/>
      <c r="N1088" s="48"/>
    </row>
    <row r="1089">
      <c r="A1089" s="32"/>
      <c r="B1089" s="54"/>
      <c r="C1089" s="32"/>
      <c r="D1089" s="32"/>
      <c r="E1089" s="32"/>
      <c r="F1089" s="32"/>
      <c r="G1089" s="32"/>
      <c r="H1089" s="32"/>
      <c r="I1089" s="32"/>
      <c r="J1089" s="34"/>
      <c r="K1089" s="32"/>
      <c r="L1089" s="32"/>
      <c r="M1089" s="32"/>
      <c r="N1089" s="48"/>
    </row>
    <row r="1090">
      <c r="A1090" s="32"/>
      <c r="B1090" s="54"/>
      <c r="C1090" s="32"/>
      <c r="D1090" s="32"/>
      <c r="E1090" s="32"/>
      <c r="F1090" s="32"/>
      <c r="G1090" s="32"/>
      <c r="H1090" s="32"/>
      <c r="I1090" s="32"/>
      <c r="J1090" s="34"/>
      <c r="K1090" s="32"/>
      <c r="L1090" s="32"/>
      <c r="M1090" s="32"/>
      <c r="N1090" s="48"/>
    </row>
    <row r="1091">
      <c r="A1091" s="32"/>
      <c r="B1091" s="54"/>
      <c r="C1091" s="32"/>
      <c r="D1091" s="32"/>
      <c r="E1091" s="32"/>
      <c r="F1091" s="32"/>
      <c r="G1091" s="32"/>
      <c r="H1091" s="32"/>
      <c r="I1091" s="32"/>
      <c r="J1091" s="34"/>
      <c r="K1091" s="32"/>
      <c r="L1091" s="32"/>
      <c r="M1091" s="32"/>
      <c r="N1091" s="48"/>
    </row>
    <row r="1092">
      <c r="A1092" s="32"/>
      <c r="B1092" s="54"/>
      <c r="C1092" s="32"/>
      <c r="D1092" s="32"/>
      <c r="E1092" s="32"/>
      <c r="F1092" s="32"/>
      <c r="G1092" s="32"/>
      <c r="H1092" s="32"/>
      <c r="I1092" s="32"/>
      <c r="J1092" s="34"/>
      <c r="K1092" s="32"/>
      <c r="L1092" s="32"/>
      <c r="M1092" s="32"/>
      <c r="N1092" s="48"/>
    </row>
    <row r="1093">
      <c r="A1093" s="32"/>
      <c r="B1093" s="54"/>
      <c r="C1093" s="32"/>
      <c r="D1093" s="32"/>
      <c r="E1093" s="32"/>
      <c r="F1093" s="32"/>
      <c r="G1093" s="32"/>
      <c r="H1093" s="32"/>
      <c r="I1093" s="32"/>
      <c r="J1093" s="34"/>
      <c r="K1093" s="32"/>
      <c r="L1093" s="32"/>
      <c r="M1093" s="32"/>
      <c r="N1093" s="48"/>
    </row>
    <row r="1094">
      <c r="A1094" s="32"/>
      <c r="B1094" s="54"/>
      <c r="C1094" s="32"/>
      <c r="D1094" s="32"/>
      <c r="E1094" s="32"/>
      <c r="F1094" s="32"/>
      <c r="G1094" s="32"/>
      <c r="H1094" s="32"/>
      <c r="I1094" s="32"/>
      <c r="J1094" s="34"/>
      <c r="K1094" s="32"/>
      <c r="L1094" s="32"/>
      <c r="M1094" s="32"/>
      <c r="N1094" s="48"/>
    </row>
    <row r="1095">
      <c r="A1095" s="32"/>
      <c r="B1095" s="54"/>
      <c r="C1095" s="32"/>
      <c r="D1095" s="32"/>
      <c r="E1095" s="32"/>
      <c r="F1095" s="32"/>
      <c r="G1095" s="32"/>
      <c r="H1095" s="32"/>
      <c r="I1095" s="32"/>
      <c r="J1095" s="34"/>
      <c r="K1095" s="32"/>
      <c r="L1095" s="32"/>
      <c r="M1095" s="32"/>
      <c r="N1095" s="48"/>
    </row>
    <row r="1096">
      <c r="A1096" s="32"/>
      <c r="B1096" s="54"/>
      <c r="C1096" s="32"/>
      <c r="D1096" s="32"/>
      <c r="E1096" s="32"/>
      <c r="F1096" s="32"/>
      <c r="G1096" s="32"/>
      <c r="H1096" s="32"/>
      <c r="I1096" s="32"/>
      <c r="J1096" s="34"/>
      <c r="K1096" s="32"/>
      <c r="L1096" s="32"/>
      <c r="M1096" s="32"/>
      <c r="N1096" s="48"/>
    </row>
    <row r="1097">
      <c r="A1097" s="32"/>
      <c r="B1097" s="54"/>
      <c r="C1097" s="32"/>
      <c r="D1097" s="32"/>
      <c r="E1097" s="32"/>
      <c r="F1097" s="32"/>
      <c r="G1097" s="32"/>
      <c r="H1097" s="32"/>
      <c r="I1097" s="32"/>
      <c r="J1097" s="34"/>
      <c r="K1097" s="32"/>
      <c r="L1097" s="32"/>
      <c r="M1097" s="32"/>
      <c r="N1097" s="48"/>
    </row>
    <row r="1098">
      <c r="A1098" s="32"/>
      <c r="B1098" s="54"/>
      <c r="C1098" s="32"/>
      <c r="D1098" s="32"/>
      <c r="E1098" s="32"/>
      <c r="F1098" s="32"/>
      <c r="G1098" s="32"/>
      <c r="H1098" s="32"/>
      <c r="I1098" s="32"/>
      <c r="J1098" s="34"/>
      <c r="K1098" s="32"/>
      <c r="L1098" s="32"/>
      <c r="M1098" s="32"/>
      <c r="N1098" s="48"/>
    </row>
    <row r="1099">
      <c r="A1099" s="32"/>
      <c r="B1099" s="54"/>
      <c r="C1099" s="32"/>
      <c r="D1099" s="32"/>
      <c r="E1099" s="32"/>
      <c r="F1099" s="32"/>
      <c r="G1099" s="32"/>
      <c r="H1099" s="32"/>
      <c r="I1099" s="32"/>
      <c r="J1099" s="34"/>
      <c r="K1099" s="32"/>
      <c r="L1099" s="32"/>
      <c r="M1099" s="32"/>
      <c r="N1099" s="48"/>
    </row>
    <row r="1100">
      <c r="A1100" s="32"/>
      <c r="B1100" s="54"/>
      <c r="C1100" s="32"/>
      <c r="D1100" s="32"/>
      <c r="E1100" s="32"/>
      <c r="F1100" s="32"/>
      <c r="G1100" s="32"/>
      <c r="H1100" s="32"/>
      <c r="I1100" s="32"/>
      <c r="J1100" s="34"/>
      <c r="K1100" s="32"/>
      <c r="L1100" s="32"/>
      <c r="M1100" s="32"/>
      <c r="N1100" s="48"/>
    </row>
    <row r="1101">
      <c r="A1101" s="32"/>
      <c r="B1101" s="54"/>
      <c r="C1101" s="32"/>
      <c r="D1101" s="32"/>
      <c r="E1101" s="32"/>
      <c r="F1101" s="32"/>
      <c r="G1101" s="32"/>
      <c r="H1101" s="32"/>
      <c r="I1101" s="32"/>
      <c r="J1101" s="34"/>
      <c r="K1101" s="32"/>
      <c r="L1101" s="32"/>
      <c r="M1101" s="32"/>
      <c r="N1101" s="48"/>
    </row>
    <row r="1102">
      <c r="A1102" s="32"/>
      <c r="B1102" s="54"/>
      <c r="C1102" s="32"/>
      <c r="D1102" s="32"/>
      <c r="E1102" s="32"/>
      <c r="F1102" s="32"/>
      <c r="G1102" s="32"/>
      <c r="H1102" s="32"/>
      <c r="I1102" s="32"/>
      <c r="J1102" s="34"/>
      <c r="K1102" s="32"/>
      <c r="L1102" s="32"/>
      <c r="M1102" s="32"/>
      <c r="N1102" s="48"/>
    </row>
    <row r="1103">
      <c r="A1103" s="32"/>
      <c r="B1103" s="54"/>
      <c r="C1103" s="32"/>
      <c r="D1103" s="32"/>
      <c r="E1103" s="32"/>
      <c r="F1103" s="32"/>
      <c r="G1103" s="32"/>
      <c r="H1103" s="32"/>
      <c r="I1103" s="32"/>
      <c r="J1103" s="34"/>
      <c r="K1103" s="32"/>
      <c r="L1103" s="32"/>
      <c r="M1103" s="32"/>
      <c r="N1103" s="48"/>
    </row>
    <row r="1104">
      <c r="A1104" s="32"/>
      <c r="B1104" s="54"/>
      <c r="C1104" s="32"/>
      <c r="D1104" s="32"/>
      <c r="E1104" s="32"/>
      <c r="F1104" s="32"/>
      <c r="G1104" s="32"/>
      <c r="H1104" s="32"/>
      <c r="I1104" s="32"/>
      <c r="J1104" s="34"/>
      <c r="K1104" s="32"/>
      <c r="L1104" s="32"/>
      <c r="M1104" s="32"/>
      <c r="N1104" s="48"/>
    </row>
    <row r="1105">
      <c r="A1105" s="32"/>
      <c r="B1105" s="54"/>
      <c r="C1105" s="32"/>
      <c r="D1105" s="32"/>
      <c r="E1105" s="32"/>
      <c r="F1105" s="32"/>
      <c r="G1105" s="32"/>
      <c r="H1105" s="32"/>
      <c r="I1105" s="32"/>
      <c r="J1105" s="34"/>
      <c r="K1105" s="32"/>
      <c r="L1105" s="32"/>
      <c r="M1105" s="32"/>
      <c r="N1105" s="48"/>
    </row>
    <row r="1106">
      <c r="A1106" s="32"/>
      <c r="B1106" s="54"/>
      <c r="C1106" s="32"/>
      <c r="D1106" s="32"/>
      <c r="E1106" s="32"/>
      <c r="F1106" s="32"/>
      <c r="G1106" s="32"/>
      <c r="H1106" s="32"/>
      <c r="I1106" s="32"/>
      <c r="J1106" s="34"/>
      <c r="K1106" s="32"/>
      <c r="L1106" s="32"/>
      <c r="M1106" s="32"/>
      <c r="N1106" s="48"/>
    </row>
    <row r="1107">
      <c r="A1107" s="32"/>
      <c r="B1107" s="54"/>
      <c r="C1107" s="32"/>
      <c r="D1107" s="32"/>
      <c r="E1107" s="32"/>
      <c r="F1107" s="32"/>
      <c r="G1107" s="32"/>
      <c r="H1107" s="32"/>
      <c r="I1107" s="32"/>
      <c r="J1107" s="34"/>
      <c r="K1107" s="32"/>
      <c r="L1107" s="32"/>
      <c r="M1107" s="32"/>
      <c r="N1107" s="48"/>
    </row>
    <row r="1108">
      <c r="A1108" s="32"/>
      <c r="B1108" s="54"/>
      <c r="C1108" s="32"/>
      <c r="D1108" s="32"/>
      <c r="E1108" s="32"/>
      <c r="F1108" s="32"/>
      <c r="G1108" s="32"/>
      <c r="H1108" s="32"/>
      <c r="I1108" s="32"/>
      <c r="J1108" s="34"/>
      <c r="K1108" s="32"/>
      <c r="L1108" s="32"/>
      <c r="M1108" s="32"/>
      <c r="N1108" s="48"/>
    </row>
    <row r="1109">
      <c r="A1109" s="32"/>
      <c r="B1109" s="54"/>
      <c r="C1109" s="32"/>
      <c r="D1109" s="32"/>
      <c r="E1109" s="32"/>
      <c r="F1109" s="32"/>
      <c r="G1109" s="32"/>
      <c r="H1109" s="32"/>
      <c r="I1109" s="32"/>
      <c r="J1109" s="34"/>
      <c r="K1109" s="32"/>
      <c r="L1109" s="32"/>
      <c r="M1109" s="32"/>
      <c r="N1109" s="48"/>
    </row>
    <row r="1110">
      <c r="A1110" s="32"/>
      <c r="B1110" s="54"/>
      <c r="C1110" s="32"/>
      <c r="D1110" s="32"/>
      <c r="E1110" s="32"/>
      <c r="F1110" s="32"/>
      <c r="G1110" s="32"/>
      <c r="H1110" s="32"/>
      <c r="I1110" s="32"/>
      <c r="J1110" s="34"/>
      <c r="K1110" s="32"/>
      <c r="L1110" s="32"/>
      <c r="M1110" s="32"/>
      <c r="N1110" s="48"/>
    </row>
    <row r="1111">
      <c r="A1111" s="32"/>
      <c r="B1111" s="54"/>
      <c r="C1111" s="32"/>
      <c r="D1111" s="32"/>
      <c r="E1111" s="32"/>
      <c r="F1111" s="32"/>
      <c r="G1111" s="32"/>
      <c r="H1111" s="32"/>
      <c r="I1111" s="32"/>
      <c r="J1111" s="34"/>
      <c r="K1111" s="32"/>
      <c r="L1111" s="32"/>
      <c r="M1111" s="32"/>
      <c r="N1111" s="48"/>
    </row>
    <row r="1112">
      <c r="A1112" s="32"/>
      <c r="B1112" s="54"/>
      <c r="C1112" s="32"/>
      <c r="D1112" s="32"/>
      <c r="E1112" s="32"/>
      <c r="F1112" s="32"/>
      <c r="G1112" s="32"/>
      <c r="H1112" s="32"/>
      <c r="I1112" s="32"/>
      <c r="J1112" s="34"/>
      <c r="K1112" s="32"/>
      <c r="L1112" s="32"/>
      <c r="M1112" s="32"/>
      <c r="N1112" s="48"/>
    </row>
    <row r="1113">
      <c r="A1113" s="32"/>
      <c r="B1113" s="54"/>
      <c r="C1113" s="32"/>
      <c r="D1113" s="32"/>
      <c r="E1113" s="32"/>
      <c r="F1113" s="32"/>
      <c r="G1113" s="32"/>
      <c r="H1113" s="32"/>
      <c r="I1113" s="32"/>
      <c r="J1113" s="34"/>
      <c r="K1113" s="32"/>
      <c r="L1113" s="32"/>
      <c r="M1113" s="32"/>
      <c r="N1113" s="48"/>
    </row>
    <row r="1114">
      <c r="A1114" s="32"/>
      <c r="B1114" s="54"/>
      <c r="C1114" s="32"/>
      <c r="D1114" s="32"/>
      <c r="E1114" s="32"/>
      <c r="F1114" s="32"/>
      <c r="G1114" s="32"/>
      <c r="H1114" s="32"/>
      <c r="I1114" s="32"/>
      <c r="J1114" s="34"/>
      <c r="K1114" s="32"/>
      <c r="L1114" s="32"/>
      <c r="M1114" s="32"/>
      <c r="N1114" s="48"/>
    </row>
    <row r="1115">
      <c r="A1115" s="32"/>
      <c r="B1115" s="54"/>
      <c r="C1115" s="32"/>
      <c r="D1115" s="32"/>
      <c r="E1115" s="32"/>
      <c r="F1115" s="32"/>
      <c r="G1115" s="32"/>
      <c r="H1115" s="32"/>
      <c r="I1115" s="32"/>
      <c r="J1115" s="34"/>
      <c r="K1115" s="32"/>
      <c r="L1115" s="32"/>
      <c r="M1115" s="32"/>
      <c r="N1115" s="48"/>
    </row>
    <row r="1116">
      <c r="A1116" s="32"/>
      <c r="B1116" s="54"/>
      <c r="C1116" s="32"/>
      <c r="D1116" s="32"/>
      <c r="E1116" s="32"/>
      <c r="F1116" s="32"/>
      <c r="G1116" s="32"/>
      <c r="H1116" s="32"/>
      <c r="I1116" s="32"/>
      <c r="J1116" s="34"/>
      <c r="K1116" s="32"/>
      <c r="L1116" s="32"/>
      <c r="M1116" s="32"/>
      <c r="N1116" s="48"/>
    </row>
    <row r="1117">
      <c r="A1117" s="32"/>
      <c r="B1117" s="54"/>
      <c r="C1117" s="32"/>
      <c r="D1117" s="32"/>
      <c r="E1117" s="32"/>
      <c r="F1117" s="32"/>
      <c r="G1117" s="32"/>
      <c r="H1117" s="32"/>
      <c r="I1117" s="32"/>
      <c r="J1117" s="34"/>
      <c r="K1117" s="32"/>
      <c r="L1117" s="32"/>
      <c r="M1117" s="32"/>
      <c r="N1117" s="48"/>
    </row>
    <row r="1118">
      <c r="A1118" s="32"/>
      <c r="B1118" s="54"/>
      <c r="C1118" s="32"/>
      <c r="D1118" s="32"/>
      <c r="E1118" s="32"/>
      <c r="F1118" s="32"/>
      <c r="G1118" s="32"/>
      <c r="H1118" s="32"/>
      <c r="I1118" s="32"/>
      <c r="J1118" s="34"/>
      <c r="K1118" s="32"/>
      <c r="L1118" s="32"/>
      <c r="M1118" s="32"/>
      <c r="N1118" s="48"/>
    </row>
    <row r="1119">
      <c r="A1119" s="32"/>
      <c r="B1119" s="54"/>
      <c r="C1119" s="32"/>
      <c r="D1119" s="32"/>
      <c r="E1119" s="32"/>
      <c r="F1119" s="32"/>
      <c r="G1119" s="32"/>
      <c r="H1119" s="32"/>
      <c r="I1119" s="32"/>
      <c r="J1119" s="34"/>
      <c r="K1119" s="32"/>
      <c r="L1119" s="32"/>
      <c r="M1119" s="32"/>
      <c r="N1119" s="48"/>
    </row>
    <row r="1120">
      <c r="A1120" s="32"/>
      <c r="B1120" s="54"/>
      <c r="C1120" s="32"/>
      <c r="D1120" s="32"/>
      <c r="E1120" s="32"/>
      <c r="F1120" s="32"/>
      <c r="G1120" s="32"/>
      <c r="H1120" s="32"/>
      <c r="I1120" s="32"/>
      <c r="J1120" s="34"/>
      <c r="K1120" s="32"/>
      <c r="L1120" s="32"/>
      <c r="M1120" s="32"/>
      <c r="N1120" s="48"/>
    </row>
    <row r="1121">
      <c r="A1121" s="32"/>
      <c r="B1121" s="54"/>
      <c r="C1121" s="32"/>
      <c r="D1121" s="32"/>
      <c r="E1121" s="32"/>
      <c r="F1121" s="32"/>
      <c r="G1121" s="32"/>
      <c r="H1121" s="32"/>
      <c r="I1121" s="32"/>
      <c r="J1121" s="34"/>
      <c r="K1121" s="32"/>
      <c r="L1121" s="32"/>
      <c r="M1121" s="32"/>
      <c r="N1121" s="48"/>
    </row>
    <row r="1122">
      <c r="A1122" s="32"/>
      <c r="B1122" s="54"/>
      <c r="C1122" s="32"/>
      <c r="D1122" s="32"/>
      <c r="E1122" s="32"/>
      <c r="F1122" s="32"/>
      <c r="G1122" s="32"/>
      <c r="H1122" s="32"/>
      <c r="I1122" s="32"/>
      <c r="J1122" s="34"/>
      <c r="K1122" s="32"/>
      <c r="L1122" s="32"/>
      <c r="M1122" s="32"/>
      <c r="N1122" s="48"/>
    </row>
    <row r="1123">
      <c r="A1123" s="32"/>
      <c r="B1123" s="54"/>
      <c r="C1123" s="32"/>
      <c r="D1123" s="32"/>
      <c r="E1123" s="32"/>
      <c r="F1123" s="32"/>
      <c r="G1123" s="32"/>
      <c r="H1123" s="32"/>
      <c r="I1123" s="32"/>
      <c r="J1123" s="34"/>
      <c r="K1123" s="32"/>
      <c r="L1123" s="32"/>
      <c r="M1123" s="32"/>
      <c r="N1123" s="48"/>
    </row>
    <row r="1124">
      <c r="A1124" s="32"/>
      <c r="B1124" s="54"/>
      <c r="C1124" s="32"/>
      <c r="D1124" s="32"/>
      <c r="E1124" s="32"/>
      <c r="F1124" s="32"/>
      <c r="G1124" s="32"/>
      <c r="H1124" s="32"/>
      <c r="I1124" s="32"/>
      <c r="J1124" s="34"/>
      <c r="K1124" s="32"/>
      <c r="L1124" s="32"/>
      <c r="M1124" s="32"/>
      <c r="N1124" s="48"/>
    </row>
    <row r="1125">
      <c r="A1125" s="32"/>
      <c r="B1125" s="54"/>
      <c r="C1125" s="32"/>
      <c r="D1125" s="32"/>
      <c r="E1125" s="32"/>
      <c r="F1125" s="32"/>
      <c r="G1125" s="32"/>
      <c r="H1125" s="32"/>
      <c r="I1125" s="32"/>
      <c r="J1125" s="34"/>
      <c r="K1125" s="32"/>
      <c r="L1125" s="32"/>
      <c r="M1125" s="32"/>
      <c r="N1125" s="48"/>
    </row>
    <row r="1126">
      <c r="A1126" s="32"/>
      <c r="B1126" s="54"/>
      <c r="C1126" s="32"/>
      <c r="D1126" s="32"/>
      <c r="E1126" s="32"/>
      <c r="F1126" s="32"/>
      <c r="G1126" s="32"/>
      <c r="H1126" s="32"/>
      <c r="I1126" s="32"/>
      <c r="J1126" s="34"/>
      <c r="K1126" s="32"/>
      <c r="L1126" s="32"/>
      <c r="M1126" s="32"/>
      <c r="N1126" s="48"/>
    </row>
    <row r="1127">
      <c r="A1127" s="32"/>
      <c r="B1127" s="54"/>
      <c r="C1127" s="32"/>
      <c r="D1127" s="32"/>
      <c r="E1127" s="32"/>
      <c r="F1127" s="32"/>
      <c r="G1127" s="32"/>
      <c r="H1127" s="32"/>
      <c r="I1127" s="32"/>
      <c r="J1127" s="34"/>
      <c r="K1127" s="32"/>
      <c r="L1127" s="32"/>
      <c r="M1127" s="32"/>
      <c r="N1127" s="48"/>
    </row>
    <row r="1128">
      <c r="A1128" s="32"/>
      <c r="B1128" s="54"/>
      <c r="C1128" s="32"/>
      <c r="D1128" s="32"/>
      <c r="E1128" s="32"/>
      <c r="F1128" s="32"/>
      <c r="G1128" s="32"/>
      <c r="H1128" s="32"/>
      <c r="I1128" s="32"/>
      <c r="J1128" s="34"/>
      <c r="K1128" s="32"/>
      <c r="L1128" s="32"/>
      <c r="M1128" s="32"/>
      <c r="N1128" s="48"/>
    </row>
    <row r="1129">
      <c r="A1129" s="32"/>
      <c r="B1129" s="54"/>
      <c r="C1129" s="32"/>
      <c r="D1129" s="32"/>
      <c r="E1129" s="32"/>
      <c r="F1129" s="32"/>
      <c r="G1129" s="32"/>
      <c r="H1129" s="32"/>
      <c r="I1129" s="32"/>
      <c r="J1129" s="34"/>
      <c r="K1129" s="32"/>
      <c r="L1129" s="32"/>
      <c r="M1129" s="32"/>
      <c r="N1129" s="48"/>
    </row>
    <row r="1130">
      <c r="A1130" s="32"/>
      <c r="B1130" s="54"/>
      <c r="C1130" s="32"/>
      <c r="D1130" s="32"/>
      <c r="E1130" s="32"/>
      <c r="F1130" s="32"/>
      <c r="G1130" s="32"/>
      <c r="H1130" s="32"/>
      <c r="I1130" s="32"/>
      <c r="J1130" s="34"/>
      <c r="K1130" s="32"/>
      <c r="L1130" s="32"/>
      <c r="M1130" s="32"/>
      <c r="N1130" s="48"/>
    </row>
    <row r="1131">
      <c r="A1131" s="32"/>
      <c r="B1131" s="54"/>
      <c r="C1131" s="32"/>
      <c r="D1131" s="32"/>
      <c r="E1131" s="32"/>
      <c r="F1131" s="32"/>
      <c r="G1131" s="32"/>
      <c r="H1131" s="32"/>
      <c r="I1131" s="32"/>
      <c r="J1131" s="34"/>
      <c r="K1131" s="32"/>
      <c r="L1131" s="32"/>
      <c r="M1131" s="32"/>
      <c r="N1131" s="48"/>
    </row>
    <row r="1132">
      <c r="A1132" s="32"/>
      <c r="B1132" s="54"/>
      <c r="C1132" s="32"/>
      <c r="D1132" s="32"/>
      <c r="E1132" s="32"/>
      <c r="F1132" s="32"/>
      <c r="G1132" s="32"/>
      <c r="H1132" s="32"/>
      <c r="I1132" s="32"/>
      <c r="J1132" s="34"/>
      <c r="K1132" s="32"/>
      <c r="L1132" s="32"/>
      <c r="M1132" s="32"/>
      <c r="N1132" s="48"/>
    </row>
    <row r="1133">
      <c r="A1133" s="32"/>
      <c r="B1133" s="54"/>
      <c r="C1133" s="32"/>
      <c r="D1133" s="32"/>
      <c r="E1133" s="32"/>
      <c r="F1133" s="32"/>
      <c r="G1133" s="32"/>
      <c r="H1133" s="32"/>
      <c r="I1133" s="32"/>
      <c r="J1133" s="34"/>
      <c r="K1133" s="32"/>
      <c r="L1133" s="32"/>
      <c r="M1133" s="32"/>
      <c r="N1133" s="48"/>
    </row>
    <row r="1134">
      <c r="A1134" s="32"/>
      <c r="B1134" s="54"/>
      <c r="C1134" s="32"/>
      <c r="D1134" s="32"/>
      <c r="E1134" s="32"/>
      <c r="F1134" s="32"/>
      <c r="G1134" s="32"/>
      <c r="H1134" s="32"/>
      <c r="I1134" s="32"/>
      <c r="J1134" s="34"/>
      <c r="K1134" s="32"/>
      <c r="L1134" s="32"/>
      <c r="M1134" s="32"/>
      <c r="N1134" s="48"/>
    </row>
    <row r="1135">
      <c r="A1135" s="32"/>
      <c r="B1135" s="54"/>
      <c r="C1135" s="32"/>
      <c r="D1135" s="32"/>
      <c r="E1135" s="32"/>
      <c r="F1135" s="32"/>
      <c r="G1135" s="32"/>
      <c r="H1135" s="32"/>
      <c r="I1135" s="32"/>
      <c r="J1135" s="34"/>
      <c r="K1135" s="32"/>
      <c r="L1135" s="32"/>
      <c r="M1135" s="32"/>
      <c r="N1135" s="48"/>
    </row>
    <row r="1136">
      <c r="A1136" s="32"/>
      <c r="B1136" s="54"/>
      <c r="C1136" s="32"/>
      <c r="D1136" s="32"/>
      <c r="E1136" s="32"/>
      <c r="F1136" s="32"/>
      <c r="G1136" s="32"/>
      <c r="H1136" s="32"/>
      <c r="I1136" s="32"/>
      <c r="J1136" s="34"/>
      <c r="K1136" s="32"/>
      <c r="L1136" s="32"/>
      <c r="M1136" s="32"/>
      <c r="N1136" s="48"/>
    </row>
    <row r="1137">
      <c r="A1137" s="32"/>
      <c r="B1137" s="54"/>
      <c r="C1137" s="32"/>
      <c r="D1137" s="32"/>
      <c r="E1137" s="32"/>
      <c r="F1137" s="32"/>
      <c r="G1137" s="32"/>
      <c r="H1137" s="32"/>
      <c r="I1137" s="32"/>
      <c r="J1137" s="34"/>
      <c r="K1137" s="32"/>
      <c r="L1137" s="32"/>
      <c r="M1137" s="32"/>
      <c r="N1137" s="48"/>
    </row>
    <row r="1138">
      <c r="A1138" s="32"/>
      <c r="B1138" s="54"/>
      <c r="C1138" s="32"/>
      <c r="D1138" s="32"/>
      <c r="E1138" s="32"/>
      <c r="F1138" s="32"/>
      <c r="G1138" s="32"/>
      <c r="H1138" s="32"/>
      <c r="I1138" s="32"/>
      <c r="J1138" s="34"/>
      <c r="K1138" s="32"/>
      <c r="L1138" s="32"/>
      <c r="M1138" s="32"/>
      <c r="N1138" s="48"/>
    </row>
    <row r="1139">
      <c r="A1139" s="32"/>
      <c r="B1139" s="54"/>
      <c r="C1139" s="32"/>
      <c r="D1139" s="32"/>
      <c r="E1139" s="32"/>
      <c r="F1139" s="32"/>
      <c r="G1139" s="32"/>
      <c r="H1139" s="32"/>
      <c r="I1139" s="32"/>
      <c r="J1139" s="34"/>
      <c r="K1139" s="32"/>
      <c r="L1139" s="32"/>
      <c r="M1139" s="32"/>
      <c r="N1139" s="48"/>
    </row>
    <row r="1140">
      <c r="A1140" s="32"/>
      <c r="B1140" s="54"/>
      <c r="C1140" s="32"/>
      <c r="D1140" s="32"/>
      <c r="E1140" s="32"/>
      <c r="F1140" s="32"/>
      <c r="G1140" s="32"/>
      <c r="H1140" s="32"/>
      <c r="I1140" s="32"/>
      <c r="J1140" s="34"/>
      <c r="K1140" s="32"/>
      <c r="L1140" s="32"/>
      <c r="M1140" s="32"/>
      <c r="N1140" s="48"/>
    </row>
    <row r="1141">
      <c r="A1141" s="32"/>
      <c r="B1141" s="54"/>
      <c r="C1141" s="32"/>
      <c r="D1141" s="32"/>
      <c r="E1141" s="32"/>
      <c r="F1141" s="32"/>
      <c r="G1141" s="32"/>
      <c r="H1141" s="32"/>
      <c r="I1141" s="32"/>
      <c r="J1141" s="34"/>
      <c r="K1141" s="32"/>
      <c r="L1141" s="32"/>
      <c r="M1141" s="32"/>
      <c r="N1141" s="48"/>
    </row>
    <row r="1142">
      <c r="A1142" s="32"/>
      <c r="B1142" s="54"/>
      <c r="C1142" s="32"/>
      <c r="D1142" s="32"/>
      <c r="E1142" s="32"/>
      <c r="F1142" s="32"/>
      <c r="G1142" s="32"/>
      <c r="H1142" s="32"/>
      <c r="I1142" s="32"/>
      <c r="J1142" s="34"/>
      <c r="K1142" s="32"/>
      <c r="L1142" s="32"/>
      <c r="M1142" s="32"/>
      <c r="N1142" s="48"/>
    </row>
    <row r="1143">
      <c r="A1143" s="32"/>
      <c r="B1143" s="54"/>
      <c r="C1143" s="32"/>
      <c r="D1143" s="32"/>
      <c r="E1143" s="32"/>
      <c r="F1143" s="32"/>
      <c r="G1143" s="32"/>
      <c r="H1143" s="32"/>
      <c r="I1143" s="32"/>
      <c r="J1143" s="34"/>
      <c r="K1143" s="32"/>
      <c r="L1143" s="32"/>
      <c r="M1143" s="32"/>
      <c r="N1143" s="48"/>
    </row>
    <row r="1144">
      <c r="A1144" s="32"/>
      <c r="B1144" s="54"/>
      <c r="C1144" s="32"/>
      <c r="D1144" s="32"/>
      <c r="E1144" s="32"/>
      <c r="F1144" s="32"/>
      <c r="G1144" s="32"/>
      <c r="H1144" s="32"/>
      <c r="I1144" s="32"/>
      <c r="J1144" s="34"/>
      <c r="K1144" s="32"/>
      <c r="L1144" s="32"/>
      <c r="M1144" s="32"/>
      <c r="N1144" s="48"/>
    </row>
    <row r="1145">
      <c r="A1145" s="32"/>
      <c r="B1145" s="54"/>
      <c r="C1145" s="32"/>
      <c r="D1145" s="32"/>
      <c r="E1145" s="32"/>
      <c r="F1145" s="32"/>
      <c r="G1145" s="32"/>
      <c r="H1145" s="32"/>
      <c r="I1145" s="32"/>
      <c r="J1145" s="34"/>
      <c r="K1145" s="32"/>
      <c r="L1145" s="32"/>
      <c r="M1145" s="32"/>
      <c r="N1145" s="48"/>
    </row>
    <row r="1146">
      <c r="A1146" s="32"/>
      <c r="B1146" s="54"/>
      <c r="C1146" s="32"/>
      <c r="D1146" s="32"/>
      <c r="E1146" s="32"/>
      <c r="F1146" s="32"/>
      <c r="G1146" s="32"/>
      <c r="H1146" s="32"/>
      <c r="I1146" s="32"/>
      <c r="J1146" s="34"/>
      <c r="K1146" s="32"/>
      <c r="L1146" s="32"/>
      <c r="M1146" s="32"/>
      <c r="N1146" s="48"/>
    </row>
    <row r="1147">
      <c r="A1147" s="32"/>
      <c r="B1147" s="54"/>
      <c r="C1147" s="32"/>
      <c r="D1147" s="32"/>
      <c r="E1147" s="32"/>
      <c r="F1147" s="32"/>
      <c r="G1147" s="32"/>
      <c r="H1147" s="32"/>
      <c r="I1147" s="32"/>
      <c r="J1147" s="34"/>
      <c r="K1147" s="32"/>
      <c r="L1147" s="32"/>
      <c r="M1147" s="32"/>
      <c r="N1147" s="48"/>
    </row>
    <row r="1148">
      <c r="A1148" s="32"/>
      <c r="B1148" s="54"/>
      <c r="C1148" s="32"/>
      <c r="D1148" s="32"/>
      <c r="E1148" s="32"/>
      <c r="F1148" s="32"/>
      <c r="G1148" s="32"/>
      <c r="H1148" s="32"/>
      <c r="I1148" s="32"/>
      <c r="J1148" s="34"/>
      <c r="K1148" s="32"/>
      <c r="L1148" s="32"/>
      <c r="M1148" s="32"/>
      <c r="N1148" s="48"/>
    </row>
    <row r="1149">
      <c r="A1149" s="32"/>
      <c r="B1149" s="54"/>
      <c r="C1149" s="32"/>
      <c r="D1149" s="32"/>
      <c r="E1149" s="32"/>
      <c r="F1149" s="32"/>
      <c r="G1149" s="32"/>
      <c r="H1149" s="32"/>
      <c r="I1149" s="32"/>
      <c r="J1149" s="34"/>
      <c r="K1149" s="32"/>
      <c r="L1149" s="32"/>
      <c r="M1149" s="32"/>
      <c r="N1149" s="48"/>
    </row>
    <row r="1150">
      <c r="A1150" s="32"/>
      <c r="B1150" s="54"/>
      <c r="C1150" s="32"/>
      <c r="D1150" s="32"/>
      <c r="E1150" s="32"/>
      <c r="F1150" s="32"/>
      <c r="G1150" s="32"/>
      <c r="H1150" s="32"/>
      <c r="I1150" s="32"/>
      <c r="J1150" s="34"/>
      <c r="K1150" s="32"/>
      <c r="L1150" s="32"/>
      <c r="M1150" s="32"/>
      <c r="N1150" s="48"/>
    </row>
    <row r="1151">
      <c r="A1151" s="32"/>
      <c r="B1151" s="54"/>
      <c r="C1151" s="32"/>
      <c r="D1151" s="32"/>
      <c r="E1151" s="32"/>
      <c r="F1151" s="32"/>
      <c r="G1151" s="32"/>
      <c r="H1151" s="32"/>
      <c r="I1151" s="32"/>
      <c r="J1151" s="34"/>
      <c r="K1151" s="32"/>
      <c r="L1151" s="32"/>
      <c r="M1151" s="32"/>
      <c r="N1151" s="48"/>
    </row>
    <row r="1152">
      <c r="A1152" s="32"/>
      <c r="B1152" s="54"/>
      <c r="C1152" s="32"/>
      <c r="D1152" s="32"/>
      <c r="E1152" s="32"/>
      <c r="F1152" s="32"/>
      <c r="G1152" s="32"/>
      <c r="H1152" s="32"/>
      <c r="I1152" s="32"/>
      <c r="J1152" s="34"/>
      <c r="K1152" s="32"/>
      <c r="L1152" s="32"/>
      <c r="M1152" s="32"/>
      <c r="N1152" s="48"/>
    </row>
    <row r="1153">
      <c r="A1153" s="32"/>
      <c r="B1153" s="54"/>
      <c r="C1153" s="32"/>
      <c r="D1153" s="32"/>
      <c r="E1153" s="32"/>
      <c r="F1153" s="32"/>
      <c r="G1153" s="32"/>
      <c r="H1153" s="32"/>
      <c r="I1153" s="32"/>
      <c r="J1153" s="34"/>
      <c r="K1153" s="32"/>
      <c r="L1153" s="32"/>
      <c r="M1153" s="32"/>
      <c r="N1153" s="48"/>
    </row>
    <row r="1154">
      <c r="A1154" s="32"/>
      <c r="B1154" s="54"/>
      <c r="C1154" s="32"/>
      <c r="D1154" s="32"/>
      <c r="E1154" s="32"/>
      <c r="F1154" s="32"/>
      <c r="G1154" s="32"/>
      <c r="H1154" s="32"/>
      <c r="I1154" s="32"/>
      <c r="J1154" s="34"/>
      <c r="K1154" s="32"/>
      <c r="L1154" s="32"/>
      <c r="M1154" s="32"/>
      <c r="N1154" s="48"/>
    </row>
    <row r="1155">
      <c r="A1155" s="32"/>
      <c r="B1155" s="54"/>
      <c r="C1155" s="32"/>
      <c r="D1155" s="32"/>
      <c r="E1155" s="32"/>
      <c r="F1155" s="32"/>
      <c r="G1155" s="32"/>
      <c r="H1155" s="32"/>
      <c r="I1155" s="32"/>
      <c r="J1155" s="34"/>
      <c r="K1155" s="32"/>
      <c r="L1155" s="32"/>
      <c r="M1155" s="32"/>
      <c r="N1155" s="48"/>
    </row>
    <row r="1156">
      <c r="A1156" s="32"/>
      <c r="B1156" s="54"/>
      <c r="C1156" s="32"/>
      <c r="D1156" s="32"/>
      <c r="E1156" s="32"/>
      <c r="F1156" s="32"/>
      <c r="G1156" s="32"/>
      <c r="H1156" s="32"/>
      <c r="I1156" s="32"/>
      <c r="J1156" s="34"/>
      <c r="K1156" s="32"/>
      <c r="L1156" s="32"/>
      <c r="M1156" s="32"/>
      <c r="N1156" s="48"/>
    </row>
    <row r="1157">
      <c r="A1157" s="32"/>
      <c r="B1157" s="54"/>
      <c r="C1157" s="32"/>
      <c r="D1157" s="32"/>
      <c r="E1157" s="32"/>
      <c r="F1157" s="32"/>
      <c r="G1157" s="32"/>
      <c r="H1157" s="32"/>
      <c r="I1157" s="32"/>
      <c r="J1157" s="34"/>
      <c r="K1157" s="32"/>
      <c r="L1157" s="32"/>
      <c r="M1157" s="32"/>
      <c r="N1157" s="48"/>
    </row>
    <row r="1158">
      <c r="A1158" s="32"/>
      <c r="B1158" s="54"/>
      <c r="C1158" s="32"/>
      <c r="D1158" s="32"/>
      <c r="E1158" s="32"/>
      <c r="F1158" s="32"/>
      <c r="G1158" s="32"/>
      <c r="H1158" s="32"/>
      <c r="I1158" s="32"/>
      <c r="J1158" s="34"/>
      <c r="K1158" s="32"/>
      <c r="L1158" s="32"/>
      <c r="M1158" s="32"/>
      <c r="N1158" s="48"/>
    </row>
    <row r="1159">
      <c r="A1159" s="32"/>
      <c r="B1159" s="54"/>
      <c r="C1159" s="32"/>
      <c r="D1159" s="32"/>
      <c r="E1159" s="32"/>
      <c r="F1159" s="32"/>
      <c r="G1159" s="32"/>
      <c r="H1159" s="32"/>
      <c r="I1159" s="32"/>
      <c r="J1159" s="34"/>
      <c r="K1159" s="32"/>
      <c r="L1159" s="32"/>
      <c r="M1159" s="32"/>
      <c r="N1159" s="48"/>
    </row>
    <row r="1160">
      <c r="A1160" s="32"/>
      <c r="B1160" s="54"/>
      <c r="C1160" s="32"/>
      <c r="D1160" s="32"/>
      <c r="E1160" s="32"/>
      <c r="F1160" s="32"/>
      <c r="G1160" s="32"/>
      <c r="H1160" s="32"/>
      <c r="I1160" s="32"/>
      <c r="J1160" s="34"/>
      <c r="K1160" s="32"/>
      <c r="L1160" s="32"/>
      <c r="M1160" s="32"/>
      <c r="N1160" s="48"/>
    </row>
    <row r="1161">
      <c r="A1161" s="32"/>
      <c r="B1161" s="54"/>
      <c r="C1161" s="32"/>
      <c r="D1161" s="32"/>
      <c r="E1161" s="32"/>
      <c r="F1161" s="32"/>
      <c r="G1161" s="32"/>
      <c r="H1161" s="32"/>
      <c r="I1161" s="32"/>
      <c r="J1161" s="34"/>
      <c r="K1161" s="32"/>
      <c r="L1161" s="32"/>
      <c r="M1161" s="32"/>
      <c r="N1161" s="48"/>
    </row>
    <row r="1162">
      <c r="A1162" s="32"/>
      <c r="B1162" s="54"/>
      <c r="C1162" s="32"/>
      <c r="D1162" s="32"/>
      <c r="E1162" s="32"/>
      <c r="F1162" s="32"/>
      <c r="G1162" s="32"/>
      <c r="H1162" s="32"/>
      <c r="I1162" s="32"/>
      <c r="J1162" s="34"/>
      <c r="K1162" s="32"/>
      <c r="L1162" s="32"/>
      <c r="M1162" s="32"/>
      <c r="N1162" s="48"/>
    </row>
    <row r="1163">
      <c r="A1163" s="32"/>
      <c r="B1163" s="54"/>
      <c r="C1163" s="32"/>
      <c r="D1163" s="32"/>
      <c r="E1163" s="32"/>
      <c r="F1163" s="32"/>
      <c r="G1163" s="32"/>
      <c r="H1163" s="32"/>
      <c r="I1163" s="32"/>
      <c r="J1163" s="34"/>
      <c r="K1163" s="32"/>
      <c r="L1163" s="32"/>
      <c r="M1163" s="32"/>
      <c r="N1163" s="48"/>
    </row>
    <row r="1164">
      <c r="A1164" s="32"/>
      <c r="B1164" s="54"/>
      <c r="C1164" s="32"/>
      <c r="D1164" s="32"/>
      <c r="E1164" s="32"/>
      <c r="F1164" s="32"/>
      <c r="G1164" s="32"/>
      <c r="H1164" s="32"/>
      <c r="I1164" s="32"/>
      <c r="J1164" s="34"/>
      <c r="K1164" s="32"/>
      <c r="L1164" s="32"/>
      <c r="M1164" s="32"/>
      <c r="N1164" s="48"/>
    </row>
    <row r="1165">
      <c r="A1165" s="32"/>
      <c r="B1165" s="54"/>
      <c r="C1165" s="32"/>
      <c r="D1165" s="32"/>
      <c r="E1165" s="32"/>
      <c r="F1165" s="32"/>
      <c r="G1165" s="32"/>
      <c r="H1165" s="32"/>
      <c r="I1165" s="32"/>
      <c r="J1165" s="34"/>
      <c r="K1165" s="32"/>
      <c r="L1165" s="32"/>
      <c r="M1165" s="32"/>
      <c r="N1165" s="48"/>
    </row>
    <row r="1166">
      <c r="A1166" s="32"/>
      <c r="B1166" s="54"/>
      <c r="C1166" s="32"/>
      <c r="D1166" s="32"/>
      <c r="E1166" s="32"/>
      <c r="F1166" s="32"/>
      <c r="G1166" s="32"/>
      <c r="H1166" s="32"/>
      <c r="I1166" s="32"/>
      <c r="J1166" s="34"/>
      <c r="K1166" s="32"/>
      <c r="L1166" s="32"/>
      <c r="M1166" s="32"/>
      <c r="N1166" s="48"/>
    </row>
    <row r="1167">
      <c r="A1167" s="32"/>
      <c r="B1167" s="54"/>
      <c r="C1167" s="32"/>
      <c r="D1167" s="32"/>
      <c r="E1167" s="32"/>
      <c r="F1167" s="32"/>
      <c r="G1167" s="32"/>
      <c r="H1167" s="32"/>
      <c r="I1167" s="32"/>
      <c r="J1167" s="34"/>
      <c r="K1167" s="32"/>
      <c r="L1167" s="32"/>
      <c r="M1167" s="32"/>
      <c r="N1167" s="48"/>
    </row>
    <row r="1168">
      <c r="A1168" s="32"/>
      <c r="B1168" s="54"/>
      <c r="C1168" s="32"/>
      <c r="D1168" s="32"/>
      <c r="E1168" s="32"/>
      <c r="F1168" s="32"/>
      <c r="G1168" s="32"/>
      <c r="H1168" s="32"/>
      <c r="I1168" s="32"/>
      <c r="J1168" s="34"/>
      <c r="K1168" s="32"/>
      <c r="L1168" s="32"/>
      <c r="M1168" s="32"/>
      <c r="N1168" s="48"/>
    </row>
    <row r="1169">
      <c r="A1169" s="32"/>
      <c r="B1169" s="54"/>
      <c r="C1169" s="32"/>
      <c r="D1169" s="32"/>
      <c r="E1169" s="32"/>
      <c r="F1169" s="32"/>
      <c r="G1169" s="32"/>
      <c r="H1169" s="32"/>
      <c r="I1169" s="32"/>
      <c r="J1169" s="34"/>
      <c r="K1169" s="32"/>
      <c r="L1169" s="32"/>
      <c r="M1169" s="32"/>
      <c r="N1169" s="48"/>
    </row>
    <row r="1170">
      <c r="A1170" s="32"/>
      <c r="B1170" s="54"/>
      <c r="C1170" s="32"/>
      <c r="D1170" s="32"/>
      <c r="E1170" s="32"/>
      <c r="F1170" s="32"/>
      <c r="G1170" s="32"/>
      <c r="H1170" s="32"/>
      <c r="I1170" s="32"/>
      <c r="J1170" s="34"/>
      <c r="K1170" s="32"/>
      <c r="L1170" s="32"/>
      <c r="M1170" s="32"/>
      <c r="N1170" s="48"/>
    </row>
    <row r="1171">
      <c r="A1171" s="32"/>
      <c r="B1171" s="54"/>
      <c r="C1171" s="32"/>
      <c r="D1171" s="32"/>
      <c r="E1171" s="32"/>
      <c r="F1171" s="32"/>
      <c r="G1171" s="32"/>
      <c r="H1171" s="32"/>
      <c r="I1171" s="32"/>
      <c r="J1171" s="34"/>
      <c r="K1171" s="32"/>
      <c r="L1171" s="32"/>
      <c r="M1171" s="32"/>
      <c r="N1171" s="48"/>
    </row>
    <row r="1172">
      <c r="A1172" s="32"/>
      <c r="B1172" s="54"/>
      <c r="C1172" s="32"/>
      <c r="D1172" s="32"/>
      <c r="E1172" s="32"/>
      <c r="F1172" s="32"/>
      <c r="G1172" s="32"/>
      <c r="H1172" s="32"/>
      <c r="I1172" s="32"/>
      <c r="J1172" s="34"/>
      <c r="K1172" s="32"/>
      <c r="L1172" s="32"/>
      <c r="M1172" s="32"/>
      <c r="N1172" s="48"/>
    </row>
    <row r="1173">
      <c r="A1173" s="32"/>
      <c r="B1173" s="54"/>
      <c r="C1173" s="32"/>
      <c r="D1173" s="32"/>
      <c r="E1173" s="32"/>
      <c r="F1173" s="32"/>
      <c r="G1173" s="32"/>
      <c r="H1173" s="32"/>
      <c r="I1173" s="32"/>
      <c r="J1173" s="34"/>
      <c r="K1173" s="32"/>
      <c r="L1173" s="32"/>
      <c r="M1173" s="32"/>
      <c r="N1173" s="48"/>
    </row>
  </sheetData>
  <autoFilter ref="$A$1:$N$1"/>
  <conditionalFormatting sqref="E85">
    <cfRule type="notContainsBlanks" dxfId="0" priority="1">
      <formula>LEN(TRIM(E85))&gt;0</formula>
    </cfRule>
  </conditionalFormatting>
  <conditionalFormatting sqref="F1:F165 H97 G166:I169 F170:F222 M211:N222 F226:F1173">
    <cfRule type="notContainsBlanks" dxfId="0" priority="2">
      <formula>LEN(TRIM(F1))&gt;0</formula>
    </cfRule>
  </conditionalFormatting>
  <conditionalFormatting sqref="B211:B221">
    <cfRule type="notContainsBlanks" dxfId="0" priority="3">
      <formula>LEN(TRIM(B211))&gt;0</formula>
    </cfRule>
  </conditionalFormatting>
  <conditionalFormatting sqref="F1">
    <cfRule type="notContainsBlanks" dxfId="1" priority="4">
      <formula>LEN(TRIM(F1))&gt;0</formula>
    </cfRule>
  </conditionalFormatting>
  <dataValidations>
    <dataValidation type="list" allowBlank="1" sqref="C1:C1173">
      <formula1>Dropdown!$A$1:$A$3</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5"/>
    <col customWidth="1" min="4" max="4" width="25.13"/>
    <col customWidth="1" min="6" max="6" width="3.5"/>
    <col customWidth="1" min="7" max="7" width="22.63"/>
    <col customWidth="1" min="9" max="9" width="3.38"/>
    <col customWidth="1" min="10" max="10" width="25.13"/>
  </cols>
  <sheetData>
    <row r="1">
      <c r="A1" s="72" t="s">
        <v>1375</v>
      </c>
      <c r="B1" s="73" t="s">
        <v>823</v>
      </c>
      <c r="C1" s="74"/>
      <c r="D1" s="72" t="s">
        <v>1376</v>
      </c>
      <c r="E1" s="73" t="s">
        <v>823</v>
      </c>
      <c r="F1" s="74"/>
      <c r="G1" s="72" t="s">
        <v>1377</v>
      </c>
      <c r="H1" s="73" t="s">
        <v>823</v>
      </c>
      <c r="I1" s="74"/>
      <c r="J1" s="73" t="s">
        <v>1378</v>
      </c>
      <c r="K1" s="72" t="s">
        <v>823</v>
      </c>
      <c r="L1" s="75"/>
      <c r="M1" s="75"/>
      <c r="N1" s="75"/>
      <c r="O1" s="75"/>
      <c r="P1" s="75"/>
      <c r="Q1" s="75"/>
      <c r="R1" s="75"/>
      <c r="S1" s="75"/>
      <c r="T1" s="75"/>
      <c r="U1" s="75"/>
      <c r="V1" s="75"/>
      <c r="W1" s="75"/>
      <c r="X1" s="75"/>
      <c r="Y1" s="75"/>
      <c r="Z1" s="75"/>
    </row>
    <row r="2">
      <c r="A2" s="76" t="s">
        <v>176</v>
      </c>
      <c r="B2" s="38">
        <v>6.0</v>
      </c>
      <c r="C2" s="77"/>
      <c r="D2" s="76" t="s">
        <v>1379</v>
      </c>
      <c r="E2" s="38">
        <v>22.0</v>
      </c>
      <c r="F2" s="77"/>
      <c r="G2" s="78" t="s">
        <v>1263</v>
      </c>
      <c r="H2" s="38">
        <v>13.0</v>
      </c>
      <c r="I2" s="77"/>
      <c r="J2" s="55" t="s">
        <v>1320</v>
      </c>
      <c r="K2" s="76">
        <v>2.0</v>
      </c>
    </row>
    <row r="3">
      <c r="A3" s="76" t="s">
        <v>1106</v>
      </c>
      <c r="B3" s="38">
        <v>5.0</v>
      </c>
      <c r="C3" s="77"/>
      <c r="D3" s="76" t="s">
        <v>1380</v>
      </c>
      <c r="E3" s="38">
        <v>5.0</v>
      </c>
      <c r="F3" s="77"/>
      <c r="G3" s="78" t="s">
        <v>1381</v>
      </c>
      <c r="H3" s="38">
        <v>1.0</v>
      </c>
      <c r="I3" s="77"/>
      <c r="J3" s="55" t="s">
        <v>1382</v>
      </c>
      <c r="K3" s="76">
        <v>27.0</v>
      </c>
    </row>
    <row r="4">
      <c r="A4" s="76" t="s">
        <v>1383</v>
      </c>
      <c r="B4" s="38">
        <v>1.0</v>
      </c>
      <c r="C4" s="77"/>
      <c r="D4" s="76" t="s">
        <v>1384</v>
      </c>
      <c r="E4" s="38">
        <v>7.0</v>
      </c>
      <c r="F4" s="77"/>
      <c r="G4" s="78" t="s">
        <v>1385</v>
      </c>
      <c r="H4" s="38">
        <v>2.0</v>
      </c>
      <c r="I4" s="77"/>
      <c r="J4" s="55" t="s">
        <v>1386</v>
      </c>
      <c r="K4" s="76">
        <v>10.0</v>
      </c>
    </row>
    <row r="5">
      <c r="A5" s="76" t="s">
        <v>1387</v>
      </c>
      <c r="B5" s="38">
        <v>1.0</v>
      </c>
      <c r="C5" s="77"/>
      <c r="D5" s="76" t="s">
        <v>143</v>
      </c>
      <c r="E5" s="38">
        <v>5.0</v>
      </c>
      <c r="F5" s="77"/>
      <c r="G5" s="78" t="s">
        <v>1388</v>
      </c>
      <c r="H5" s="38">
        <v>1.0</v>
      </c>
      <c r="I5" s="77"/>
      <c r="J5" s="38" t="s">
        <v>1389</v>
      </c>
      <c r="K5" s="76">
        <v>47.0</v>
      </c>
    </row>
    <row r="6">
      <c r="A6" s="76" t="s">
        <v>1390</v>
      </c>
      <c r="B6" s="38">
        <v>1.0</v>
      </c>
      <c r="C6" s="77"/>
      <c r="D6" s="76" t="s">
        <v>1391</v>
      </c>
      <c r="E6" s="38">
        <v>7.0</v>
      </c>
      <c r="F6" s="77"/>
      <c r="G6" s="76" t="s">
        <v>1392</v>
      </c>
      <c r="H6" s="38">
        <v>2.0</v>
      </c>
      <c r="I6" s="77"/>
      <c r="J6" s="38" t="s">
        <v>1393</v>
      </c>
      <c r="K6" s="76">
        <v>47.0</v>
      </c>
    </row>
    <row r="7">
      <c r="A7" s="79"/>
      <c r="C7" s="77"/>
      <c r="D7" s="76" t="s">
        <v>1394</v>
      </c>
      <c r="E7" s="38">
        <v>8.0</v>
      </c>
      <c r="F7" s="77"/>
      <c r="G7" s="78" t="s">
        <v>1395</v>
      </c>
      <c r="H7" s="38">
        <v>1.0</v>
      </c>
      <c r="I7" s="77"/>
      <c r="J7" s="38" t="s">
        <v>1396</v>
      </c>
      <c r="K7" s="76">
        <v>1.0</v>
      </c>
    </row>
    <row r="8">
      <c r="A8" s="79"/>
      <c r="C8" s="77"/>
      <c r="D8" s="76" t="s">
        <v>1397</v>
      </c>
      <c r="E8" s="38">
        <v>5.0</v>
      </c>
      <c r="F8" s="77"/>
      <c r="G8" s="78" t="s">
        <v>1398</v>
      </c>
      <c r="H8" s="38">
        <v>3.0</v>
      </c>
      <c r="I8" s="77"/>
      <c r="J8" s="38" t="s">
        <v>1399</v>
      </c>
      <c r="K8" s="76">
        <v>1.0</v>
      </c>
    </row>
    <row r="9">
      <c r="A9" s="79"/>
      <c r="C9" s="77"/>
      <c r="D9" s="76" t="s">
        <v>1182</v>
      </c>
      <c r="E9" s="38">
        <v>1.0</v>
      </c>
      <c r="F9" s="77"/>
      <c r="G9" s="78" t="s">
        <v>1400</v>
      </c>
      <c r="H9" s="38">
        <v>2.0</v>
      </c>
      <c r="I9" s="77"/>
      <c r="K9" s="79"/>
    </row>
    <row r="10">
      <c r="A10" s="79"/>
      <c r="C10" s="77"/>
      <c r="D10" s="76" t="s">
        <v>1401</v>
      </c>
      <c r="E10" s="38">
        <v>1.0</v>
      </c>
      <c r="F10" s="77"/>
      <c r="G10" s="78" t="s">
        <v>1402</v>
      </c>
      <c r="H10" s="38">
        <v>3.0</v>
      </c>
      <c r="I10" s="77"/>
      <c r="K10" s="79"/>
    </row>
    <row r="11">
      <c r="A11" s="79"/>
      <c r="C11" s="77"/>
      <c r="D11" s="76" t="s">
        <v>1403</v>
      </c>
      <c r="E11" s="38">
        <v>10.0</v>
      </c>
      <c r="F11" s="77"/>
      <c r="G11" s="78" t="s">
        <v>1152</v>
      </c>
      <c r="H11" s="38">
        <v>1.0</v>
      </c>
      <c r="I11" s="77"/>
      <c r="K11" s="79"/>
    </row>
    <row r="12">
      <c r="A12" s="79"/>
      <c r="C12" s="77"/>
      <c r="D12" s="76" t="s">
        <v>1404</v>
      </c>
      <c r="E12" s="38">
        <v>3.0</v>
      </c>
      <c r="F12" s="77"/>
      <c r="G12" s="78" t="s">
        <v>1405</v>
      </c>
      <c r="H12" s="38">
        <v>1.0</v>
      </c>
      <c r="I12" s="77"/>
      <c r="K12" s="79"/>
    </row>
    <row r="13">
      <c r="A13" s="79"/>
      <c r="C13" s="77"/>
      <c r="D13" s="76" t="s">
        <v>1406</v>
      </c>
      <c r="E13" s="38">
        <v>1.0</v>
      </c>
      <c r="F13" s="77"/>
      <c r="G13" s="78" t="s">
        <v>1407</v>
      </c>
      <c r="H13" s="38">
        <v>1.0</v>
      </c>
      <c r="I13" s="77"/>
      <c r="K13" s="79"/>
    </row>
    <row r="14">
      <c r="A14" s="79"/>
      <c r="C14" s="77"/>
      <c r="D14" s="76" t="s">
        <v>1408</v>
      </c>
      <c r="E14" s="38">
        <v>3.0</v>
      </c>
      <c r="F14" s="77"/>
      <c r="G14" s="78" t="s">
        <v>1409</v>
      </c>
      <c r="H14" s="38">
        <v>1.0</v>
      </c>
      <c r="I14" s="77"/>
      <c r="K14" s="79"/>
    </row>
    <row r="15">
      <c r="A15" s="79"/>
      <c r="C15" s="77"/>
      <c r="D15" s="76" t="s">
        <v>1410</v>
      </c>
      <c r="E15" s="38">
        <v>2.0</v>
      </c>
      <c r="F15" s="77"/>
      <c r="G15" s="78" t="s">
        <v>1411</v>
      </c>
      <c r="H15" s="38">
        <v>1.0</v>
      </c>
      <c r="I15" s="77"/>
      <c r="K15" s="79"/>
    </row>
    <row r="16">
      <c r="A16" s="79"/>
      <c r="C16" s="77"/>
      <c r="D16" s="76" t="s">
        <v>1412</v>
      </c>
      <c r="E16" s="38">
        <v>7.0</v>
      </c>
      <c r="F16" s="77"/>
      <c r="G16" s="76" t="s">
        <v>1413</v>
      </c>
      <c r="H16" s="38">
        <v>1.0</v>
      </c>
      <c r="I16" s="77"/>
      <c r="K16" s="79"/>
    </row>
    <row r="17">
      <c r="A17" s="79"/>
      <c r="C17" s="77"/>
      <c r="D17" s="76" t="s">
        <v>1414</v>
      </c>
      <c r="E17" s="38">
        <v>2.0</v>
      </c>
      <c r="F17" s="77"/>
      <c r="G17" s="78" t="s">
        <v>1415</v>
      </c>
      <c r="H17" s="38">
        <v>1.0</v>
      </c>
      <c r="I17" s="77"/>
      <c r="K17" s="79"/>
    </row>
    <row r="18">
      <c r="A18" s="79"/>
      <c r="C18" s="77"/>
      <c r="D18" s="76" t="s">
        <v>1416</v>
      </c>
      <c r="E18" s="38">
        <v>1.0</v>
      </c>
      <c r="F18" s="77"/>
      <c r="G18" s="78" t="s">
        <v>1417</v>
      </c>
      <c r="H18" s="38">
        <v>4.0</v>
      </c>
      <c r="I18" s="77"/>
      <c r="K18" s="79"/>
    </row>
    <row r="19">
      <c r="A19" s="79"/>
      <c r="C19" s="77"/>
      <c r="D19" s="76" t="s">
        <v>1418</v>
      </c>
      <c r="E19" s="38">
        <v>1.0</v>
      </c>
      <c r="F19" s="77"/>
      <c r="G19" s="78" t="s">
        <v>1419</v>
      </c>
      <c r="H19" s="38">
        <v>1.0</v>
      </c>
      <c r="I19" s="77"/>
      <c r="K19" s="79"/>
    </row>
    <row r="20">
      <c r="A20" s="79"/>
      <c r="C20" s="77"/>
      <c r="D20" s="76" t="s">
        <v>1420</v>
      </c>
      <c r="E20" s="38">
        <v>6.0</v>
      </c>
      <c r="F20" s="77"/>
      <c r="G20" s="78" t="s">
        <v>1421</v>
      </c>
      <c r="H20" s="38">
        <v>1.0</v>
      </c>
      <c r="I20" s="77"/>
      <c r="K20" s="79"/>
    </row>
    <row r="21">
      <c r="A21" s="79"/>
      <c r="C21" s="77"/>
      <c r="D21" s="78" t="s">
        <v>1422</v>
      </c>
      <c r="E21" s="38">
        <v>7.0</v>
      </c>
      <c r="F21" s="77"/>
      <c r="G21" s="78" t="s">
        <v>1423</v>
      </c>
      <c r="H21" s="38">
        <v>3.0</v>
      </c>
      <c r="I21" s="77"/>
      <c r="K21" s="79"/>
    </row>
    <row r="22">
      <c r="A22" s="79"/>
      <c r="C22" s="77"/>
      <c r="D22" s="78" t="s">
        <v>1346</v>
      </c>
      <c r="E22" s="38">
        <v>23.0</v>
      </c>
      <c r="F22" s="77"/>
      <c r="G22" s="78" t="s">
        <v>1424</v>
      </c>
      <c r="H22" s="38">
        <v>2.0</v>
      </c>
      <c r="I22" s="77"/>
      <c r="K22" s="79"/>
    </row>
    <row r="23">
      <c r="A23" s="79"/>
      <c r="C23" s="77"/>
      <c r="D23" s="78" t="s">
        <v>1347</v>
      </c>
      <c r="E23" s="38">
        <v>1.0</v>
      </c>
      <c r="F23" s="77"/>
      <c r="G23" s="78" t="s">
        <v>1301</v>
      </c>
      <c r="H23" s="38">
        <v>1.0</v>
      </c>
      <c r="I23" s="77"/>
      <c r="K23" s="79"/>
    </row>
    <row r="24">
      <c r="A24" s="79"/>
      <c r="C24" s="77"/>
      <c r="D24" s="80" t="s">
        <v>1358</v>
      </c>
      <c r="E24" s="38">
        <v>1.0</v>
      </c>
      <c r="F24" s="77"/>
      <c r="G24" s="78" t="s">
        <v>1425</v>
      </c>
      <c r="H24" s="38">
        <v>1.0</v>
      </c>
      <c r="I24" s="77"/>
      <c r="K24" s="79"/>
    </row>
    <row r="25">
      <c r="A25" s="79"/>
      <c r="C25" s="77"/>
      <c r="D25" s="76" t="s">
        <v>1359</v>
      </c>
      <c r="E25" s="38">
        <v>1.0</v>
      </c>
      <c r="F25" s="77"/>
      <c r="G25" s="78" t="s">
        <v>1303</v>
      </c>
      <c r="H25" s="38">
        <v>1.0</v>
      </c>
      <c r="I25" s="77"/>
      <c r="K25" s="79"/>
    </row>
    <row r="26">
      <c r="A26" s="79"/>
      <c r="C26" s="77"/>
      <c r="D26" s="76" t="s">
        <v>1426</v>
      </c>
      <c r="E26" s="38">
        <v>1.0</v>
      </c>
      <c r="F26" s="77"/>
      <c r="G26" s="78" t="s">
        <v>1427</v>
      </c>
      <c r="H26" s="38">
        <v>1.0</v>
      </c>
      <c r="I26" s="77"/>
      <c r="K26" s="79"/>
    </row>
    <row r="27">
      <c r="A27" s="79"/>
      <c r="C27" s="77"/>
      <c r="D27" s="76" t="s">
        <v>1428</v>
      </c>
      <c r="E27" s="38">
        <v>1.0</v>
      </c>
      <c r="F27" s="77"/>
      <c r="G27" s="78" t="s">
        <v>1429</v>
      </c>
      <c r="H27" s="38">
        <v>2.0</v>
      </c>
      <c r="I27" s="77"/>
      <c r="K27" s="79"/>
    </row>
    <row r="28">
      <c r="A28" s="79"/>
      <c r="C28" s="77"/>
      <c r="D28" s="76" t="s">
        <v>1430</v>
      </c>
      <c r="F28" s="77"/>
      <c r="G28" s="78" t="s">
        <v>1310</v>
      </c>
      <c r="H28" s="38">
        <v>1.0</v>
      </c>
      <c r="I28" s="77"/>
      <c r="K28" s="79"/>
    </row>
    <row r="29">
      <c r="A29" s="79"/>
      <c r="C29" s="77"/>
      <c r="D29" s="79"/>
      <c r="F29" s="77"/>
      <c r="G29" s="78" t="s">
        <v>1311</v>
      </c>
      <c r="H29" s="38">
        <v>1.0</v>
      </c>
      <c r="I29" s="77"/>
      <c r="K29" s="79"/>
    </row>
    <row r="30">
      <c r="A30" s="79"/>
      <c r="C30" s="77"/>
      <c r="D30" s="79"/>
      <c r="F30" s="77"/>
      <c r="G30" s="78" t="s">
        <v>1312</v>
      </c>
      <c r="H30" s="38">
        <v>1.0</v>
      </c>
      <c r="I30" s="77"/>
      <c r="K30" s="79"/>
    </row>
    <row r="31">
      <c r="A31" s="79"/>
      <c r="C31" s="77"/>
      <c r="D31" s="79"/>
      <c r="F31" s="77"/>
      <c r="G31" s="78" t="s">
        <v>1313</v>
      </c>
      <c r="H31" s="38">
        <v>1.0</v>
      </c>
      <c r="I31" s="77"/>
      <c r="K31" s="79"/>
    </row>
    <row r="32">
      <c r="A32" s="79"/>
      <c r="C32" s="77"/>
      <c r="D32" s="79"/>
      <c r="F32" s="77"/>
      <c r="G32" s="78" t="s">
        <v>1314</v>
      </c>
      <c r="H32" s="38">
        <v>1.0</v>
      </c>
      <c r="I32" s="77"/>
      <c r="K32" s="79"/>
    </row>
    <row r="33">
      <c r="A33" s="79"/>
      <c r="C33" s="77"/>
      <c r="D33" s="79"/>
      <c r="F33" s="77"/>
      <c r="G33" s="78" t="s">
        <v>1315</v>
      </c>
      <c r="H33" s="38">
        <v>1.0</v>
      </c>
      <c r="I33" s="77"/>
      <c r="K33" s="79"/>
    </row>
    <row r="34">
      <c r="A34" s="79"/>
      <c r="C34" s="77"/>
      <c r="D34" s="79"/>
      <c r="F34" s="77"/>
      <c r="G34" s="78" t="s">
        <v>1431</v>
      </c>
      <c r="H34" s="38">
        <v>1.0</v>
      </c>
      <c r="I34" s="77"/>
      <c r="K34" s="79"/>
    </row>
    <row r="35">
      <c r="A35" s="79"/>
      <c r="C35" s="77"/>
      <c r="D35" s="79"/>
      <c r="F35" s="77"/>
      <c r="G35" s="78" t="s">
        <v>1317</v>
      </c>
      <c r="H35" s="38">
        <v>1.0</v>
      </c>
      <c r="I35" s="77"/>
      <c r="K35" s="79"/>
    </row>
    <row r="36">
      <c r="A36" s="79"/>
      <c r="C36" s="77"/>
      <c r="D36" s="79"/>
      <c r="F36" s="77"/>
      <c r="G36" s="78" t="s">
        <v>1327</v>
      </c>
      <c r="H36" s="38">
        <v>1.0</v>
      </c>
      <c r="I36" s="77"/>
      <c r="K36" s="79"/>
    </row>
    <row r="37">
      <c r="A37" s="79"/>
      <c r="C37" s="77"/>
      <c r="D37" s="79"/>
      <c r="F37" s="77"/>
      <c r="G37" s="78" t="s">
        <v>1324</v>
      </c>
      <c r="H37" s="38">
        <v>1.0</v>
      </c>
      <c r="I37" s="77"/>
      <c r="K37" s="79"/>
    </row>
    <row r="38">
      <c r="A38" s="79"/>
      <c r="C38" s="77"/>
      <c r="D38" s="79"/>
      <c r="F38" s="77"/>
      <c r="G38" s="78" t="s">
        <v>1328</v>
      </c>
      <c r="H38" s="38">
        <v>2.0</v>
      </c>
      <c r="I38" s="77"/>
      <c r="K38" s="79"/>
    </row>
    <row r="39">
      <c r="A39" s="79"/>
      <c r="C39" s="77"/>
      <c r="D39" s="79"/>
      <c r="F39" s="77"/>
      <c r="G39" s="78" t="s">
        <v>1337</v>
      </c>
      <c r="H39" s="38">
        <v>1.0</v>
      </c>
      <c r="I39" s="77"/>
      <c r="K39" s="79"/>
    </row>
    <row r="40">
      <c r="A40" s="79"/>
      <c r="C40" s="77"/>
      <c r="D40" s="79"/>
      <c r="F40" s="77"/>
      <c r="G40" s="78"/>
      <c r="I40" s="77"/>
      <c r="K40" s="79"/>
    </row>
    <row r="41">
      <c r="A41" s="79"/>
      <c r="C41" s="77"/>
      <c r="D41" s="79"/>
      <c r="F41" s="77"/>
      <c r="G41" s="78"/>
      <c r="I41" s="77"/>
      <c r="K41" s="79"/>
    </row>
    <row r="42">
      <c r="A42" s="79"/>
      <c r="C42" s="77"/>
      <c r="D42" s="79"/>
      <c r="F42" s="77"/>
      <c r="G42" s="78"/>
      <c r="I42" s="77"/>
      <c r="K42" s="79"/>
    </row>
    <row r="43">
      <c r="A43" s="79"/>
      <c r="C43" s="77"/>
      <c r="D43" s="79"/>
      <c r="F43" s="77"/>
      <c r="G43" s="78"/>
      <c r="I43" s="77"/>
      <c r="K43" s="79"/>
    </row>
    <row r="44">
      <c r="A44" s="79"/>
      <c r="C44" s="77"/>
      <c r="D44" s="79"/>
      <c r="F44" s="77"/>
      <c r="G44" s="81"/>
      <c r="I44" s="77"/>
      <c r="K44" s="79"/>
    </row>
    <row r="45">
      <c r="A45" s="79"/>
      <c r="C45" s="77"/>
      <c r="D45" s="79"/>
      <c r="F45" s="77"/>
      <c r="G45" s="78"/>
      <c r="I45" s="77"/>
      <c r="K45" s="79"/>
    </row>
    <row r="46">
      <c r="A46" s="79"/>
      <c r="C46" s="77"/>
      <c r="D46" s="79"/>
      <c r="F46" s="77"/>
      <c r="G46" s="78"/>
      <c r="I46" s="77"/>
      <c r="K46" s="79"/>
    </row>
    <row r="47">
      <c r="A47" s="79"/>
      <c r="C47" s="77"/>
      <c r="D47" s="79"/>
      <c r="F47" s="77"/>
      <c r="G47" s="78"/>
      <c r="I47" s="77"/>
      <c r="K47" s="79"/>
    </row>
    <row r="48">
      <c r="A48" s="79"/>
      <c r="C48" s="77"/>
      <c r="D48" s="79"/>
      <c r="F48" s="77"/>
      <c r="G48" s="78"/>
      <c r="I48" s="77"/>
      <c r="K48" s="79"/>
    </row>
    <row r="49">
      <c r="A49" s="79"/>
      <c r="C49" s="77"/>
      <c r="D49" s="79"/>
      <c r="F49" s="77"/>
      <c r="G49" s="78"/>
      <c r="I49" s="77"/>
      <c r="K49" s="79"/>
    </row>
    <row r="50">
      <c r="A50" s="79"/>
      <c r="C50" s="77"/>
      <c r="D50" s="79"/>
      <c r="F50" s="77"/>
      <c r="G50" s="79"/>
      <c r="I50" s="77"/>
      <c r="K50" s="79"/>
    </row>
    <row r="51">
      <c r="A51" s="79"/>
      <c r="C51" s="77"/>
      <c r="D51" s="79"/>
      <c r="F51" s="77"/>
      <c r="G51" s="79"/>
      <c r="I51" s="77"/>
      <c r="K51" s="79"/>
    </row>
    <row r="52">
      <c r="A52" s="79"/>
      <c r="C52" s="77"/>
      <c r="D52" s="79"/>
      <c r="F52" s="77"/>
      <c r="G52" s="78"/>
      <c r="I52" s="77"/>
      <c r="K52" s="79"/>
    </row>
    <row r="53">
      <c r="A53" s="79"/>
      <c r="C53" s="77"/>
      <c r="D53" s="79"/>
      <c r="F53" s="77"/>
      <c r="G53" s="78"/>
      <c r="I53" s="77"/>
      <c r="K53" s="79"/>
    </row>
    <row r="54">
      <c r="A54" s="79"/>
      <c r="C54" s="77"/>
      <c r="D54" s="79"/>
      <c r="F54" s="77"/>
      <c r="G54" s="78"/>
      <c r="I54" s="77"/>
      <c r="K54" s="79"/>
    </row>
    <row r="55">
      <c r="A55" s="79"/>
      <c r="C55" s="77"/>
      <c r="D55" s="79"/>
      <c r="F55" s="77"/>
      <c r="G55" s="78"/>
      <c r="I55" s="77"/>
      <c r="K55" s="79"/>
    </row>
    <row r="56">
      <c r="A56" s="79"/>
      <c r="C56" s="77"/>
      <c r="D56" s="79"/>
      <c r="F56" s="77"/>
      <c r="G56" s="78"/>
      <c r="I56" s="77"/>
      <c r="K56" s="79"/>
    </row>
    <row r="57">
      <c r="A57" s="79"/>
      <c r="C57" s="77"/>
      <c r="D57" s="79"/>
      <c r="F57" s="77"/>
      <c r="G57" s="79"/>
      <c r="I57" s="77"/>
      <c r="K57" s="79"/>
    </row>
    <row r="58">
      <c r="A58" s="79"/>
      <c r="C58" s="77"/>
      <c r="D58" s="79"/>
      <c r="F58" s="77"/>
      <c r="G58" s="79"/>
      <c r="I58" s="77"/>
      <c r="K58" s="79"/>
    </row>
    <row r="59">
      <c r="A59" s="79"/>
      <c r="C59" s="77"/>
      <c r="D59" s="79"/>
      <c r="F59" s="77"/>
      <c r="G59" s="78"/>
      <c r="I59" s="77"/>
      <c r="K59" s="79"/>
    </row>
    <row r="60">
      <c r="A60" s="79"/>
      <c r="C60" s="77"/>
      <c r="D60" s="79"/>
      <c r="F60" s="77"/>
      <c r="G60" s="79"/>
      <c r="I60" s="77"/>
      <c r="K60" s="79"/>
    </row>
    <row r="61">
      <c r="A61" s="79"/>
      <c r="C61" s="77"/>
      <c r="D61" s="79"/>
      <c r="F61" s="77"/>
      <c r="G61" s="79"/>
      <c r="I61" s="77"/>
      <c r="K61" s="79"/>
    </row>
    <row r="62">
      <c r="A62" s="79"/>
      <c r="C62" s="77"/>
      <c r="D62" s="79"/>
      <c r="F62" s="77"/>
      <c r="G62" s="78"/>
      <c r="I62" s="77"/>
      <c r="K62" s="79"/>
    </row>
    <row r="63">
      <c r="A63" s="79"/>
      <c r="C63" s="77"/>
      <c r="D63" s="79"/>
      <c r="F63" s="77"/>
      <c r="G63" s="78"/>
      <c r="I63" s="77"/>
      <c r="K63" s="79"/>
    </row>
    <row r="64">
      <c r="A64" s="79"/>
      <c r="C64" s="77"/>
      <c r="D64" s="79"/>
      <c r="F64" s="77"/>
      <c r="G64" s="78"/>
      <c r="I64" s="77"/>
      <c r="K64" s="79"/>
    </row>
    <row r="65">
      <c r="A65" s="79"/>
      <c r="C65" s="77"/>
      <c r="D65" s="79"/>
      <c r="F65" s="77"/>
      <c r="G65" s="79"/>
      <c r="I65" s="77"/>
      <c r="K65" s="79"/>
    </row>
    <row r="66">
      <c r="A66" s="79"/>
      <c r="C66" s="77"/>
      <c r="D66" s="79"/>
      <c r="F66" s="77"/>
      <c r="G66" s="79"/>
      <c r="I66" s="77"/>
      <c r="K66" s="79"/>
    </row>
    <row r="67">
      <c r="A67" s="79"/>
      <c r="C67" s="77"/>
      <c r="D67" s="79"/>
      <c r="F67" s="77"/>
      <c r="G67" s="78"/>
      <c r="I67" s="77"/>
      <c r="K67" s="79"/>
    </row>
    <row r="68">
      <c r="A68" s="79"/>
      <c r="C68" s="77"/>
      <c r="D68" s="79"/>
      <c r="F68" s="77"/>
      <c r="G68" s="78"/>
      <c r="I68" s="77"/>
      <c r="K68" s="79"/>
    </row>
    <row r="69">
      <c r="A69" s="79"/>
      <c r="C69" s="77"/>
      <c r="D69" s="79"/>
      <c r="F69" s="77"/>
      <c r="G69" s="78"/>
      <c r="I69" s="77"/>
      <c r="K69" s="79"/>
    </row>
    <row r="70">
      <c r="A70" s="79"/>
      <c r="C70" s="77"/>
      <c r="D70" s="79"/>
      <c r="F70" s="77"/>
      <c r="G70" s="78"/>
      <c r="I70" s="77"/>
      <c r="K70" s="79"/>
    </row>
    <row r="71">
      <c r="A71" s="79"/>
      <c r="C71" s="77"/>
      <c r="D71" s="79"/>
      <c r="F71" s="77"/>
      <c r="G71" s="78"/>
      <c r="I71" s="77"/>
      <c r="K71" s="79"/>
    </row>
    <row r="72">
      <c r="A72" s="79"/>
      <c r="C72" s="77"/>
      <c r="D72" s="79"/>
      <c r="F72" s="77"/>
      <c r="G72" s="78"/>
      <c r="I72" s="77"/>
      <c r="K72" s="79"/>
    </row>
    <row r="73">
      <c r="A73" s="79"/>
      <c r="C73" s="77"/>
      <c r="D73" s="79"/>
      <c r="F73" s="77"/>
      <c r="G73" s="78"/>
      <c r="I73" s="77"/>
      <c r="K73" s="79"/>
    </row>
    <row r="74">
      <c r="A74" s="79"/>
      <c r="C74" s="77"/>
      <c r="D74" s="79"/>
      <c r="F74" s="77"/>
      <c r="G74" s="78"/>
      <c r="I74" s="77"/>
      <c r="K74" s="79"/>
    </row>
    <row r="75">
      <c r="A75" s="79"/>
      <c r="C75" s="77"/>
      <c r="D75" s="79"/>
      <c r="F75" s="77"/>
      <c r="G75" s="78"/>
      <c r="I75" s="77"/>
      <c r="K75" s="79"/>
    </row>
    <row r="76">
      <c r="A76" s="79"/>
      <c r="C76" s="77"/>
      <c r="D76" s="79"/>
      <c r="F76" s="77"/>
      <c r="G76" s="78"/>
      <c r="I76" s="77"/>
      <c r="K76" s="79"/>
    </row>
    <row r="77">
      <c r="A77" s="79"/>
      <c r="C77" s="77"/>
      <c r="D77" s="79"/>
      <c r="F77" s="77"/>
      <c r="G77" s="79"/>
      <c r="I77" s="77"/>
      <c r="K77" s="79"/>
    </row>
    <row r="78">
      <c r="A78" s="79"/>
      <c r="C78" s="77"/>
      <c r="D78" s="79"/>
      <c r="F78" s="77"/>
      <c r="G78" s="79"/>
      <c r="I78" s="77"/>
      <c r="K78" s="79"/>
    </row>
    <row r="79">
      <c r="A79" s="79"/>
      <c r="C79" s="77"/>
      <c r="D79" s="79"/>
      <c r="F79" s="77"/>
      <c r="G79" s="79"/>
      <c r="I79" s="77"/>
      <c r="K79" s="79"/>
    </row>
    <row r="80">
      <c r="A80" s="79"/>
      <c r="C80" s="77"/>
      <c r="D80" s="79"/>
      <c r="F80" s="77"/>
      <c r="G80" s="79"/>
      <c r="I80" s="77"/>
      <c r="K80" s="79"/>
    </row>
    <row r="81">
      <c r="A81" s="79"/>
      <c r="C81" s="77"/>
      <c r="D81" s="79"/>
      <c r="F81" s="77"/>
      <c r="G81" s="79"/>
      <c r="I81" s="77"/>
      <c r="K81" s="79"/>
    </row>
    <row r="82">
      <c r="A82" s="79"/>
      <c r="C82" s="77"/>
      <c r="D82" s="79"/>
      <c r="F82" s="77"/>
      <c r="G82" s="79"/>
      <c r="I82" s="77"/>
      <c r="K82" s="79"/>
    </row>
    <row r="83">
      <c r="A83" s="79"/>
      <c r="C83" s="77"/>
      <c r="D83" s="79"/>
      <c r="F83" s="77"/>
      <c r="G83" s="79"/>
      <c r="I83" s="77"/>
      <c r="K83" s="79"/>
    </row>
    <row r="84">
      <c r="A84" s="79"/>
      <c r="C84" s="77"/>
      <c r="D84" s="79"/>
      <c r="F84" s="77"/>
      <c r="G84" s="79"/>
      <c r="I84" s="77"/>
      <c r="K84" s="79"/>
    </row>
    <row r="85">
      <c r="A85" s="79"/>
      <c r="C85" s="77"/>
      <c r="D85" s="79"/>
      <c r="F85" s="77"/>
      <c r="G85" s="79"/>
      <c r="I85" s="77"/>
      <c r="K85" s="79"/>
    </row>
    <row r="86">
      <c r="A86" s="79"/>
      <c r="C86" s="77"/>
      <c r="D86" s="79"/>
      <c r="F86" s="77"/>
      <c r="G86" s="79"/>
      <c r="I86" s="77"/>
      <c r="K86" s="79"/>
    </row>
    <row r="87">
      <c r="A87" s="79"/>
      <c r="C87" s="77"/>
      <c r="D87" s="79"/>
      <c r="F87" s="77"/>
      <c r="G87" s="79"/>
      <c r="I87" s="77"/>
      <c r="K87" s="79"/>
    </row>
    <row r="88">
      <c r="A88" s="79"/>
      <c r="C88" s="77"/>
      <c r="D88" s="79"/>
      <c r="F88" s="77"/>
      <c r="G88" s="79"/>
      <c r="I88" s="77"/>
      <c r="K88" s="79"/>
    </row>
    <row r="89">
      <c r="A89" s="79"/>
      <c r="C89" s="77"/>
      <c r="D89" s="79"/>
      <c r="F89" s="77"/>
      <c r="G89" s="79"/>
      <c r="I89" s="77"/>
      <c r="K89" s="79"/>
    </row>
    <row r="90">
      <c r="A90" s="79"/>
      <c r="C90" s="77"/>
      <c r="D90" s="79"/>
      <c r="F90" s="77"/>
      <c r="G90" s="79"/>
      <c r="I90" s="77"/>
      <c r="K90" s="79"/>
    </row>
    <row r="91">
      <c r="A91" s="79"/>
      <c r="C91" s="77"/>
      <c r="D91" s="79"/>
      <c r="F91" s="77"/>
      <c r="G91" s="79"/>
      <c r="I91" s="77"/>
      <c r="K91" s="79"/>
    </row>
    <row r="92">
      <c r="A92" s="79"/>
      <c r="C92" s="77"/>
      <c r="D92" s="79"/>
      <c r="F92" s="77"/>
      <c r="G92" s="79"/>
      <c r="I92" s="77"/>
      <c r="K92" s="79"/>
    </row>
    <row r="93">
      <c r="A93" s="79"/>
      <c r="C93" s="77"/>
      <c r="D93" s="79"/>
      <c r="F93" s="77"/>
      <c r="G93" s="79"/>
      <c r="I93" s="77"/>
      <c r="K93" s="79"/>
    </row>
    <row r="94">
      <c r="A94" s="79"/>
      <c r="C94" s="77"/>
      <c r="D94" s="79"/>
      <c r="F94" s="77"/>
      <c r="G94" s="79"/>
      <c r="I94" s="77"/>
      <c r="K94" s="79"/>
    </row>
    <row r="95">
      <c r="A95" s="79"/>
      <c r="C95" s="77"/>
      <c r="D95" s="79"/>
      <c r="F95" s="77"/>
      <c r="G95" s="79"/>
      <c r="I95" s="77"/>
      <c r="K95" s="79"/>
    </row>
    <row r="96">
      <c r="A96" s="79"/>
      <c r="C96" s="77"/>
      <c r="D96" s="79"/>
      <c r="F96" s="77"/>
      <c r="G96" s="79"/>
      <c r="I96" s="77"/>
      <c r="K96" s="79"/>
    </row>
    <row r="97">
      <c r="A97" s="79"/>
      <c r="C97" s="77"/>
      <c r="D97" s="79"/>
      <c r="F97" s="77"/>
      <c r="G97" s="79"/>
      <c r="I97" s="77"/>
      <c r="K97" s="79"/>
    </row>
    <row r="98">
      <c r="A98" s="79"/>
      <c r="C98" s="77"/>
      <c r="D98" s="79"/>
      <c r="F98" s="77"/>
      <c r="G98" s="79"/>
      <c r="I98" s="77"/>
      <c r="K98" s="79"/>
    </row>
    <row r="99">
      <c r="A99" s="79"/>
      <c r="C99" s="77"/>
      <c r="D99" s="79"/>
      <c r="F99" s="77"/>
      <c r="G99" s="79"/>
      <c r="I99" s="77"/>
      <c r="K99" s="79"/>
    </row>
    <row r="100">
      <c r="A100" s="79"/>
      <c r="C100" s="77"/>
      <c r="D100" s="79"/>
      <c r="F100" s="77"/>
      <c r="G100" s="79"/>
      <c r="I100" s="77"/>
      <c r="K100" s="79"/>
    </row>
    <row r="101">
      <c r="A101" s="79"/>
      <c r="C101" s="77"/>
      <c r="D101" s="79"/>
      <c r="F101" s="77"/>
      <c r="G101" s="79"/>
      <c r="I101" s="77"/>
      <c r="K101" s="79"/>
    </row>
    <row r="102">
      <c r="A102" s="79"/>
      <c r="C102" s="77"/>
      <c r="D102" s="79"/>
      <c r="F102" s="77"/>
      <c r="G102" s="79"/>
      <c r="I102" s="77"/>
      <c r="K102" s="79"/>
    </row>
    <row r="103">
      <c r="A103" s="79"/>
      <c r="C103" s="77"/>
      <c r="D103" s="79"/>
      <c r="F103" s="77"/>
      <c r="G103" s="79"/>
      <c r="I103" s="77"/>
      <c r="K103" s="79"/>
    </row>
    <row r="104">
      <c r="A104" s="79"/>
      <c r="C104" s="77"/>
      <c r="D104" s="79"/>
      <c r="F104" s="77"/>
      <c r="G104" s="79"/>
      <c r="I104" s="77"/>
      <c r="K104" s="79"/>
    </row>
    <row r="105">
      <c r="A105" s="79"/>
      <c r="C105" s="77"/>
      <c r="D105" s="79"/>
      <c r="F105" s="77"/>
      <c r="G105" s="79"/>
      <c r="I105" s="77"/>
      <c r="K105" s="79"/>
    </row>
    <row r="106">
      <c r="A106" s="79"/>
      <c r="C106" s="77"/>
      <c r="D106" s="79"/>
      <c r="F106" s="77"/>
      <c r="G106" s="79"/>
      <c r="I106" s="77"/>
      <c r="K106" s="79"/>
    </row>
    <row r="107">
      <c r="A107" s="79"/>
      <c r="C107" s="77"/>
      <c r="D107" s="79"/>
      <c r="F107" s="77"/>
      <c r="G107" s="79"/>
      <c r="I107" s="77"/>
      <c r="K107" s="79"/>
    </row>
    <row r="108">
      <c r="A108" s="79"/>
      <c r="C108" s="77"/>
      <c r="D108" s="79"/>
      <c r="F108" s="77"/>
      <c r="G108" s="79"/>
      <c r="I108" s="77"/>
      <c r="K108" s="79"/>
    </row>
    <row r="109">
      <c r="A109" s="79"/>
      <c r="C109" s="77"/>
      <c r="D109" s="79"/>
      <c r="F109" s="77"/>
      <c r="G109" s="79"/>
      <c r="I109" s="77"/>
      <c r="K109" s="79"/>
    </row>
    <row r="110">
      <c r="A110" s="79"/>
      <c r="C110" s="77"/>
      <c r="D110" s="79"/>
      <c r="F110" s="77"/>
      <c r="G110" s="79"/>
      <c r="I110" s="77"/>
      <c r="K110" s="79"/>
    </row>
    <row r="111">
      <c r="A111" s="79"/>
      <c r="C111" s="77"/>
      <c r="D111" s="79"/>
      <c r="F111" s="77"/>
      <c r="G111" s="79"/>
      <c r="I111" s="77"/>
      <c r="K111" s="79"/>
    </row>
    <row r="112">
      <c r="A112" s="79"/>
      <c r="C112" s="77"/>
      <c r="D112" s="79"/>
      <c r="F112" s="77"/>
      <c r="G112" s="79"/>
      <c r="I112" s="77"/>
      <c r="K112" s="79"/>
    </row>
    <row r="113">
      <c r="A113" s="79"/>
      <c r="C113" s="77"/>
      <c r="D113" s="79"/>
      <c r="F113" s="77"/>
      <c r="G113" s="79"/>
      <c r="I113" s="77"/>
      <c r="K113" s="79"/>
    </row>
    <row r="114">
      <c r="A114" s="79"/>
      <c r="C114" s="77"/>
      <c r="D114" s="79"/>
      <c r="F114" s="77"/>
      <c r="G114" s="79"/>
      <c r="I114" s="77"/>
      <c r="K114" s="79"/>
    </row>
    <row r="115">
      <c r="A115" s="79"/>
      <c r="C115" s="77"/>
      <c r="D115" s="79"/>
      <c r="F115" s="77"/>
      <c r="G115" s="79"/>
      <c r="I115" s="77"/>
      <c r="K115" s="79"/>
    </row>
    <row r="116">
      <c r="A116" s="79"/>
      <c r="C116" s="77"/>
      <c r="D116" s="79"/>
      <c r="F116" s="77"/>
      <c r="G116" s="79"/>
      <c r="I116" s="77"/>
      <c r="K116" s="79"/>
    </row>
    <row r="117">
      <c r="A117" s="79"/>
      <c r="C117" s="77"/>
      <c r="D117" s="79"/>
      <c r="F117" s="77"/>
      <c r="G117" s="79"/>
      <c r="I117" s="77"/>
      <c r="K117" s="79"/>
    </row>
    <row r="118">
      <c r="A118" s="79"/>
      <c r="C118" s="77"/>
      <c r="D118" s="79"/>
      <c r="F118" s="77"/>
      <c r="G118" s="79"/>
      <c r="I118" s="77"/>
      <c r="K118" s="79"/>
    </row>
    <row r="119">
      <c r="A119" s="79"/>
      <c r="C119" s="77"/>
      <c r="D119" s="79"/>
      <c r="F119" s="77"/>
      <c r="G119" s="79"/>
      <c r="I119" s="77"/>
      <c r="K119" s="79"/>
    </row>
    <row r="120">
      <c r="A120" s="79"/>
      <c r="C120" s="77"/>
      <c r="D120" s="79"/>
      <c r="F120" s="77"/>
      <c r="G120" s="79"/>
      <c r="I120" s="77"/>
      <c r="K120" s="79"/>
    </row>
    <row r="121">
      <c r="A121" s="79"/>
      <c r="C121" s="77"/>
      <c r="D121" s="79"/>
      <c r="F121" s="77"/>
      <c r="G121" s="79"/>
      <c r="I121" s="77"/>
      <c r="K121" s="79"/>
    </row>
    <row r="122">
      <c r="A122" s="79"/>
      <c r="C122" s="77"/>
      <c r="D122" s="79"/>
      <c r="F122" s="77"/>
      <c r="G122" s="79"/>
      <c r="I122" s="77"/>
      <c r="K122" s="79"/>
    </row>
    <row r="123">
      <c r="A123" s="79"/>
      <c r="C123" s="77"/>
      <c r="D123" s="79"/>
      <c r="F123" s="77"/>
      <c r="G123" s="79"/>
      <c r="I123" s="77"/>
      <c r="K123" s="79"/>
    </row>
    <row r="124">
      <c r="A124" s="79"/>
      <c r="C124" s="77"/>
      <c r="D124" s="79"/>
      <c r="F124" s="77"/>
      <c r="G124" s="79"/>
      <c r="I124" s="77"/>
      <c r="K124" s="79"/>
    </row>
    <row r="125">
      <c r="A125" s="79"/>
      <c r="C125" s="77"/>
      <c r="D125" s="79"/>
      <c r="F125" s="77"/>
      <c r="G125" s="79"/>
      <c r="I125" s="77"/>
      <c r="K125" s="79"/>
    </row>
    <row r="126">
      <c r="A126" s="79"/>
      <c r="C126" s="77"/>
      <c r="D126" s="79"/>
      <c r="F126" s="77"/>
      <c r="G126" s="79"/>
      <c r="I126" s="77"/>
      <c r="K126" s="79"/>
    </row>
    <row r="127">
      <c r="A127" s="79"/>
      <c r="C127" s="77"/>
      <c r="D127" s="79"/>
      <c r="F127" s="77"/>
      <c r="G127" s="79"/>
      <c r="I127" s="77"/>
      <c r="K127" s="79"/>
    </row>
    <row r="128">
      <c r="A128" s="79"/>
      <c r="C128" s="77"/>
      <c r="D128" s="79"/>
      <c r="F128" s="77"/>
      <c r="G128" s="79"/>
      <c r="I128" s="77"/>
      <c r="K128" s="79"/>
    </row>
    <row r="129">
      <c r="A129" s="79"/>
      <c r="C129" s="77"/>
      <c r="D129" s="79"/>
      <c r="F129" s="77"/>
      <c r="G129" s="79"/>
      <c r="I129" s="77"/>
      <c r="K129" s="79"/>
    </row>
    <row r="130">
      <c r="A130" s="79"/>
      <c r="C130" s="77"/>
      <c r="D130" s="79"/>
      <c r="F130" s="77"/>
      <c r="G130" s="79"/>
      <c r="I130" s="77"/>
      <c r="K130" s="79"/>
    </row>
    <row r="131">
      <c r="A131" s="79"/>
      <c r="C131" s="77"/>
      <c r="D131" s="79"/>
      <c r="F131" s="77"/>
      <c r="G131" s="79"/>
      <c r="I131" s="77"/>
      <c r="K131" s="79"/>
    </row>
    <row r="132">
      <c r="A132" s="79"/>
      <c r="C132" s="77"/>
      <c r="D132" s="79"/>
      <c r="F132" s="77"/>
      <c r="G132" s="79"/>
      <c r="I132" s="77"/>
      <c r="K132" s="79"/>
    </row>
    <row r="133">
      <c r="A133" s="79"/>
      <c r="C133" s="77"/>
      <c r="D133" s="79"/>
      <c r="F133" s="77"/>
      <c r="G133" s="79"/>
      <c r="I133" s="77"/>
      <c r="K133" s="79"/>
    </row>
    <row r="134">
      <c r="A134" s="79"/>
      <c r="C134" s="77"/>
      <c r="D134" s="79"/>
      <c r="F134" s="77"/>
      <c r="G134" s="79"/>
      <c r="I134" s="77"/>
      <c r="K134" s="79"/>
    </row>
    <row r="135">
      <c r="A135" s="79"/>
      <c r="C135" s="77"/>
      <c r="D135" s="79"/>
      <c r="F135" s="77"/>
      <c r="G135" s="79"/>
      <c r="I135" s="77"/>
      <c r="K135" s="79"/>
    </row>
    <row r="136">
      <c r="A136" s="79"/>
      <c r="C136" s="77"/>
      <c r="D136" s="79"/>
      <c r="F136" s="77"/>
      <c r="G136" s="79"/>
      <c r="I136" s="77"/>
      <c r="K136" s="79"/>
    </row>
    <row r="137">
      <c r="A137" s="79"/>
      <c r="C137" s="77"/>
      <c r="D137" s="79"/>
      <c r="F137" s="77"/>
      <c r="G137" s="79"/>
      <c r="I137" s="77"/>
      <c r="K137" s="79"/>
    </row>
    <row r="138">
      <c r="A138" s="79"/>
      <c r="C138" s="77"/>
      <c r="D138" s="79"/>
      <c r="F138" s="77"/>
      <c r="G138" s="79"/>
      <c r="I138" s="77"/>
      <c r="K138" s="79"/>
    </row>
    <row r="139">
      <c r="A139" s="79"/>
      <c r="C139" s="77"/>
      <c r="D139" s="79"/>
      <c r="F139" s="77"/>
      <c r="G139" s="79"/>
      <c r="I139" s="77"/>
      <c r="K139" s="79"/>
    </row>
    <row r="140">
      <c r="A140" s="79"/>
      <c r="C140" s="77"/>
      <c r="D140" s="79"/>
      <c r="F140" s="77"/>
      <c r="G140" s="79"/>
      <c r="I140" s="77"/>
      <c r="K140" s="79"/>
    </row>
    <row r="141">
      <c r="A141" s="79"/>
      <c r="C141" s="77"/>
      <c r="D141" s="79"/>
      <c r="F141" s="77"/>
      <c r="G141" s="79"/>
      <c r="I141" s="77"/>
      <c r="K141" s="79"/>
    </row>
    <row r="142">
      <c r="A142" s="79"/>
      <c r="C142" s="77"/>
      <c r="D142" s="79"/>
      <c r="F142" s="77"/>
      <c r="G142" s="79"/>
      <c r="I142" s="77"/>
      <c r="K142" s="79"/>
    </row>
    <row r="143">
      <c r="A143" s="79"/>
      <c r="C143" s="77"/>
      <c r="D143" s="79"/>
      <c r="F143" s="77"/>
      <c r="G143" s="79"/>
      <c r="I143" s="77"/>
      <c r="K143" s="79"/>
    </row>
    <row r="144">
      <c r="A144" s="79"/>
      <c r="C144" s="77"/>
      <c r="D144" s="79"/>
      <c r="F144" s="77"/>
      <c r="G144" s="79"/>
      <c r="I144" s="77"/>
      <c r="K144" s="79"/>
    </row>
    <row r="145">
      <c r="A145" s="79"/>
      <c r="C145" s="77"/>
      <c r="D145" s="79"/>
      <c r="F145" s="77"/>
      <c r="G145" s="79"/>
      <c r="I145" s="77"/>
      <c r="K145" s="79"/>
    </row>
    <row r="146">
      <c r="A146" s="79"/>
      <c r="C146" s="77"/>
      <c r="D146" s="79"/>
      <c r="F146" s="77"/>
      <c r="G146" s="79"/>
      <c r="I146" s="77"/>
      <c r="K146" s="79"/>
    </row>
    <row r="147">
      <c r="A147" s="79"/>
      <c r="C147" s="77"/>
      <c r="D147" s="79"/>
      <c r="F147" s="77"/>
      <c r="G147" s="79"/>
      <c r="I147" s="77"/>
      <c r="K147" s="79"/>
    </row>
    <row r="148">
      <c r="A148" s="79"/>
      <c r="C148" s="77"/>
      <c r="D148" s="79"/>
      <c r="F148" s="77"/>
      <c r="G148" s="79"/>
      <c r="I148" s="77"/>
      <c r="K148" s="79"/>
    </row>
    <row r="149">
      <c r="A149" s="79"/>
      <c r="C149" s="77"/>
      <c r="D149" s="79"/>
      <c r="F149" s="77"/>
      <c r="G149" s="79"/>
      <c r="I149" s="77"/>
      <c r="K149" s="79"/>
    </row>
    <row r="150">
      <c r="A150" s="79"/>
      <c r="C150" s="77"/>
      <c r="D150" s="79"/>
      <c r="F150" s="77"/>
      <c r="G150" s="79"/>
      <c r="I150" s="77"/>
      <c r="K150" s="79"/>
    </row>
    <row r="151">
      <c r="A151" s="79"/>
      <c r="C151" s="77"/>
      <c r="D151" s="79"/>
      <c r="F151" s="77"/>
      <c r="G151" s="79"/>
      <c r="I151" s="77"/>
      <c r="K151" s="79"/>
    </row>
    <row r="152">
      <c r="A152" s="79"/>
      <c r="C152" s="77"/>
      <c r="D152" s="79"/>
      <c r="F152" s="77"/>
      <c r="G152" s="79"/>
      <c r="I152" s="77"/>
      <c r="K152" s="79"/>
    </row>
    <row r="153">
      <c r="A153" s="79"/>
      <c r="C153" s="77"/>
      <c r="D153" s="79"/>
      <c r="F153" s="77"/>
      <c r="G153" s="79"/>
      <c r="I153" s="77"/>
      <c r="K153" s="79"/>
    </row>
    <row r="154">
      <c r="A154" s="79"/>
      <c r="C154" s="77"/>
      <c r="D154" s="79"/>
      <c r="F154" s="77"/>
      <c r="G154" s="79"/>
      <c r="I154" s="77"/>
      <c r="K154" s="79"/>
    </row>
    <row r="155">
      <c r="A155" s="79"/>
      <c r="C155" s="77"/>
      <c r="D155" s="79"/>
      <c r="F155" s="77"/>
      <c r="G155" s="79"/>
      <c r="I155" s="77"/>
      <c r="K155" s="79"/>
    </row>
    <row r="156">
      <c r="A156" s="79"/>
      <c r="C156" s="77"/>
      <c r="D156" s="79"/>
      <c r="F156" s="77"/>
      <c r="G156" s="79"/>
      <c r="I156" s="77"/>
      <c r="K156" s="79"/>
    </row>
    <row r="157">
      <c r="A157" s="79"/>
      <c r="C157" s="77"/>
      <c r="D157" s="79"/>
      <c r="F157" s="77"/>
      <c r="G157" s="79"/>
      <c r="I157" s="77"/>
      <c r="K157" s="79"/>
    </row>
    <row r="158">
      <c r="A158" s="79"/>
      <c r="C158" s="77"/>
      <c r="D158" s="79"/>
      <c r="F158" s="77"/>
      <c r="G158" s="79"/>
      <c r="I158" s="77"/>
      <c r="K158" s="79"/>
    </row>
    <row r="159">
      <c r="A159" s="79"/>
      <c r="C159" s="77"/>
      <c r="D159" s="79"/>
      <c r="F159" s="77"/>
      <c r="G159" s="79"/>
      <c r="I159" s="77"/>
      <c r="K159" s="79"/>
    </row>
    <row r="160">
      <c r="A160" s="79"/>
      <c r="C160" s="77"/>
      <c r="D160" s="79"/>
      <c r="F160" s="77"/>
      <c r="G160" s="79"/>
      <c r="I160" s="77"/>
      <c r="K160" s="79"/>
    </row>
    <row r="161">
      <c r="A161" s="79"/>
      <c r="C161" s="77"/>
      <c r="D161" s="79"/>
      <c r="F161" s="77"/>
      <c r="G161" s="79"/>
      <c r="I161" s="77"/>
      <c r="K161" s="79"/>
    </row>
    <row r="162">
      <c r="A162" s="79"/>
      <c r="C162" s="77"/>
      <c r="D162" s="79"/>
      <c r="F162" s="77"/>
      <c r="G162" s="79"/>
      <c r="I162" s="77"/>
      <c r="K162" s="79"/>
    </row>
    <row r="163">
      <c r="A163" s="79"/>
      <c r="C163" s="77"/>
      <c r="D163" s="79"/>
      <c r="F163" s="77"/>
      <c r="G163" s="79"/>
      <c r="I163" s="77"/>
      <c r="K163" s="79"/>
    </row>
    <row r="164">
      <c r="A164" s="79"/>
      <c r="C164" s="77"/>
      <c r="D164" s="79"/>
      <c r="F164" s="77"/>
      <c r="G164" s="79"/>
      <c r="I164" s="77"/>
      <c r="K164" s="79"/>
    </row>
    <row r="165">
      <c r="A165" s="79"/>
      <c r="C165" s="77"/>
      <c r="D165" s="79"/>
      <c r="F165" s="77"/>
      <c r="G165" s="79"/>
      <c r="I165" s="77"/>
      <c r="K165" s="79"/>
    </row>
    <row r="166">
      <c r="A166" s="79"/>
      <c r="C166" s="77"/>
      <c r="D166" s="79"/>
      <c r="F166" s="77"/>
      <c r="G166" s="79"/>
      <c r="I166" s="77"/>
      <c r="K166" s="79"/>
    </row>
    <row r="167">
      <c r="A167" s="79"/>
      <c r="C167" s="77"/>
      <c r="D167" s="79"/>
      <c r="F167" s="77"/>
      <c r="G167" s="79"/>
      <c r="I167" s="77"/>
      <c r="K167" s="79"/>
    </row>
    <row r="168">
      <c r="A168" s="79"/>
      <c r="C168" s="77"/>
      <c r="D168" s="79"/>
      <c r="F168" s="77"/>
      <c r="G168" s="79"/>
      <c r="I168" s="77"/>
      <c r="K168" s="79"/>
    </row>
    <row r="169">
      <c r="A169" s="79"/>
      <c r="C169" s="77"/>
      <c r="D169" s="79"/>
      <c r="F169" s="77"/>
      <c r="G169" s="79"/>
      <c r="I169" s="77"/>
      <c r="K169" s="79"/>
    </row>
    <row r="170">
      <c r="A170" s="79"/>
      <c r="C170" s="77"/>
      <c r="D170" s="79"/>
      <c r="F170" s="77"/>
      <c r="G170" s="79"/>
      <c r="I170" s="77"/>
      <c r="K170" s="79"/>
    </row>
    <row r="171">
      <c r="A171" s="79"/>
      <c r="C171" s="77"/>
      <c r="D171" s="79"/>
      <c r="F171" s="77"/>
      <c r="G171" s="79"/>
      <c r="I171" s="77"/>
      <c r="K171" s="79"/>
    </row>
    <row r="172">
      <c r="A172" s="79"/>
      <c r="C172" s="77"/>
      <c r="D172" s="79"/>
      <c r="F172" s="77"/>
      <c r="G172" s="79"/>
      <c r="I172" s="77"/>
      <c r="K172" s="79"/>
    </row>
    <row r="173">
      <c r="A173" s="79"/>
      <c r="C173" s="77"/>
      <c r="D173" s="79"/>
      <c r="F173" s="77"/>
      <c r="G173" s="79"/>
      <c r="I173" s="77"/>
      <c r="K173" s="79"/>
    </row>
    <row r="174">
      <c r="A174" s="79"/>
      <c r="C174" s="77"/>
      <c r="D174" s="79"/>
      <c r="F174" s="77"/>
      <c r="G174" s="79"/>
      <c r="I174" s="77"/>
      <c r="K174" s="79"/>
    </row>
    <row r="175">
      <c r="A175" s="79"/>
      <c r="C175" s="77"/>
      <c r="D175" s="79"/>
      <c r="F175" s="77"/>
      <c r="G175" s="79"/>
      <c r="I175" s="77"/>
      <c r="K175" s="79"/>
    </row>
    <row r="176">
      <c r="A176" s="79"/>
      <c r="C176" s="77"/>
      <c r="D176" s="79"/>
      <c r="F176" s="77"/>
      <c r="G176" s="79"/>
      <c r="I176" s="77"/>
      <c r="K176" s="79"/>
    </row>
    <row r="177">
      <c r="A177" s="79"/>
      <c r="C177" s="77"/>
      <c r="D177" s="79"/>
      <c r="F177" s="77"/>
      <c r="G177" s="79"/>
      <c r="I177" s="77"/>
      <c r="K177" s="79"/>
    </row>
    <row r="178">
      <c r="A178" s="79"/>
      <c r="C178" s="77"/>
      <c r="D178" s="79"/>
      <c r="F178" s="77"/>
      <c r="G178" s="79"/>
      <c r="I178" s="77"/>
      <c r="K178" s="79"/>
    </row>
    <row r="179">
      <c r="A179" s="79"/>
      <c r="C179" s="77"/>
      <c r="D179" s="79"/>
      <c r="F179" s="77"/>
      <c r="G179" s="79"/>
      <c r="I179" s="77"/>
      <c r="K179" s="79"/>
    </row>
    <row r="180">
      <c r="A180" s="79"/>
      <c r="C180" s="77"/>
      <c r="D180" s="79"/>
      <c r="F180" s="77"/>
      <c r="G180" s="79"/>
      <c r="I180" s="77"/>
      <c r="K180" s="79"/>
    </row>
    <row r="181">
      <c r="A181" s="79"/>
      <c r="C181" s="77"/>
      <c r="D181" s="79"/>
      <c r="F181" s="77"/>
      <c r="G181" s="79"/>
      <c r="I181" s="77"/>
      <c r="K181" s="79"/>
    </row>
    <row r="182">
      <c r="A182" s="79"/>
      <c r="C182" s="77"/>
      <c r="D182" s="79"/>
      <c r="F182" s="77"/>
      <c r="G182" s="79"/>
      <c r="I182" s="77"/>
      <c r="K182" s="79"/>
    </row>
    <row r="183">
      <c r="A183" s="79"/>
      <c r="C183" s="77"/>
      <c r="D183" s="79"/>
      <c r="F183" s="77"/>
      <c r="G183" s="79"/>
      <c r="I183" s="77"/>
      <c r="K183" s="79"/>
    </row>
    <row r="184">
      <c r="A184" s="79"/>
      <c r="C184" s="77"/>
      <c r="D184" s="79"/>
      <c r="F184" s="77"/>
      <c r="G184" s="79"/>
      <c r="I184" s="77"/>
      <c r="K184" s="79"/>
    </row>
    <row r="185">
      <c r="A185" s="79"/>
      <c r="C185" s="77"/>
      <c r="D185" s="79"/>
      <c r="F185" s="77"/>
      <c r="G185" s="79"/>
      <c r="I185" s="77"/>
      <c r="K185" s="79"/>
    </row>
    <row r="186">
      <c r="A186" s="79"/>
      <c r="C186" s="77"/>
      <c r="D186" s="79"/>
      <c r="F186" s="77"/>
      <c r="G186" s="79"/>
      <c r="I186" s="77"/>
      <c r="K186" s="79"/>
    </row>
    <row r="187">
      <c r="A187" s="79"/>
      <c r="C187" s="77"/>
      <c r="D187" s="79"/>
      <c r="F187" s="77"/>
      <c r="G187" s="79"/>
      <c r="I187" s="77"/>
      <c r="K187" s="79"/>
    </row>
    <row r="188">
      <c r="A188" s="79"/>
      <c r="C188" s="77"/>
      <c r="D188" s="79"/>
      <c r="F188" s="77"/>
      <c r="G188" s="79"/>
      <c r="I188" s="77"/>
      <c r="K188" s="79"/>
    </row>
    <row r="189">
      <c r="A189" s="79"/>
      <c r="C189" s="77"/>
      <c r="D189" s="79"/>
      <c r="F189" s="77"/>
      <c r="G189" s="79"/>
      <c r="I189" s="77"/>
      <c r="K189" s="79"/>
    </row>
    <row r="190">
      <c r="A190" s="79"/>
      <c r="C190" s="77"/>
      <c r="D190" s="79"/>
      <c r="F190" s="77"/>
      <c r="G190" s="79"/>
      <c r="I190" s="77"/>
      <c r="K190" s="79"/>
    </row>
    <row r="191">
      <c r="A191" s="79"/>
      <c r="C191" s="77"/>
      <c r="D191" s="79"/>
      <c r="F191" s="77"/>
      <c r="G191" s="79"/>
      <c r="I191" s="77"/>
      <c r="K191" s="79"/>
    </row>
    <row r="192">
      <c r="A192" s="79"/>
      <c r="C192" s="77"/>
      <c r="D192" s="79"/>
      <c r="F192" s="77"/>
      <c r="G192" s="79"/>
      <c r="I192" s="77"/>
      <c r="K192" s="79"/>
    </row>
    <row r="193">
      <c r="A193" s="79"/>
      <c r="C193" s="77"/>
      <c r="D193" s="79"/>
      <c r="F193" s="77"/>
      <c r="G193" s="79"/>
      <c r="I193" s="77"/>
      <c r="K193" s="79"/>
    </row>
    <row r="194">
      <c r="A194" s="79"/>
      <c r="C194" s="77"/>
      <c r="D194" s="79"/>
      <c r="F194" s="77"/>
      <c r="G194" s="79"/>
      <c r="I194" s="77"/>
      <c r="K194" s="79"/>
    </row>
    <row r="195">
      <c r="A195" s="79"/>
      <c r="C195" s="77"/>
      <c r="D195" s="79"/>
      <c r="F195" s="77"/>
      <c r="G195" s="79"/>
      <c r="I195" s="77"/>
      <c r="K195" s="79"/>
    </row>
    <row r="196">
      <c r="A196" s="79"/>
      <c r="C196" s="77"/>
      <c r="D196" s="79"/>
      <c r="F196" s="77"/>
      <c r="G196" s="79"/>
      <c r="I196" s="77"/>
      <c r="K196" s="79"/>
    </row>
    <row r="197">
      <c r="A197" s="79"/>
      <c r="C197" s="77"/>
      <c r="D197" s="79"/>
      <c r="F197" s="77"/>
      <c r="G197" s="79"/>
      <c r="I197" s="77"/>
      <c r="K197" s="79"/>
    </row>
    <row r="198">
      <c r="A198" s="79"/>
      <c r="C198" s="77"/>
      <c r="D198" s="79"/>
      <c r="F198" s="77"/>
      <c r="G198" s="79"/>
      <c r="I198" s="77"/>
      <c r="K198" s="79"/>
    </row>
    <row r="199">
      <c r="A199" s="79"/>
      <c r="C199" s="77"/>
      <c r="D199" s="79"/>
      <c r="F199" s="77"/>
      <c r="G199" s="79"/>
      <c r="I199" s="77"/>
      <c r="K199" s="79"/>
    </row>
    <row r="200">
      <c r="A200" s="79"/>
      <c r="C200" s="77"/>
      <c r="D200" s="79"/>
      <c r="F200" s="77"/>
      <c r="G200" s="79"/>
      <c r="I200" s="77"/>
      <c r="K200" s="79"/>
    </row>
    <row r="201">
      <c r="A201" s="79"/>
      <c r="C201" s="77"/>
      <c r="D201" s="79"/>
      <c r="F201" s="77"/>
      <c r="G201" s="79"/>
      <c r="I201" s="77"/>
      <c r="K201" s="79"/>
    </row>
    <row r="202">
      <c r="A202" s="79"/>
      <c r="C202" s="77"/>
      <c r="D202" s="79"/>
      <c r="F202" s="77"/>
      <c r="G202" s="79"/>
      <c r="I202" s="77"/>
      <c r="K202" s="79"/>
    </row>
    <row r="203">
      <c r="A203" s="79"/>
      <c r="C203" s="77"/>
      <c r="D203" s="79"/>
      <c r="F203" s="77"/>
      <c r="G203" s="79"/>
      <c r="I203" s="77"/>
      <c r="K203" s="79"/>
    </row>
    <row r="204">
      <c r="A204" s="79"/>
      <c r="C204" s="77"/>
      <c r="D204" s="79"/>
      <c r="F204" s="77"/>
      <c r="G204" s="79"/>
      <c r="I204" s="77"/>
      <c r="K204" s="79"/>
    </row>
    <row r="205">
      <c r="A205" s="79"/>
      <c r="C205" s="77"/>
      <c r="D205" s="79"/>
      <c r="F205" s="77"/>
      <c r="G205" s="79"/>
      <c r="I205" s="77"/>
      <c r="K205" s="79"/>
    </row>
    <row r="206">
      <c r="A206" s="79"/>
      <c r="C206" s="77"/>
      <c r="D206" s="79"/>
      <c r="F206" s="77"/>
      <c r="G206" s="79"/>
      <c r="I206" s="77"/>
      <c r="K206" s="79"/>
    </row>
    <row r="207">
      <c r="A207" s="79"/>
      <c r="C207" s="77"/>
      <c r="D207" s="79"/>
      <c r="F207" s="77"/>
      <c r="G207" s="79"/>
      <c r="I207" s="77"/>
      <c r="K207" s="79"/>
    </row>
    <row r="208">
      <c r="A208" s="79"/>
      <c r="C208" s="77"/>
      <c r="D208" s="79"/>
      <c r="F208" s="77"/>
      <c r="G208" s="79"/>
      <c r="I208" s="77"/>
      <c r="K208" s="79"/>
    </row>
    <row r="209">
      <c r="A209" s="79"/>
      <c r="C209" s="77"/>
      <c r="D209" s="79"/>
      <c r="F209" s="77"/>
      <c r="G209" s="79"/>
      <c r="I209" s="77"/>
      <c r="K209" s="79"/>
    </row>
    <row r="210">
      <c r="A210" s="79"/>
      <c r="C210" s="77"/>
      <c r="D210" s="79"/>
      <c r="F210" s="77"/>
      <c r="G210" s="79"/>
      <c r="I210" s="77"/>
      <c r="K210" s="79"/>
    </row>
    <row r="211">
      <c r="A211" s="79"/>
      <c r="C211" s="77"/>
      <c r="D211" s="79"/>
      <c r="F211" s="77"/>
      <c r="G211" s="79"/>
      <c r="I211" s="77"/>
      <c r="K211" s="79"/>
    </row>
    <row r="212">
      <c r="A212" s="79"/>
      <c r="C212" s="77"/>
      <c r="D212" s="79"/>
      <c r="F212" s="77"/>
      <c r="G212" s="79"/>
      <c r="I212" s="77"/>
      <c r="K212" s="79"/>
    </row>
    <row r="213">
      <c r="A213" s="79"/>
      <c r="C213" s="77"/>
      <c r="D213" s="79"/>
      <c r="F213" s="77"/>
      <c r="G213" s="79"/>
      <c r="I213" s="77"/>
      <c r="K213" s="79"/>
    </row>
    <row r="214">
      <c r="A214" s="79"/>
      <c r="C214" s="77"/>
      <c r="D214" s="79"/>
      <c r="F214" s="77"/>
      <c r="G214" s="79"/>
      <c r="I214" s="77"/>
      <c r="K214" s="79"/>
    </row>
    <row r="215">
      <c r="A215" s="79"/>
      <c r="C215" s="77"/>
      <c r="D215" s="79"/>
      <c r="F215" s="77"/>
      <c r="G215" s="79"/>
      <c r="I215" s="77"/>
      <c r="K215" s="79"/>
    </row>
    <row r="216">
      <c r="A216" s="79"/>
      <c r="C216" s="77"/>
      <c r="D216" s="79"/>
      <c r="F216" s="77"/>
      <c r="G216" s="79"/>
      <c r="I216" s="77"/>
      <c r="K216" s="79"/>
    </row>
    <row r="217">
      <c r="A217" s="79"/>
      <c r="C217" s="77"/>
      <c r="D217" s="79"/>
      <c r="F217" s="77"/>
      <c r="G217" s="79"/>
      <c r="I217" s="77"/>
      <c r="K217" s="79"/>
    </row>
    <row r="218">
      <c r="A218" s="79"/>
      <c r="C218" s="77"/>
      <c r="D218" s="79"/>
      <c r="F218" s="77"/>
      <c r="G218" s="79"/>
      <c r="I218" s="77"/>
      <c r="K218" s="79"/>
    </row>
    <row r="219">
      <c r="A219" s="79"/>
      <c r="C219" s="77"/>
      <c r="D219" s="79"/>
      <c r="F219" s="77"/>
      <c r="G219" s="79"/>
      <c r="I219" s="77"/>
      <c r="K219" s="79"/>
    </row>
    <row r="220">
      <c r="A220" s="79"/>
      <c r="C220" s="77"/>
      <c r="D220" s="79"/>
      <c r="F220" s="77"/>
      <c r="G220" s="79"/>
      <c r="I220" s="77"/>
      <c r="K220" s="79"/>
    </row>
    <row r="221">
      <c r="A221" s="79"/>
      <c r="C221" s="77"/>
      <c r="D221" s="79"/>
      <c r="F221" s="77"/>
      <c r="G221" s="79"/>
      <c r="I221" s="77"/>
      <c r="K221" s="79"/>
    </row>
    <row r="222">
      <c r="A222" s="79"/>
      <c r="C222" s="77"/>
      <c r="D222" s="79"/>
      <c r="F222" s="77"/>
      <c r="G222" s="79"/>
      <c r="I222" s="77"/>
      <c r="K222" s="79"/>
    </row>
    <row r="223">
      <c r="A223" s="79"/>
      <c r="C223" s="77"/>
      <c r="D223" s="79"/>
      <c r="F223" s="77"/>
      <c r="G223" s="79"/>
      <c r="I223" s="77"/>
      <c r="K223" s="79"/>
    </row>
    <row r="224">
      <c r="A224" s="79"/>
      <c r="C224" s="77"/>
      <c r="D224" s="79"/>
      <c r="F224" s="77"/>
      <c r="G224" s="79"/>
      <c r="I224" s="77"/>
      <c r="K224" s="79"/>
    </row>
    <row r="225">
      <c r="A225" s="79"/>
      <c r="C225" s="77"/>
      <c r="D225" s="79"/>
      <c r="F225" s="77"/>
      <c r="G225" s="79"/>
      <c r="I225" s="77"/>
      <c r="K225" s="79"/>
    </row>
    <row r="226">
      <c r="A226" s="79"/>
      <c r="C226" s="77"/>
      <c r="D226" s="79"/>
      <c r="F226" s="77"/>
      <c r="G226" s="79"/>
      <c r="I226" s="77"/>
      <c r="K226" s="79"/>
    </row>
    <row r="227">
      <c r="A227" s="79"/>
      <c r="C227" s="77"/>
      <c r="D227" s="79"/>
      <c r="F227" s="77"/>
      <c r="G227" s="79"/>
      <c r="I227" s="77"/>
      <c r="K227" s="79"/>
    </row>
    <row r="228">
      <c r="A228" s="79"/>
      <c r="C228" s="77"/>
      <c r="D228" s="79"/>
      <c r="F228" s="77"/>
      <c r="G228" s="79"/>
      <c r="I228" s="77"/>
      <c r="K228" s="79"/>
    </row>
    <row r="229">
      <c r="A229" s="79"/>
      <c r="C229" s="77"/>
      <c r="D229" s="79"/>
      <c r="F229" s="77"/>
      <c r="G229" s="79"/>
      <c r="I229" s="77"/>
      <c r="K229" s="79"/>
    </row>
    <row r="230">
      <c r="A230" s="79"/>
      <c r="C230" s="77"/>
      <c r="D230" s="79"/>
      <c r="F230" s="77"/>
      <c r="G230" s="79"/>
      <c r="I230" s="77"/>
      <c r="K230" s="79"/>
    </row>
    <row r="231">
      <c r="A231" s="79"/>
      <c r="C231" s="77"/>
      <c r="D231" s="79"/>
      <c r="F231" s="77"/>
      <c r="G231" s="79"/>
      <c r="I231" s="77"/>
      <c r="K231" s="79"/>
    </row>
    <row r="232">
      <c r="A232" s="79"/>
      <c r="C232" s="77"/>
      <c r="D232" s="79"/>
      <c r="F232" s="77"/>
      <c r="G232" s="79"/>
      <c r="I232" s="77"/>
      <c r="K232" s="79"/>
    </row>
    <row r="233">
      <c r="A233" s="79"/>
      <c r="C233" s="77"/>
      <c r="D233" s="79"/>
      <c r="F233" s="77"/>
      <c r="G233" s="79"/>
      <c r="I233" s="77"/>
      <c r="K233" s="79"/>
    </row>
    <row r="234">
      <c r="A234" s="79"/>
      <c r="C234" s="77"/>
      <c r="D234" s="79"/>
      <c r="F234" s="77"/>
      <c r="G234" s="79"/>
      <c r="I234" s="77"/>
      <c r="K234" s="79"/>
    </row>
    <row r="235">
      <c r="A235" s="79"/>
      <c r="C235" s="77"/>
      <c r="D235" s="79"/>
      <c r="F235" s="77"/>
      <c r="G235" s="79"/>
      <c r="I235" s="77"/>
      <c r="K235" s="79"/>
    </row>
    <row r="236">
      <c r="A236" s="79"/>
      <c r="C236" s="77"/>
      <c r="D236" s="79"/>
      <c r="F236" s="77"/>
      <c r="G236" s="79"/>
      <c r="I236" s="77"/>
      <c r="K236" s="79"/>
    </row>
    <row r="237">
      <c r="A237" s="79"/>
      <c r="C237" s="77"/>
      <c r="D237" s="79"/>
      <c r="F237" s="77"/>
      <c r="G237" s="79"/>
      <c r="I237" s="77"/>
      <c r="K237" s="79"/>
    </row>
    <row r="238">
      <c r="A238" s="79"/>
      <c r="C238" s="77"/>
      <c r="D238" s="79"/>
      <c r="F238" s="77"/>
      <c r="G238" s="79"/>
      <c r="I238" s="77"/>
      <c r="K238" s="79"/>
    </row>
    <row r="239">
      <c r="A239" s="79"/>
      <c r="C239" s="77"/>
      <c r="D239" s="79"/>
      <c r="F239" s="77"/>
      <c r="G239" s="79"/>
      <c r="I239" s="77"/>
      <c r="K239" s="79"/>
    </row>
    <row r="240">
      <c r="A240" s="79"/>
      <c r="C240" s="77"/>
      <c r="D240" s="79"/>
      <c r="F240" s="77"/>
      <c r="G240" s="79"/>
      <c r="I240" s="77"/>
      <c r="K240" s="79"/>
    </row>
    <row r="241">
      <c r="A241" s="79"/>
      <c r="C241" s="77"/>
      <c r="D241" s="79"/>
      <c r="F241" s="77"/>
      <c r="G241" s="79"/>
      <c r="I241" s="77"/>
      <c r="K241" s="79"/>
    </row>
    <row r="242">
      <c r="A242" s="79"/>
      <c r="C242" s="77"/>
      <c r="D242" s="79"/>
      <c r="F242" s="77"/>
      <c r="G242" s="79"/>
      <c r="I242" s="77"/>
      <c r="K242" s="79"/>
    </row>
    <row r="243">
      <c r="A243" s="79"/>
      <c r="C243" s="77"/>
      <c r="D243" s="79"/>
      <c r="F243" s="77"/>
      <c r="G243" s="79"/>
      <c r="I243" s="77"/>
      <c r="K243" s="79"/>
    </row>
    <row r="244">
      <c r="A244" s="79"/>
      <c r="C244" s="77"/>
      <c r="D244" s="79"/>
      <c r="F244" s="77"/>
      <c r="G244" s="79"/>
      <c r="I244" s="77"/>
      <c r="K244" s="79"/>
    </row>
    <row r="245">
      <c r="A245" s="79"/>
      <c r="C245" s="77"/>
      <c r="D245" s="79"/>
      <c r="F245" s="77"/>
      <c r="G245" s="79"/>
      <c r="I245" s="77"/>
      <c r="K245" s="79"/>
    </row>
    <row r="246">
      <c r="A246" s="79"/>
      <c r="C246" s="77"/>
      <c r="D246" s="79"/>
      <c r="F246" s="77"/>
      <c r="G246" s="79"/>
      <c r="I246" s="77"/>
      <c r="K246" s="79"/>
    </row>
    <row r="247">
      <c r="A247" s="79"/>
      <c r="C247" s="77"/>
      <c r="D247" s="79"/>
      <c r="F247" s="77"/>
      <c r="G247" s="79"/>
      <c r="I247" s="77"/>
      <c r="K247" s="79"/>
    </row>
    <row r="248">
      <c r="A248" s="79"/>
      <c r="C248" s="77"/>
      <c r="D248" s="79"/>
      <c r="F248" s="77"/>
      <c r="G248" s="79"/>
      <c r="I248" s="77"/>
      <c r="K248" s="79"/>
    </row>
    <row r="249">
      <c r="A249" s="79"/>
      <c r="C249" s="77"/>
      <c r="D249" s="79"/>
      <c r="F249" s="77"/>
      <c r="G249" s="79"/>
      <c r="I249" s="77"/>
      <c r="K249" s="79"/>
    </row>
    <row r="250">
      <c r="A250" s="79"/>
      <c r="C250" s="77"/>
      <c r="D250" s="79"/>
      <c r="F250" s="77"/>
      <c r="G250" s="79"/>
      <c r="I250" s="77"/>
      <c r="K250" s="79"/>
    </row>
    <row r="251">
      <c r="A251" s="79"/>
      <c r="C251" s="77"/>
      <c r="D251" s="79"/>
      <c r="F251" s="77"/>
      <c r="G251" s="79"/>
      <c r="I251" s="77"/>
      <c r="K251" s="79"/>
    </row>
    <row r="252">
      <c r="A252" s="79"/>
      <c r="C252" s="77"/>
      <c r="D252" s="79"/>
      <c r="F252" s="77"/>
      <c r="G252" s="79"/>
      <c r="I252" s="77"/>
      <c r="K252" s="79"/>
    </row>
    <row r="253">
      <c r="A253" s="79"/>
      <c r="C253" s="77"/>
      <c r="D253" s="79"/>
      <c r="F253" s="77"/>
      <c r="G253" s="79"/>
      <c r="I253" s="77"/>
      <c r="K253" s="79"/>
    </row>
    <row r="254">
      <c r="A254" s="79"/>
      <c r="C254" s="77"/>
      <c r="D254" s="79"/>
      <c r="F254" s="77"/>
      <c r="G254" s="79"/>
      <c r="I254" s="77"/>
      <c r="K254" s="79"/>
    </row>
    <row r="255">
      <c r="A255" s="79"/>
      <c r="C255" s="77"/>
      <c r="D255" s="79"/>
      <c r="F255" s="77"/>
      <c r="G255" s="79"/>
      <c r="I255" s="77"/>
      <c r="K255" s="79"/>
    </row>
    <row r="256">
      <c r="A256" s="79"/>
      <c r="C256" s="77"/>
      <c r="D256" s="79"/>
      <c r="F256" s="77"/>
      <c r="G256" s="79"/>
      <c r="I256" s="77"/>
      <c r="K256" s="79"/>
    </row>
    <row r="257">
      <c r="A257" s="79"/>
      <c r="C257" s="77"/>
      <c r="D257" s="79"/>
      <c r="F257" s="77"/>
      <c r="G257" s="79"/>
      <c r="I257" s="77"/>
      <c r="K257" s="79"/>
    </row>
    <row r="258">
      <c r="A258" s="79"/>
      <c r="C258" s="77"/>
      <c r="D258" s="79"/>
      <c r="F258" s="77"/>
      <c r="G258" s="79"/>
      <c r="I258" s="77"/>
      <c r="K258" s="79"/>
    </row>
    <row r="259">
      <c r="A259" s="79"/>
      <c r="C259" s="77"/>
      <c r="D259" s="79"/>
      <c r="F259" s="77"/>
      <c r="G259" s="79"/>
      <c r="I259" s="77"/>
      <c r="K259" s="79"/>
    </row>
    <row r="260">
      <c r="A260" s="79"/>
      <c r="C260" s="77"/>
      <c r="D260" s="79"/>
      <c r="F260" s="77"/>
      <c r="G260" s="79"/>
      <c r="I260" s="77"/>
      <c r="K260" s="79"/>
    </row>
    <row r="261">
      <c r="A261" s="79"/>
      <c r="C261" s="77"/>
      <c r="D261" s="79"/>
      <c r="F261" s="77"/>
      <c r="G261" s="79"/>
      <c r="I261" s="77"/>
      <c r="K261" s="79"/>
    </row>
    <row r="262">
      <c r="A262" s="79"/>
      <c r="C262" s="77"/>
      <c r="D262" s="79"/>
      <c r="F262" s="77"/>
      <c r="G262" s="79"/>
      <c r="I262" s="77"/>
      <c r="K262" s="79"/>
    </row>
    <row r="263">
      <c r="A263" s="79"/>
      <c r="C263" s="77"/>
      <c r="D263" s="79"/>
      <c r="F263" s="77"/>
      <c r="G263" s="79"/>
      <c r="I263" s="77"/>
      <c r="K263" s="79"/>
    </row>
    <row r="264">
      <c r="A264" s="79"/>
      <c r="C264" s="77"/>
      <c r="D264" s="79"/>
      <c r="F264" s="77"/>
      <c r="G264" s="79"/>
      <c r="I264" s="77"/>
      <c r="K264" s="79"/>
    </row>
    <row r="265">
      <c r="A265" s="79"/>
      <c r="C265" s="77"/>
      <c r="D265" s="79"/>
      <c r="F265" s="77"/>
      <c r="G265" s="79"/>
      <c r="I265" s="77"/>
      <c r="K265" s="79"/>
    </row>
    <row r="266">
      <c r="A266" s="79"/>
      <c r="C266" s="77"/>
      <c r="D266" s="79"/>
      <c r="F266" s="77"/>
      <c r="G266" s="79"/>
      <c r="I266" s="77"/>
      <c r="K266" s="79"/>
    </row>
    <row r="267">
      <c r="A267" s="79"/>
      <c r="C267" s="77"/>
      <c r="D267" s="79"/>
      <c r="F267" s="77"/>
      <c r="G267" s="79"/>
      <c r="I267" s="77"/>
      <c r="K267" s="79"/>
    </row>
    <row r="268">
      <c r="A268" s="79"/>
      <c r="C268" s="77"/>
      <c r="D268" s="79"/>
      <c r="F268" s="77"/>
      <c r="G268" s="79"/>
      <c r="I268" s="77"/>
      <c r="K268" s="79"/>
    </row>
    <row r="269">
      <c r="A269" s="79"/>
      <c r="C269" s="77"/>
      <c r="D269" s="79"/>
      <c r="F269" s="77"/>
      <c r="G269" s="79"/>
      <c r="I269" s="77"/>
      <c r="K269" s="79"/>
    </row>
    <row r="270">
      <c r="A270" s="79"/>
      <c r="C270" s="77"/>
      <c r="D270" s="79"/>
      <c r="F270" s="77"/>
      <c r="G270" s="79"/>
      <c r="I270" s="77"/>
      <c r="K270" s="79"/>
    </row>
    <row r="271">
      <c r="A271" s="79"/>
      <c r="C271" s="77"/>
      <c r="D271" s="79"/>
      <c r="F271" s="77"/>
      <c r="G271" s="79"/>
      <c r="I271" s="77"/>
      <c r="K271" s="79"/>
    </row>
    <row r="272">
      <c r="A272" s="79"/>
      <c r="C272" s="77"/>
      <c r="D272" s="79"/>
      <c r="F272" s="77"/>
      <c r="G272" s="79"/>
      <c r="I272" s="77"/>
      <c r="K272" s="79"/>
    </row>
    <row r="273">
      <c r="A273" s="79"/>
      <c r="C273" s="77"/>
      <c r="D273" s="79"/>
      <c r="F273" s="77"/>
      <c r="G273" s="79"/>
      <c r="I273" s="77"/>
      <c r="K273" s="79"/>
    </row>
    <row r="274">
      <c r="A274" s="79"/>
      <c r="C274" s="77"/>
      <c r="D274" s="79"/>
      <c r="F274" s="77"/>
      <c r="G274" s="79"/>
      <c r="I274" s="77"/>
      <c r="K274" s="79"/>
    </row>
    <row r="275">
      <c r="A275" s="79"/>
      <c r="C275" s="77"/>
      <c r="D275" s="79"/>
      <c r="F275" s="77"/>
      <c r="G275" s="79"/>
      <c r="I275" s="77"/>
      <c r="K275" s="79"/>
    </row>
    <row r="276">
      <c r="A276" s="79"/>
      <c r="C276" s="77"/>
      <c r="D276" s="79"/>
      <c r="F276" s="77"/>
      <c r="G276" s="79"/>
      <c r="I276" s="77"/>
      <c r="K276" s="79"/>
    </row>
    <row r="277">
      <c r="A277" s="79"/>
      <c r="C277" s="77"/>
      <c r="D277" s="79"/>
      <c r="F277" s="77"/>
      <c r="G277" s="79"/>
      <c r="I277" s="77"/>
      <c r="K277" s="79"/>
    </row>
    <row r="278">
      <c r="A278" s="79"/>
      <c r="C278" s="77"/>
      <c r="D278" s="79"/>
      <c r="F278" s="77"/>
      <c r="G278" s="79"/>
      <c r="I278" s="77"/>
      <c r="K278" s="79"/>
    </row>
    <row r="279">
      <c r="A279" s="79"/>
      <c r="C279" s="77"/>
      <c r="D279" s="79"/>
      <c r="F279" s="77"/>
      <c r="G279" s="79"/>
      <c r="I279" s="77"/>
      <c r="K279" s="79"/>
    </row>
    <row r="280">
      <c r="A280" s="79"/>
      <c r="C280" s="77"/>
      <c r="D280" s="79"/>
      <c r="F280" s="77"/>
      <c r="G280" s="79"/>
      <c r="I280" s="77"/>
      <c r="K280" s="79"/>
    </row>
    <row r="281">
      <c r="A281" s="79"/>
      <c r="C281" s="77"/>
      <c r="D281" s="79"/>
      <c r="F281" s="77"/>
      <c r="G281" s="79"/>
      <c r="I281" s="77"/>
      <c r="K281" s="79"/>
    </row>
    <row r="282">
      <c r="A282" s="79"/>
      <c r="C282" s="77"/>
      <c r="D282" s="79"/>
      <c r="F282" s="77"/>
      <c r="G282" s="79"/>
      <c r="I282" s="77"/>
      <c r="K282" s="79"/>
    </row>
    <row r="283">
      <c r="A283" s="79"/>
      <c r="C283" s="77"/>
      <c r="D283" s="79"/>
      <c r="F283" s="77"/>
      <c r="G283" s="79"/>
      <c r="I283" s="77"/>
      <c r="K283" s="79"/>
    </row>
    <row r="284">
      <c r="A284" s="79"/>
      <c r="C284" s="77"/>
      <c r="D284" s="79"/>
      <c r="F284" s="77"/>
      <c r="G284" s="79"/>
      <c r="I284" s="77"/>
      <c r="K284" s="79"/>
    </row>
    <row r="285">
      <c r="A285" s="79"/>
      <c r="C285" s="77"/>
      <c r="D285" s="79"/>
      <c r="F285" s="77"/>
      <c r="G285" s="79"/>
      <c r="I285" s="77"/>
      <c r="K285" s="79"/>
    </row>
    <row r="286">
      <c r="A286" s="79"/>
      <c r="C286" s="77"/>
      <c r="D286" s="79"/>
      <c r="F286" s="77"/>
      <c r="G286" s="79"/>
      <c r="I286" s="77"/>
      <c r="K286" s="79"/>
    </row>
    <row r="287">
      <c r="A287" s="79"/>
      <c r="C287" s="77"/>
      <c r="D287" s="79"/>
      <c r="F287" s="77"/>
      <c r="G287" s="79"/>
      <c r="I287" s="77"/>
      <c r="K287" s="79"/>
    </row>
    <row r="288">
      <c r="A288" s="79"/>
      <c r="C288" s="77"/>
      <c r="D288" s="79"/>
      <c r="F288" s="77"/>
      <c r="G288" s="79"/>
      <c r="I288" s="77"/>
      <c r="K288" s="79"/>
    </row>
    <row r="289">
      <c r="A289" s="79"/>
      <c r="C289" s="77"/>
      <c r="D289" s="79"/>
      <c r="F289" s="77"/>
      <c r="G289" s="79"/>
      <c r="I289" s="77"/>
      <c r="K289" s="79"/>
    </row>
    <row r="290">
      <c r="A290" s="79"/>
      <c r="C290" s="77"/>
      <c r="D290" s="79"/>
      <c r="F290" s="77"/>
      <c r="G290" s="79"/>
      <c r="I290" s="77"/>
      <c r="K290" s="79"/>
    </row>
    <row r="291">
      <c r="A291" s="79"/>
      <c r="C291" s="77"/>
      <c r="D291" s="79"/>
      <c r="F291" s="77"/>
      <c r="G291" s="79"/>
      <c r="I291" s="77"/>
      <c r="K291" s="79"/>
    </row>
    <row r="292">
      <c r="A292" s="79"/>
      <c r="C292" s="77"/>
      <c r="D292" s="79"/>
      <c r="F292" s="77"/>
      <c r="G292" s="79"/>
      <c r="I292" s="77"/>
      <c r="K292" s="79"/>
    </row>
    <row r="293">
      <c r="A293" s="79"/>
      <c r="C293" s="77"/>
      <c r="D293" s="79"/>
      <c r="F293" s="77"/>
      <c r="G293" s="79"/>
      <c r="I293" s="77"/>
      <c r="K293" s="79"/>
    </row>
    <row r="294">
      <c r="A294" s="79"/>
      <c r="C294" s="77"/>
      <c r="D294" s="79"/>
      <c r="F294" s="77"/>
      <c r="G294" s="79"/>
      <c r="I294" s="77"/>
      <c r="K294" s="79"/>
    </row>
    <row r="295">
      <c r="A295" s="79"/>
      <c r="C295" s="77"/>
      <c r="D295" s="79"/>
      <c r="F295" s="77"/>
      <c r="G295" s="79"/>
      <c r="I295" s="77"/>
      <c r="K295" s="79"/>
    </row>
    <row r="296">
      <c r="A296" s="79"/>
      <c r="C296" s="77"/>
      <c r="D296" s="79"/>
      <c r="F296" s="77"/>
      <c r="G296" s="79"/>
      <c r="I296" s="77"/>
      <c r="K296" s="79"/>
    </row>
    <row r="297">
      <c r="A297" s="79"/>
      <c r="C297" s="77"/>
      <c r="D297" s="79"/>
      <c r="F297" s="77"/>
      <c r="G297" s="79"/>
      <c r="I297" s="77"/>
      <c r="K297" s="79"/>
    </row>
    <row r="298">
      <c r="A298" s="79"/>
      <c r="C298" s="77"/>
      <c r="D298" s="79"/>
      <c r="F298" s="77"/>
      <c r="G298" s="79"/>
      <c r="I298" s="77"/>
      <c r="K298" s="79"/>
    </row>
    <row r="299">
      <c r="A299" s="79"/>
      <c r="C299" s="77"/>
      <c r="D299" s="79"/>
      <c r="F299" s="77"/>
      <c r="G299" s="79"/>
      <c r="I299" s="77"/>
      <c r="K299" s="79"/>
    </row>
    <row r="300">
      <c r="A300" s="79"/>
      <c r="C300" s="77"/>
      <c r="D300" s="79"/>
      <c r="F300" s="77"/>
      <c r="G300" s="79"/>
      <c r="I300" s="77"/>
      <c r="K300" s="79"/>
    </row>
    <row r="301">
      <c r="A301" s="79"/>
      <c r="C301" s="77"/>
      <c r="D301" s="79"/>
      <c r="F301" s="77"/>
      <c r="G301" s="79"/>
      <c r="I301" s="77"/>
      <c r="K301" s="79"/>
    </row>
    <row r="302">
      <c r="A302" s="79"/>
      <c r="C302" s="77"/>
      <c r="D302" s="79"/>
      <c r="F302" s="77"/>
      <c r="G302" s="79"/>
      <c r="I302" s="77"/>
      <c r="K302" s="79"/>
    </row>
    <row r="303">
      <c r="A303" s="79"/>
      <c r="C303" s="77"/>
      <c r="D303" s="79"/>
      <c r="F303" s="77"/>
      <c r="G303" s="79"/>
      <c r="I303" s="77"/>
      <c r="K303" s="79"/>
    </row>
    <row r="304">
      <c r="A304" s="79"/>
      <c r="C304" s="77"/>
      <c r="D304" s="79"/>
      <c r="F304" s="77"/>
      <c r="G304" s="79"/>
      <c r="I304" s="77"/>
      <c r="K304" s="79"/>
    </row>
    <row r="305">
      <c r="A305" s="79"/>
      <c r="C305" s="77"/>
      <c r="D305" s="79"/>
      <c r="F305" s="77"/>
      <c r="G305" s="79"/>
      <c r="I305" s="77"/>
      <c r="K305" s="79"/>
    </row>
    <row r="306">
      <c r="A306" s="79"/>
      <c r="C306" s="77"/>
      <c r="D306" s="79"/>
      <c r="F306" s="77"/>
      <c r="G306" s="79"/>
      <c r="I306" s="77"/>
      <c r="K306" s="79"/>
    </row>
    <row r="307">
      <c r="A307" s="79"/>
      <c r="C307" s="77"/>
      <c r="D307" s="79"/>
      <c r="F307" s="77"/>
      <c r="G307" s="79"/>
      <c r="I307" s="77"/>
      <c r="K307" s="79"/>
    </row>
    <row r="308">
      <c r="A308" s="79"/>
      <c r="C308" s="77"/>
      <c r="D308" s="79"/>
      <c r="F308" s="77"/>
      <c r="G308" s="79"/>
      <c r="I308" s="77"/>
      <c r="K308" s="79"/>
    </row>
    <row r="309">
      <c r="A309" s="79"/>
      <c r="C309" s="77"/>
      <c r="D309" s="79"/>
      <c r="F309" s="77"/>
      <c r="G309" s="79"/>
      <c r="I309" s="77"/>
      <c r="K309" s="79"/>
    </row>
    <row r="310">
      <c r="A310" s="79"/>
      <c r="C310" s="77"/>
      <c r="D310" s="79"/>
      <c r="F310" s="77"/>
      <c r="G310" s="79"/>
      <c r="I310" s="77"/>
      <c r="K310" s="79"/>
    </row>
    <row r="311">
      <c r="A311" s="79"/>
      <c r="C311" s="77"/>
      <c r="D311" s="79"/>
      <c r="F311" s="77"/>
      <c r="G311" s="79"/>
      <c r="I311" s="77"/>
      <c r="K311" s="79"/>
    </row>
    <row r="312">
      <c r="A312" s="79"/>
      <c r="C312" s="77"/>
      <c r="D312" s="79"/>
      <c r="F312" s="77"/>
      <c r="G312" s="79"/>
      <c r="I312" s="77"/>
      <c r="K312" s="79"/>
    </row>
    <row r="313">
      <c r="A313" s="79"/>
      <c r="C313" s="77"/>
      <c r="D313" s="79"/>
      <c r="F313" s="77"/>
      <c r="G313" s="79"/>
      <c r="I313" s="77"/>
      <c r="K313" s="79"/>
    </row>
    <row r="314">
      <c r="A314" s="79"/>
      <c r="C314" s="77"/>
      <c r="D314" s="79"/>
      <c r="F314" s="77"/>
      <c r="G314" s="79"/>
      <c r="I314" s="77"/>
      <c r="K314" s="79"/>
    </row>
    <row r="315">
      <c r="A315" s="79"/>
      <c r="C315" s="77"/>
      <c r="D315" s="79"/>
      <c r="F315" s="77"/>
      <c r="G315" s="79"/>
      <c r="I315" s="77"/>
      <c r="K315" s="79"/>
    </row>
    <row r="316">
      <c r="A316" s="79"/>
      <c r="C316" s="77"/>
      <c r="D316" s="79"/>
      <c r="F316" s="77"/>
      <c r="G316" s="79"/>
      <c r="I316" s="77"/>
      <c r="K316" s="79"/>
    </row>
    <row r="317">
      <c r="A317" s="79"/>
      <c r="C317" s="77"/>
      <c r="D317" s="79"/>
      <c r="F317" s="77"/>
      <c r="G317" s="79"/>
      <c r="I317" s="77"/>
      <c r="K317" s="79"/>
    </row>
    <row r="318">
      <c r="A318" s="79"/>
      <c r="C318" s="77"/>
      <c r="D318" s="79"/>
      <c r="F318" s="77"/>
      <c r="G318" s="79"/>
      <c r="I318" s="77"/>
      <c r="K318" s="79"/>
    </row>
    <row r="319">
      <c r="A319" s="79"/>
      <c r="C319" s="77"/>
      <c r="D319" s="79"/>
      <c r="F319" s="77"/>
      <c r="G319" s="79"/>
      <c r="I319" s="77"/>
      <c r="K319" s="79"/>
    </row>
    <row r="320">
      <c r="A320" s="79"/>
      <c r="C320" s="77"/>
      <c r="D320" s="79"/>
      <c r="F320" s="77"/>
      <c r="G320" s="79"/>
      <c r="I320" s="77"/>
      <c r="K320" s="79"/>
    </row>
    <row r="321">
      <c r="A321" s="79"/>
      <c r="C321" s="77"/>
      <c r="D321" s="79"/>
      <c r="F321" s="77"/>
      <c r="G321" s="79"/>
      <c r="I321" s="77"/>
      <c r="K321" s="79"/>
    </row>
    <row r="322">
      <c r="A322" s="79"/>
      <c r="C322" s="77"/>
      <c r="D322" s="79"/>
      <c r="F322" s="77"/>
      <c r="G322" s="79"/>
      <c r="I322" s="77"/>
      <c r="K322" s="79"/>
    </row>
    <row r="323">
      <c r="A323" s="79"/>
      <c r="C323" s="77"/>
      <c r="D323" s="79"/>
      <c r="F323" s="77"/>
      <c r="G323" s="79"/>
      <c r="I323" s="77"/>
      <c r="K323" s="79"/>
    </row>
    <row r="324">
      <c r="A324" s="79"/>
      <c r="C324" s="77"/>
      <c r="D324" s="79"/>
      <c r="F324" s="77"/>
      <c r="G324" s="79"/>
      <c r="I324" s="77"/>
      <c r="K324" s="79"/>
    </row>
    <row r="325">
      <c r="A325" s="79"/>
      <c r="C325" s="77"/>
      <c r="D325" s="79"/>
      <c r="F325" s="77"/>
      <c r="G325" s="79"/>
      <c r="I325" s="77"/>
      <c r="K325" s="79"/>
    </row>
    <row r="326">
      <c r="A326" s="79"/>
      <c r="C326" s="77"/>
      <c r="D326" s="79"/>
      <c r="F326" s="77"/>
      <c r="G326" s="79"/>
      <c r="I326" s="77"/>
      <c r="K326" s="79"/>
    </row>
    <row r="327">
      <c r="A327" s="79"/>
      <c r="C327" s="77"/>
      <c r="D327" s="79"/>
      <c r="F327" s="77"/>
      <c r="G327" s="79"/>
      <c r="I327" s="77"/>
      <c r="K327" s="79"/>
    </row>
    <row r="328">
      <c r="A328" s="79"/>
      <c r="C328" s="77"/>
      <c r="D328" s="79"/>
      <c r="F328" s="77"/>
      <c r="G328" s="79"/>
      <c r="I328" s="77"/>
      <c r="K328" s="79"/>
    </row>
    <row r="329">
      <c r="A329" s="79"/>
      <c r="C329" s="77"/>
      <c r="D329" s="79"/>
      <c r="F329" s="77"/>
      <c r="G329" s="79"/>
      <c r="I329" s="77"/>
      <c r="K329" s="79"/>
    </row>
    <row r="330">
      <c r="A330" s="79"/>
      <c r="C330" s="77"/>
      <c r="D330" s="79"/>
      <c r="F330" s="77"/>
      <c r="G330" s="79"/>
      <c r="I330" s="77"/>
      <c r="K330" s="79"/>
    </row>
    <row r="331">
      <c r="A331" s="79"/>
      <c r="C331" s="77"/>
      <c r="D331" s="79"/>
      <c r="F331" s="77"/>
      <c r="G331" s="79"/>
      <c r="I331" s="77"/>
      <c r="K331" s="79"/>
    </row>
    <row r="332">
      <c r="A332" s="79"/>
      <c r="C332" s="77"/>
      <c r="D332" s="79"/>
      <c r="F332" s="77"/>
      <c r="G332" s="79"/>
      <c r="I332" s="77"/>
      <c r="K332" s="79"/>
    </row>
    <row r="333">
      <c r="A333" s="79"/>
      <c r="C333" s="77"/>
      <c r="D333" s="79"/>
      <c r="F333" s="77"/>
      <c r="G333" s="79"/>
      <c r="I333" s="77"/>
      <c r="K333" s="79"/>
    </row>
    <row r="334">
      <c r="A334" s="79"/>
      <c r="C334" s="77"/>
      <c r="D334" s="79"/>
      <c r="F334" s="77"/>
      <c r="G334" s="79"/>
      <c r="I334" s="77"/>
      <c r="K334" s="79"/>
    </row>
    <row r="335">
      <c r="A335" s="79"/>
      <c r="C335" s="77"/>
      <c r="D335" s="79"/>
      <c r="F335" s="77"/>
      <c r="G335" s="79"/>
      <c r="I335" s="77"/>
      <c r="K335" s="79"/>
    </row>
    <row r="336">
      <c r="A336" s="79"/>
      <c r="C336" s="77"/>
      <c r="D336" s="79"/>
      <c r="F336" s="77"/>
      <c r="G336" s="79"/>
      <c r="I336" s="77"/>
      <c r="K336" s="79"/>
    </row>
    <row r="337">
      <c r="A337" s="79"/>
      <c r="C337" s="77"/>
      <c r="D337" s="79"/>
      <c r="F337" s="77"/>
      <c r="G337" s="79"/>
      <c r="I337" s="77"/>
      <c r="K337" s="79"/>
    </row>
    <row r="338">
      <c r="A338" s="79"/>
      <c r="C338" s="77"/>
      <c r="D338" s="79"/>
      <c r="F338" s="77"/>
      <c r="G338" s="79"/>
      <c r="I338" s="77"/>
      <c r="K338" s="79"/>
    </row>
    <row r="339">
      <c r="A339" s="79"/>
      <c r="C339" s="77"/>
      <c r="D339" s="79"/>
      <c r="F339" s="77"/>
      <c r="G339" s="79"/>
      <c r="I339" s="77"/>
      <c r="K339" s="79"/>
    </row>
    <row r="340">
      <c r="A340" s="79"/>
      <c r="C340" s="77"/>
      <c r="D340" s="79"/>
      <c r="F340" s="77"/>
      <c r="G340" s="79"/>
      <c r="I340" s="77"/>
      <c r="K340" s="79"/>
    </row>
    <row r="341">
      <c r="A341" s="79"/>
      <c r="C341" s="77"/>
      <c r="D341" s="79"/>
      <c r="F341" s="77"/>
      <c r="G341" s="79"/>
      <c r="I341" s="77"/>
      <c r="K341" s="79"/>
    </row>
    <row r="342">
      <c r="A342" s="79"/>
      <c r="C342" s="77"/>
      <c r="D342" s="79"/>
      <c r="F342" s="77"/>
      <c r="G342" s="79"/>
      <c r="I342" s="77"/>
      <c r="K342" s="79"/>
    </row>
    <row r="343">
      <c r="A343" s="79"/>
      <c r="C343" s="77"/>
      <c r="D343" s="79"/>
      <c r="F343" s="77"/>
      <c r="G343" s="79"/>
      <c r="I343" s="77"/>
      <c r="K343" s="79"/>
    </row>
    <row r="344">
      <c r="A344" s="79"/>
      <c r="C344" s="77"/>
      <c r="D344" s="79"/>
      <c r="F344" s="77"/>
      <c r="G344" s="79"/>
      <c r="I344" s="77"/>
      <c r="K344" s="79"/>
    </row>
    <row r="345">
      <c r="A345" s="79"/>
      <c r="C345" s="77"/>
      <c r="D345" s="79"/>
      <c r="F345" s="77"/>
      <c r="G345" s="79"/>
      <c r="I345" s="77"/>
      <c r="K345" s="79"/>
    </row>
    <row r="346">
      <c r="A346" s="79"/>
      <c r="C346" s="77"/>
      <c r="D346" s="79"/>
      <c r="F346" s="77"/>
      <c r="G346" s="79"/>
      <c r="I346" s="77"/>
      <c r="K346" s="79"/>
    </row>
    <row r="347">
      <c r="A347" s="79"/>
      <c r="C347" s="77"/>
      <c r="D347" s="79"/>
      <c r="F347" s="77"/>
      <c r="G347" s="79"/>
      <c r="I347" s="77"/>
      <c r="K347" s="79"/>
    </row>
    <row r="348">
      <c r="A348" s="79"/>
      <c r="C348" s="77"/>
      <c r="D348" s="79"/>
      <c r="F348" s="77"/>
      <c r="G348" s="79"/>
      <c r="I348" s="77"/>
      <c r="K348" s="79"/>
    </row>
    <row r="349">
      <c r="A349" s="79"/>
      <c r="C349" s="77"/>
      <c r="D349" s="79"/>
      <c r="F349" s="77"/>
      <c r="G349" s="79"/>
      <c r="I349" s="77"/>
      <c r="K349" s="79"/>
    </row>
    <row r="350">
      <c r="A350" s="79"/>
      <c r="C350" s="77"/>
      <c r="D350" s="79"/>
      <c r="F350" s="77"/>
      <c r="G350" s="79"/>
      <c r="I350" s="77"/>
      <c r="K350" s="79"/>
    </row>
    <row r="351">
      <c r="A351" s="79"/>
      <c r="C351" s="77"/>
      <c r="D351" s="79"/>
      <c r="F351" s="77"/>
      <c r="G351" s="79"/>
      <c r="I351" s="77"/>
      <c r="K351" s="79"/>
    </row>
    <row r="352">
      <c r="A352" s="79"/>
      <c r="C352" s="77"/>
      <c r="D352" s="79"/>
      <c r="F352" s="77"/>
      <c r="G352" s="79"/>
      <c r="I352" s="77"/>
      <c r="K352" s="79"/>
    </row>
    <row r="353">
      <c r="A353" s="79"/>
      <c r="C353" s="77"/>
      <c r="D353" s="79"/>
      <c r="F353" s="77"/>
      <c r="G353" s="79"/>
      <c r="I353" s="77"/>
      <c r="K353" s="79"/>
    </row>
    <row r="354">
      <c r="A354" s="79"/>
      <c r="C354" s="77"/>
      <c r="D354" s="79"/>
      <c r="F354" s="77"/>
      <c r="G354" s="79"/>
      <c r="I354" s="77"/>
      <c r="K354" s="79"/>
    </row>
    <row r="355">
      <c r="A355" s="79"/>
      <c r="C355" s="77"/>
      <c r="D355" s="79"/>
      <c r="F355" s="77"/>
      <c r="G355" s="79"/>
      <c r="I355" s="77"/>
      <c r="K355" s="79"/>
    </row>
    <row r="356">
      <c r="A356" s="79"/>
      <c r="C356" s="77"/>
      <c r="D356" s="79"/>
      <c r="F356" s="77"/>
      <c r="G356" s="79"/>
      <c r="I356" s="77"/>
      <c r="K356" s="79"/>
    </row>
    <row r="357">
      <c r="A357" s="79"/>
      <c r="C357" s="77"/>
      <c r="D357" s="79"/>
      <c r="F357" s="77"/>
      <c r="G357" s="79"/>
      <c r="I357" s="77"/>
      <c r="K357" s="79"/>
    </row>
    <row r="358">
      <c r="A358" s="79"/>
      <c r="C358" s="77"/>
      <c r="D358" s="79"/>
      <c r="F358" s="77"/>
      <c r="G358" s="79"/>
      <c r="I358" s="77"/>
      <c r="K358" s="79"/>
    </row>
    <row r="359">
      <c r="A359" s="79"/>
      <c r="C359" s="77"/>
      <c r="D359" s="79"/>
      <c r="F359" s="77"/>
      <c r="G359" s="79"/>
      <c r="I359" s="77"/>
      <c r="K359" s="79"/>
    </row>
    <row r="360">
      <c r="A360" s="79"/>
      <c r="C360" s="77"/>
      <c r="D360" s="79"/>
      <c r="F360" s="77"/>
      <c r="G360" s="79"/>
      <c r="I360" s="77"/>
      <c r="K360" s="79"/>
    </row>
    <row r="361">
      <c r="A361" s="79"/>
      <c r="C361" s="77"/>
      <c r="D361" s="79"/>
      <c r="F361" s="77"/>
      <c r="G361" s="79"/>
      <c r="I361" s="77"/>
      <c r="K361" s="79"/>
    </row>
    <row r="362">
      <c r="A362" s="79"/>
      <c r="C362" s="77"/>
      <c r="D362" s="79"/>
      <c r="F362" s="77"/>
      <c r="G362" s="79"/>
      <c r="I362" s="77"/>
      <c r="K362" s="79"/>
    </row>
    <row r="363">
      <c r="A363" s="79"/>
      <c r="C363" s="77"/>
      <c r="D363" s="79"/>
      <c r="F363" s="77"/>
      <c r="G363" s="79"/>
      <c r="I363" s="77"/>
      <c r="K363" s="79"/>
    </row>
    <row r="364">
      <c r="A364" s="79"/>
      <c r="C364" s="77"/>
      <c r="D364" s="79"/>
      <c r="F364" s="77"/>
      <c r="G364" s="79"/>
      <c r="I364" s="77"/>
      <c r="K364" s="79"/>
    </row>
    <row r="365">
      <c r="A365" s="79"/>
      <c r="C365" s="77"/>
      <c r="D365" s="79"/>
      <c r="F365" s="77"/>
      <c r="G365" s="79"/>
      <c r="I365" s="77"/>
      <c r="K365" s="79"/>
    </row>
    <row r="366">
      <c r="A366" s="79"/>
      <c r="C366" s="77"/>
      <c r="D366" s="79"/>
      <c r="F366" s="77"/>
      <c r="G366" s="79"/>
      <c r="I366" s="77"/>
      <c r="K366" s="79"/>
    </row>
    <row r="367">
      <c r="A367" s="79"/>
      <c r="C367" s="77"/>
      <c r="D367" s="79"/>
      <c r="F367" s="77"/>
      <c r="G367" s="79"/>
      <c r="I367" s="77"/>
      <c r="K367" s="79"/>
    </row>
    <row r="368">
      <c r="A368" s="79"/>
      <c r="C368" s="77"/>
      <c r="D368" s="79"/>
      <c r="F368" s="77"/>
      <c r="G368" s="79"/>
      <c r="I368" s="77"/>
      <c r="K368" s="79"/>
    </row>
    <row r="369">
      <c r="A369" s="79"/>
      <c r="C369" s="77"/>
      <c r="D369" s="79"/>
      <c r="F369" s="77"/>
      <c r="G369" s="79"/>
      <c r="I369" s="77"/>
      <c r="K369" s="79"/>
    </row>
    <row r="370">
      <c r="A370" s="79"/>
      <c r="C370" s="77"/>
      <c r="D370" s="79"/>
      <c r="F370" s="77"/>
      <c r="G370" s="79"/>
      <c r="I370" s="77"/>
      <c r="K370" s="79"/>
    </row>
    <row r="371">
      <c r="A371" s="79"/>
      <c r="C371" s="77"/>
      <c r="D371" s="79"/>
      <c r="F371" s="77"/>
      <c r="G371" s="79"/>
      <c r="I371" s="77"/>
      <c r="K371" s="79"/>
    </row>
    <row r="372">
      <c r="A372" s="79"/>
      <c r="C372" s="77"/>
      <c r="D372" s="79"/>
      <c r="F372" s="77"/>
      <c r="G372" s="79"/>
      <c r="I372" s="77"/>
      <c r="K372" s="79"/>
    </row>
    <row r="373">
      <c r="A373" s="79"/>
      <c r="C373" s="77"/>
      <c r="D373" s="79"/>
      <c r="F373" s="77"/>
      <c r="G373" s="79"/>
      <c r="I373" s="77"/>
      <c r="K373" s="79"/>
    </row>
    <row r="374">
      <c r="A374" s="79"/>
      <c r="C374" s="77"/>
      <c r="D374" s="79"/>
      <c r="F374" s="77"/>
      <c r="G374" s="79"/>
      <c r="I374" s="77"/>
      <c r="K374" s="79"/>
    </row>
    <row r="375">
      <c r="A375" s="79"/>
      <c r="C375" s="77"/>
      <c r="D375" s="79"/>
      <c r="F375" s="77"/>
      <c r="G375" s="79"/>
      <c r="I375" s="77"/>
      <c r="K375" s="79"/>
    </row>
    <row r="376">
      <c r="A376" s="79"/>
      <c r="C376" s="77"/>
      <c r="D376" s="79"/>
      <c r="F376" s="77"/>
      <c r="G376" s="79"/>
      <c r="I376" s="77"/>
      <c r="K376" s="79"/>
    </row>
    <row r="377">
      <c r="A377" s="79"/>
      <c r="C377" s="77"/>
      <c r="D377" s="79"/>
      <c r="F377" s="77"/>
      <c r="G377" s="79"/>
      <c r="I377" s="77"/>
      <c r="K377" s="79"/>
    </row>
    <row r="378">
      <c r="A378" s="79"/>
      <c r="C378" s="77"/>
      <c r="D378" s="79"/>
      <c r="F378" s="77"/>
      <c r="G378" s="79"/>
      <c r="I378" s="77"/>
      <c r="K378" s="79"/>
    </row>
    <row r="379">
      <c r="A379" s="79"/>
      <c r="C379" s="77"/>
      <c r="D379" s="79"/>
      <c r="F379" s="77"/>
      <c r="G379" s="79"/>
      <c r="I379" s="77"/>
      <c r="K379" s="79"/>
    </row>
    <row r="380">
      <c r="A380" s="79"/>
      <c r="C380" s="77"/>
      <c r="D380" s="79"/>
      <c r="F380" s="77"/>
      <c r="G380" s="79"/>
      <c r="I380" s="77"/>
      <c r="K380" s="79"/>
    </row>
    <row r="381">
      <c r="A381" s="79"/>
      <c r="C381" s="77"/>
      <c r="D381" s="79"/>
      <c r="F381" s="77"/>
      <c r="G381" s="79"/>
      <c r="I381" s="77"/>
      <c r="K381" s="79"/>
    </row>
    <row r="382">
      <c r="A382" s="79"/>
      <c r="C382" s="77"/>
      <c r="D382" s="79"/>
      <c r="F382" s="77"/>
      <c r="G382" s="79"/>
      <c r="I382" s="77"/>
      <c r="K382" s="79"/>
    </row>
    <row r="383">
      <c r="A383" s="79"/>
      <c r="C383" s="77"/>
      <c r="D383" s="79"/>
      <c r="F383" s="77"/>
      <c r="G383" s="79"/>
      <c r="I383" s="77"/>
      <c r="K383" s="79"/>
    </row>
    <row r="384">
      <c r="A384" s="79"/>
      <c r="C384" s="77"/>
      <c r="D384" s="79"/>
      <c r="F384" s="77"/>
      <c r="G384" s="79"/>
      <c r="I384" s="77"/>
      <c r="K384" s="79"/>
    </row>
    <row r="385">
      <c r="A385" s="79"/>
      <c r="C385" s="77"/>
      <c r="D385" s="79"/>
      <c r="F385" s="77"/>
      <c r="G385" s="79"/>
      <c r="I385" s="77"/>
      <c r="K385" s="79"/>
    </row>
    <row r="386">
      <c r="A386" s="79"/>
      <c r="C386" s="77"/>
      <c r="D386" s="79"/>
      <c r="F386" s="77"/>
      <c r="G386" s="79"/>
      <c r="I386" s="77"/>
      <c r="K386" s="79"/>
    </row>
    <row r="387">
      <c r="A387" s="79"/>
      <c r="C387" s="77"/>
      <c r="D387" s="79"/>
      <c r="F387" s="77"/>
      <c r="G387" s="79"/>
      <c r="I387" s="77"/>
      <c r="K387" s="79"/>
    </row>
    <row r="388">
      <c r="A388" s="79"/>
      <c r="C388" s="77"/>
      <c r="D388" s="79"/>
      <c r="F388" s="77"/>
      <c r="G388" s="79"/>
      <c r="I388" s="77"/>
      <c r="K388" s="79"/>
    </row>
    <row r="389">
      <c r="A389" s="79"/>
      <c r="C389" s="77"/>
      <c r="D389" s="79"/>
      <c r="F389" s="77"/>
      <c r="G389" s="79"/>
      <c r="I389" s="77"/>
      <c r="K389" s="79"/>
    </row>
    <row r="390">
      <c r="A390" s="79"/>
      <c r="C390" s="77"/>
      <c r="D390" s="79"/>
      <c r="F390" s="77"/>
      <c r="G390" s="79"/>
      <c r="I390" s="77"/>
      <c r="K390" s="79"/>
    </row>
    <row r="391">
      <c r="A391" s="79"/>
      <c r="C391" s="77"/>
      <c r="D391" s="79"/>
      <c r="F391" s="77"/>
      <c r="G391" s="79"/>
      <c r="I391" s="77"/>
      <c r="K391" s="79"/>
    </row>
    <row r="392">
      <c r="A392" s="79"/>
      <c r="C392" s="77"/>
      <c r="D392" s="79"/>
      <c r="F392" s="77"/>
      <c r="G392" s="79"/>
      <c r="I392" s="77"/>
      <c r="K392" s="79"/>
    </row>
    <row r="393">
      <c r="A393" s="79"/>
      <c r="C393" s="77"/>
      <c r="D393" s="79"/>
      <c r="F393" s="77"/>
      <c r="G393" s="79"/>
      <c r="I393" s="77"/>
      <c r="K393" s="79"/>
    </row>
    <row r="394">
      <c r="A394" s="79"/>
      <c r="C394" s="77"/>
      <c r="D394" s="79"/>
      <c r="F394" s="77"/>
      <c r="G394" s="79"/>
      <c r="I394" s="77"/>
      <c r="K394" s="79"/>
    </row>
    <row r="395">
      <c r="A395" s="79"/>
      <c r="C395" s="77"/>
      <c r="D395" s="79"/>
      <c r="F395" s="77"/>
      <c r="G395" s="79"/>
      <c r="I395" s="77"/>
      <c r="K395" s="79"/>
    </row>
    <row r="396">
      <c r="A396" s="79"/>
      <c r="C396" s="77"/>
      <c r="D396" s="79"/>
      <c r="F396" s="77"/>
      <c r="G396" s="79"/>
      <c r="I396" s="77"/>
      <c r="K396" s="79"/>
    </row>
    <row r="397">
      <c r="A397" s="79"/>
      <c r="C397" s="77"/>
      <c r="D397" s="79"/>
      <c r="F397" s="77"/>
      <c r="G397" s="79"/>
      <c r="I397" s="77"/>
      <c r="K397" s="79"/>
    </row>
    <row r="398">
      <c r="A398" s="79"/>
      <c r="C398" s="77"/>
      <c r="D398" s="79"/>
      <c r="F398" s="77"/>
      <c r="G398" s="79"/>
      <c r="I398" s="77"/>
      <c r="K398" s="79"/>
    </row>
    <row r="399">
      <c r="A399" s="79"/>
      <c r="C399" s="77"/>
      <c r="D399" s="79"/>
      <c r="F399" s="77"/>
      <c r="G399" s="79"/>
      <c r="I399" s="77"/>
      <c r="K399" s="79"/>
    </row>
    <row r="400">
      <c r="A400" s="79"/>
      <c r="C400" s="77"/>
      <c r="D400" s="79"/>
      <c r="F400" s="77"/>
      <c r="G400" s="79"/>
      <c r="I400" s="77"/>
      <c r="K400" s="79"/>
    </row>
    <row r="401">
      <c r="A401" s="79"/>
      <c r="C401" s="77"/>
      <c r="D401" s="79"/>
      <c r="F401" s="77"/>
      <c r="G401" s="79"/>
      <c r="I401" s="77"/>
      <c r="K401" s="79"/>
    </row>
    <row r="402">
      <c r="A402" s="79"/>
      <c r="C402" s="77"/>
      <c r="D402" s="79"/>
      <c r="F402" s="77"/>
      <c r="G402" s="79"/>
      <c r="I402" s="77"/>
      <c r="K402" s="79"/>
    </row>
    <row r="403">
      <c r="A403" s="79"/>
      <c r="C403" s="77"/>
      <c r="D403" s="79"/>
      <c r="F403" s="77"/>
      <c r="G403" s="79"/>
      <c r="I403" s="77"/>
      <c r="K403" s="79"/>
    </row>
    <row r="404">
      <c r="A404" s="79"/>
      <c r="C404" s="77"/>
      <c r="D404" s="79"/>
      <c r="F404" s="77"/>
      <c r="G404" s="79"/>
      <c r="I404" s="77"/>
      <c r="K404" s="79"/>
    </row>
    <row r="405">
      <c r="A405" s="79"/>
      <c r="C405" s="77"/>
      <c r="D405" s="79"/>
      <c r="F405" s="77"/>
      <c r="G405" s="79"/>
      <c r="I405" s="77"/>
      <c r="K405" s="79"/>
    </row>
    <row r="406">
      <c r="A406" s="79"/>
      <c r="C406" s="77"/>
      <c r="D406" s="79"/>
      <c r="F406" s="77"/>
      <c r="G406" s="79"/>
      <c r="I406" s="77"/>
      <c r="K406" s="79"/>
    </row>
    <row r="407">
      <c r="A407" s="79"/>
      <c r="C407" s="77"/>
      <c r="D407" s="79"/>
      <c r="F407" s="77"/>
      <c r="G407" s="79"/>
      <c r="I407" s="77"/>
      <c r="K407" s="79"/>
    </row>
    <row r="408">
      <c r="A408" s="79"/>
      <c r="C408" s="77"/>
      <c r="D408" s="79"/>
      <c r="F408" s="77"/>
      <c r="G408" s="79"/>
      <c r="I408" s="77"/>
      <c r="K408" s="79"/>
    </row>
    <row r="409">
      <c r="A409" s="79"/>
      <c r="C409" s="77"/>
      <c r="D409" s="79"/>
      <c r="F409" s="77"/>
      <c r="G409" s="79"/>
      <c r="I409" s="77"/>
      <c r="K409" s="79"/>
    </row>
    <row r="410">
      <c r="A410" s="79"/>
      <c r="C410" s="77"/>
      <c r="D410" s="79"/>
      <c r="F410" s="77"/>
      <c r="G410" s="79"/>
      <c r="I410" s="77"/>
      <c r="K410" s="79"/>
    </row>
    <row r="411">
      <c r="A411" s="79"/>
      <c r="C411" s="77"/>
      <c r="D411" s="79"/>
      <c r="F411" s="77"/>
      <c r="G411" s="79"/>
      <c r="I411" s="77"/>
      <c r="K411" s="79"/>
    </row>
    <row r="412">
      <c r="A412" s="79"/>
      <c r="C412" s="77"/>
      <c r="D412" s="79"/>
      <c r="F412" s="77"/>
      <c r="G412" s="79"/>
      <c r="I412" s="77"/>
      <c r="K412" s="79"/>
    </row>
    <row r="413">
      <c r="A413" s="79"/>
      <c r="C413" s="77"/>
      <c r="D413" s="79"/>
      <c r="F413" s="77"/>
      <c r="G413" s="79"/>
      <c r="I413" s="77"/>
      <c r="K413" s="79"/>
    </row>
    <row r="414">
      <c r="A414" s="79"/>
      <c r="C414" s="77"/>
      <c r="D414" s="79"/>
      <c r="F414" s="77"/>
      <c r="G414" s="79"/>
      <c r="I414" s="77"/>
      <c r="K414" s="79"/>
    </row>
    <row r="415">
      <c r="A415" s="79"/>
      <c r="C415" s="77"/>
      <c r="D415" s="79"/>
      <c r="F415" s="77"/>
      <c r="G415" s="79"/>
      <c r="I415" s="77"/>
      <c r="K415" s="79"/>
    </row>
    <row r="416">
      <c r="A416" s="79"/>
      <c r="C416" s="77"/>
      <c r="D416" s="79"/>
      <c r="F416" s="77"/>
      <c r="G416" s="79"/>
      <c r="I416" s="77"/>
      <c r="K416" s="79"/>
    </row>
    <row r="417">
      <c r="A417" s="79"/>
      <c r="C417" s="77"/>
      <c r="D417" s="79"/>
      <c r="F417" s="77"/>
      <c r="G417" s="79"/>
      <c r="I417" s="77"/>
      <c r="K417" s="79"/>
    </row>
    <row r="418">
      <c r="A418" s="79"/>
      <c r="C418" s="77"/>
      <c r="D418" s="79"/>
      <c r="F418" s="77"/>
      <c r="G418" s="79"/>
      <c r="I418" s="77"/>
      <c r="K418" s="79"/>
    </row>
    <row r="419">
      <c r="A419" s="79"/>
      <c r="C419" s="77"/>
      <c r="D419" s="79"/>
      <c r="F419" s="77"/>
      <c r="G419" s="79"/>
      <c r="I419" s="77"/>
      <c r="K419" s="79"/>
    </row>
    <row r="420">
      <c r="A420" s="79"/>
      <c r="C420" s="77"/>
      <c r="D420" s="79"/>
      <c r="F420" s="77"/>
      <c r="G420" s="79"/>
      <c r="I420" s="77"/>
      <c r="K420" s="79"/>
    </row>
    <row r="421">
      <c r="A421" s="79"/>
      <c r="C421" s="77"/>
      <c r="D421" s="79"/>
      <c r="F421" s="77"/>
      <c r="G421" s="79"/>
      <c r="I421" s="77"/>
      <c r="K421" s="79"/>
    </row>
    <row r="422">
      <c r="A422" s="79"/>
      <c r="C422" s="77"/>
      <c r="D422" s="79"/>
      <c r="F422" s="77"/>
      <c r="G422" s="79"/>
      <c r="I422" s="77"/>
      <c r="K422" s="79"/>
    </row>
    <row r="423">
      <c r="A423" s="79"/>
      <c r="C423" s="77"/>
      <c r="D423" s="79"/>
      <c r="F423" s="77"/>
      <c r="G423" s="79"/>
      <c r="I423" s="77"/>
      <c r="K423" s="79"/>
    </row>
    <row r="424">
      <c r="A424" s="79"/>
      <c r="C424" s="77"/>
      <c r="D424" s="79"/>
      <c r="F424" s="77"/>
      <c r="G424" s="79"/>
      <c r="I424" s="77"/>
      <c r="K424" s="79"/>
    </row>
    <row r="425">
      <c r="A425" s="79"/>
      <c r="C425" s="77"/>
      <c r="D425" s="79"/>
      <c r="F425" s="77"/>
      <c r="G425" s="79"/>
      <c r="I425" s="77"/>
      <c r="K425" s="79"/>
    </row>
    <row r="426">
      <c r="A426" s="79"/>
      <c r="C426" s="77"/>
      <c r="D426" s="79"/>
      <c r="F426" s="77"/>
      <c r="G426" s="79"/>
      <c r="I426" s="77"/>
      <c r="K426" s="79"/>
    </row>
    <row r="427">
      <c r="A427" s="79"/>
      <c r="C427" s="77"/>
      <c r="D427" s="79"/>
      <c r="F427" s="77"/>
      <c r="G427" s="79"/>
      <c r="I427" s="77"/>
      <c r="K427" s="79"/>
    </row>
    <row r="428">
      <c r="A428" s="79"/>
      <c r="C428" s="77"/>
      <c r="D428" s="79"/>
      <c r="F428" s="77"/>
      <c r="G428" s="79"/>
      <c r="I428" s="77"/>
      <c r="K428" s="79"/>
    </row>
    <row r="429">
      <c r="A429" s="79"/>
      <c r="C429" s="77"/>
      <c r="D429" s="79"/>
      <c r="F429" s="77"/>
      <c r="G429" s="79"/>
      <c r="I429" s="77"/>
      <c r="K429" s="79"/>
    </row>
    <row r="430">
      <c r="A430" s="79"/>
      <c r="C430" s="77"/>
      <c r="D430" s="79"/>
      <c r="F430" s="77"/>
      <c r="G430" s="79"/>
      <c r="I430" s="77"/>
      <c r="K430" s="79"/>
    </row>
    <row r="431">
      <c r="A431" s="79"/>
      <c r="C431" s="77"/>
      <c r="D431" s="79"/>
      <c r="F431" s="77"/>
      <c r="G431" s="79"/>
      <c r="I431" s="77"/>
      <c r="K431" s="79"/>
    </row>
    <row r="432">
      <c r="A432" s="79"/>
      <c r="C432" s="77"/>
      <c r="D432" s="79"/>
      <c r="F432" s="77"/>
      <c r="G432" s="79"/>
      <c r="I432" s="77"/>
      <c r="K432" s="79"/>
    </row>
    <row r="433">
      <c r="A433" s="79"/>
      <c r="C433" s="77"/>
      <c r="D433" s="79"/>
      <c r="F433" s="77"/>
      <c r="G433" s="79"/>
      <c r="I433" s="77"/>
      <c r="K433" s="79"/>
    </row>
    <row r="434">
      <c r="A434" s="79"/>
      <c r="C434" s="77"/>
      <c r="D434" s="79"/>
      <c r="F434" s="77"/>
      <c r="G434" s="79"/>
      <c r="I434" s="77"/>
      <c r="K434" s="79"/>
    </row>
    <row r="435">
      <c r="A435" s="79"/>
      <c r="C435" s="77"/>
      <c r="D435" s="79"/>
      <c r="F435" s="77"/>
      <c r="G435" s="79"/>
      <c r="I435" s="77"/>
      <c r="K435" s="79"/>
    </row>
    <row r="436">
      <c r="A436" s="79"/>
      <c r="C436" s="77"/>
      <c r="D436" s="79"/>
      <c r="F436" s="77"/>
      <c r="G436" s="79"/>
      <c r="I436" s="77"/>
      <c r="K436" s="79"/>
    </row>
    <row r="437">
      <c r="A437" s="79"/>
      <c r="C437" s="77"/>
      <c r="D437" s="79"/>
      <c r="F437" s="77"/>
      <c r="G437" s="79"/>
      <c r="I437" s="77"/>
      <c r="K437" s="79"/>
    </row>
    <row r="438">
      <c r="A438" s="79"/>
      <c r="C438" s="77"/>
      <c r="D438" s="79"/>
      <c r="F438" s="77"/>
      <c r="G438" s="79"/>
      <c r="I438" s="77"/>
      <c r="K438" s="79"/>
    </row>
    <row r="439">
      <c r="A439" s="79"/>
      <c r="C439" s="77"/>
      <c r="D439" s="79"/>
      <c r="F439" s="77"/>
      <c r="G439" s="79"/>
      <c r="I439" s="77"/>
      <c r="K439" s="79"/>
    </row>
    <row r="440">
      <c r="A440" s="79"/>
      <c r="C440" s="77"/>
      <c r="D440" s="79"/>
      <c r="F440" s="77"/>
      <c r="G440" s="79"/>
      <c r="I440" s="77"/>
      <c r="K440" s="79"/>
    </row>
    <row r="441">
      <c r="A441" s="79"/>
      <c r="C441" s="77"/>
      <c r="D441" s="79"/>
      <c r="F441" s="77"/>
      <c r="G441" s="79"/>
      <c r="I441" s="77"/>
      <c r="K441" s="79"/>
    </row>
    <row r="442">
      <c r="A442" s="79"/>
      <c r="C442" s="77"/>
      <c r="D442" s="79"/>
      <c r="F442" s="77"/>
      <c r="G442" s="79"/>
      <c r="I442" s="77"/>
      <c r="K442" s="79"/>
    </row>
    <row r="443">
      <c r="A443" s="79"/>
      <c r="C443" s="77"/>
      <c r="D443" s="79"/>
      <c r="F443" s="77"/>
      <c r="G443" s="79"/>
      <c r="I443" s="77"/>
      <c r="K443" s="79"/>
    </row>
    <row r="444">
      <c r="A444" s="79"/>
      <c r="C444" s="77"/>
      <c r="D444" s="79"/>
      <c r="F444" s="77"/>
      <c r="G444" s="79"/>
      <c r="I444" s="77"/>
      <c r="K444" s="79"/>
    </row>
    <row r="445">
      <c r="A445" s="79"/>
      <c r="C445" s="77"/>
      <c r="D445" s="79"/>
      <c r="F445" s="77"/>
      <c r="G445" s="79"/>
      <c r="I445" s="77"/>
      <c r="K445" s="79"/>
    </row>
    <row r="446">
      <c r="A446" s="79"/>
      <c r="C446" s="77"/>
      <c r="D446" s="79"/>
      <c r="F446" s="77"/>
      <c r="G446" s="79"/>
      <c r="I446" s="77"/>
      <c r="K446" s="79"/>
    </row>
    <row r="447">
      <c r="A447" s="79"/>
      <c r="C447" s="77"/>
      <c r="D447" s="79"/>
      <c r="F447" s="77"/>
      <c r="G447" s="79"/>
      <c r="I447" s="77"/>
      <c r="K447" s="79"/>
    </row>
    <row r="448">
      <c r="A448" s="79"/>
      <c r="C448" s="77"/>
      <c r="D448" s="79"/>
      <c r="F448" s="77"/>
      <c r="G448" s="79"/>
      <c r="I448" s="77"/>
      <c r="K448" s="79"/>
    </row>
    <row r="449">
      <c r="A449" s="79"/>
      <c r="C449" s="77"/>
      <c r="D449" s="79"/>
      <c r="F449" s="77"/>
      <c r="G449" s="79"/>
      <c r="I449" s="77"/>
      <c r="K449" s="79"/>
    </row>
    <row r="450">
      <c r="A450" s="79"/>
      <c r="C450" s="77"/>
      <c r="D450" s="79"/>
      <c r="F450" s="77"/>
      <c r="G450" s="79"/>
      <c r="I450" s="77"/>
      <c r="K450" s="79"/>
    </row>
    <row r="451">
      <c r="A451" s="79"/>
      <c r="C451" s="77"/>
      <c r="D451" s="79"/>
      <c r="F451" s="77"/>
      <c r="G451" s="79"/>
      <c r="I451" s="77"/>
      <c r="K451" s="79"/>
    </row>
    <row r="452">
      <c r="A452" s="79"/>
      <c r="C452" s="77"/>
      <c r="D452" s="79"/>
      <c r="F452" s="77"/>
      <c r="G452" s="79"/>
      <c r="I452" s="77"/>
      <c r="K452" s="79"/>
    </row>
    <row r="453">
      <c r="A453" s="79"/>
      <c r="C453" s="77"/>
      <c r="D453" s="79"/>
      <c r="F453" s="77"/>
      <c r="G453" s="79"/>
      <c r="I453" s="77"/>
      <c r="K453" s="79"/>
    </row>
    <row r="454">
      <c r="A454" s="79"/>
      <c r="C454" s="77"/>
      <c r="D454" s="79"/>
      <c r="F454" s="77"/>
      <c r="G454" s="79"/>
      <c r="I454" s="77"/>
      <c r="K454" s="79"/>
    </row>
    <row r="455">
      <c r="A455" s="79"/>
      <c r="C455" s="77"/>
      <c r="D455" s="79"/>
      <c r="F455" s="77"/>
      <c r="G455" s="79"/>
      <c r="I455" s="77"/>
      <c r="K455" s="79"/>
    </row>
    <row r="456">
      <c r="A456" s="79"/>
      <c r="C456" s="77"/>
      <c r="D456" s="79"/>
      <c r="F456" s="77"/>
      <c r="G456" s="79"/>
      <c r="I456" s="77"/>
      <c r="K456" s="79"/>
    </row>
    <row r="457">
      <c r="A457" s="79"/>
      <c r="C457" s="77"/>
      <c r="D457" s="79"/>
      <c r="F457" s="77"/>
      <c r="G457" s="79"/>
      <c r="I457" s="77"/>
      <c r="K457" s="79"/>
    </row>
    <row r="458">
      <c r="A458" s="79"/>
      <c r="C458" s="77"/>
      <c r="D458" s="79"/>
      <c r="F458" s="77"/>
      <c r="G458" s="79"/>
      <c r="I458" s="77"/>
      <c r="K458" s="79"/>
    </row>
    <row r="459">
      <c r="A459" s="79"/>
      <c r="C459" s="77"/>
      <c r="D459" s="79"/>
      <c r="F459" s="77"/>
      <c r="G459" s="79"/>
      <c r="I459" s="77"/>
      <c r="K459" s="79"/>
    </row>
    <row r="460">
      <c r="A460" s="79"/>
      <c r="C460" s="77"/>
      <c r="D460" s="79"/>
      <c r="F460" s="77"/>
      <c r="G460" s="79"/>
      <c r="I460" s="77"/>
      <c r="K460" s="79"/>
    </row>
    <row r="461">
      <c r="A461" s="79"/>
      <c r="C461" s="77"/>
      <c r="D461" s="79"/>
      <c r="F461" s="77"/>
      <c r="G461" s="79"/>
      <c r="I461" s="77"/>
      <c r="K461" s="79"/>
    </row>
    <row r="462">
      <c r="A462" s="79"/>
      <c r="C462" s="77"/>
      <c r="D462" s="79"/>
      <c r="F462" s="77"/>
      <c r="G462" s="79"/>
      <c r="I462" s="77"/>
      <c r="K462" s="79"/>
    </row>
    <row r="463">
      <c r="A463" s="79"/>
      <c r="C463" s="77"/>
      <c r="D463" s="79"/>
      <c r="F463" s="77"/>
      <c r="G463" s="79"/>
      <c r="I463" s="77"/>
      <c r="K463" s="79"/>
    </row>
    <row r="464">
      <c r="A464" s="79"/>
      <c r="C464" s="77"/>
      <c r="D464" s="79"/>
      <c r="F464" s="77"/>
      <c r="G464" s="79"/>
      <c r="I464" s="77"/>
      <c r="K464" s="79"/>
    </row>
    <row r="465">
      <c r="A465" s="79"/>
      <c r="C465" s="77"/>
      <c r="D465" s="79"/>
      <c r="F465" s="77"/>
      <c r="G465" s="79"/>
      <c r="I465" s="77"/>
      <c r="K465" s="79"/>
    </row>
    <row r="466">
      <c r="A466" s="79"/>
      <c r="C466" s="77"/>
      <c r="D466" s="79"/>
      <c r="F466" s="77"/>
      <c r="G466" s="79"/>
      <c r="I466" s="77"/>
      <c r="K466" s="79"/>
    </row>
    <row r="467">
      <c r="A467" s="79"/>
      <c r="C467" s="77"/>
      <c r="D467" s="79"/>
      <c r="F467" s="77"/>
      <c r="G467" s="79"/>
      <c r="I467" s="77"/>
      <c r="K467" s="79"/>
    </row>
    <row r="468">
      <c r="A468" s="79"/>
      <c r="C468" s="77"/>
      <c r="D468" s="79"/>
      <c r="F468" s="77"/>
      <c r="G468" s="79"/>
      <c r="I468" s="77"/>
      <c r="K468" s="79"/>
    </row>
    <row r="469">
      <c r="A469" s="79"/>
      <c r="C469" s="77"/>
      <c r="D469" s="79"/>
      <c r="F469" s="77"/>
      <c r="G469" s="79"/>
      <c r="I469" s="77"/>
      <c r="K469" s="79"/>
    </row>
    <row r="470">
      <c r="A470" s="79"/>
      <c r="C470" s="77"/>
      <c r="D470" s="79"/>
      <c r="F470" s="77"/>
      <c r="G470" s="79"/>
      <c r="I470" s="77"/>
      <c r="K470" s="79"/>
    </row>
    <row r="471">
      <c r="A471" s="79"/>
      <c r="C471" s="77"/>
      <c r="D471" s="79"/>
      <c r="F471" s="77"/>
      <c r="G471" s="79"/>
      <c r="I471" s="77"/>
      <c r="K471" s="79"/>
    </row>
    <row r="472">
      <c r="A472" s="79"/>
      <c r="C472" s="77"/>
      <c r="D472" s="79"/>
      <c r="F472" s="77"/>
      <c r="G472" s="79"/>
      <c r="I472" s="77"/>
      <c r="K472" s="79"/>
    </row>
    <row r="473">
      <c r="A473" s="79"/>
      <c r="C473" s="77"/>
      <c r="D473" s="79"/>
      <c r="F473" s="77"/>
      <c r="G473" s="79"/>
      <c r="I473" s="77"/>
      <c r="K473" s="79"/>
    </row>
    <row r="474">
      <c r="A474" s="79"/>
      <c r="C474" s="77"/>
      <c r="D474" s="79"/>
      <c r="F474" s="77"/>
      <c r="G474" s="79"/>
      <c r="I474" s="77"/>
      <c r="K474" s="79"/>
    </row>
    <row r="475">
      <c r="A475" s="79"/>
      <c r="C475" s="77"/>
      <c r="D475" s="79"/>
      <c r="F475" s="77"/>
      <c r="G475" s="79"/>
      <c r="I475" s="77"/>
      <c r="K475" s="79"/>
    </row>
    <row r="476">
      <c r="A476" s="79"/>
      <c r="C476" s="77"/>
      <c r="D476" s="79"/>
      <c r="F476" s="77"/>
      <c r="G476" s="79"/>
      <c r="I476" s="77"/>
      <c r="K476" s="79"/>
    </row>
    <row r="477">
      <c r="A477" s="79"/>
      <c r="C477" s="77"/>
      <c r="D477" s="79"/>
      <c r="F477" s="77"/>
      <c r="G477" s="79"/>
      <c r="I477" s="77"/>
      <c r="K477" s="79"/>
    </row>
    <row r="478">
      <c r="A478" s="79"/>
      <c r="C478" s="77"/>
      <c r="D478" s="79"/>
      <c r="F478" s="77"/>
      <c r="G478" s="79"/>
      <c r="I478" s="77"/>
      <c r="K478" s="79"/>
    </row>
    <row r="479">
      <c r="A479" s="79"/>
      <c r="C479" s="77"/>
      <c r="D479" s="79"/>
      <c r="F479" s="77"/>
      <c r="G479" s="79"/>
      <c r="I479" s="77"/>
      <c r="K479" s="79"/>
    </row>
    <row r="480">
      <c r="A480" s="79"/>
      <c r="C480" s="77"/>
      <c r="D480" s="79"/>
      <c r="F480" s="77"/>
      <c r="G480" s="79"/>
      <c r="I480" s="77"/>
      <c r="K480" s="79"/>
    </row>
    <row r="481">
      <c r="A481" s="79"/>
      <c r="C481" s="77"/>
      <c r="D481" s="79"/>
      <c r="F481" s="77"/>
      <c r="G481" s="79"/>
      <c r="I481" s="77"/>
      <c r="K481" s="79"/>
    </row>
    <row r="482">
      <c r="A482" s="79"/>
      <c r="C482" s="77"/>
      <c r="D482" s="79"/>
      <c r="F482" s="77"/>
      <c r="G482" s="79"/>
      <c r="I482" s="77"/>
      <c r="K482" s="79"/>
    </row>
    <row r="483">
      <c r="A483" s="79"/>
      <c r="C483" s="77"/>
      <c r="D483" s="79"/>
      <c r="F483" s="77"/>
      <c r="G483" s="79"/>
      <c r="I483" s="77"/>
      <c r="K483" s="79"/>
    </row>
    <row r="484">
      <c r="A484" s="79"/>
      <c r="C484" s="77"/>
      <c r="D484" s="79"/>
      <c r="F484" s="77"/>
      <c r="G484" s="79"/>
      <c r="I484" s="77"/>
      <c r="K484" s="79"/>
    </row>
    <row r="485">
      <c r="A485" s="79"/>
      <c r="C485" s="77"/>
      <c r="D485" s="79"/>
      <c r="F485" s="77"/>
      <c r="G485" s="79"/>
      <c r="I485" s="77"/>
      <c r="K485" s="79"/>
    </row>
    <row r="486">
      <c r="A486" s="79"/>
      <c r="C486" s="77"/>
      <c r="D486" s="79"/>
      <c r="F486" s="77"/>
      <c r="G486" s="79"/>
      <c r="I486" s="77"/>
      <c r="K486" s="79"/>
    </row>
    <row r="487">
      <c r="A487" s="79"/>
      <c r="C487" s="77"/>
      <c r="D487" s="79"/>
      <c r="F487" s="77"/>
      <c r="G487" s="79"/>
      <c r="I487" s="77"/>
      <c r="K487" s="79"/>
    </row>
    <row r="488">
      <c r="A488" s="79"/>
      <c r="C488" s="77"/>
      <c r="D488" s="79"/>
      <c r="F488" s="77"/>
      <c r="G488" s="79"/>
      <c r="I488" s="77"/>
      <c r="K488" s="79"/>
    </row>
    <row r="489">
      <c r="A489" s="79"/>
      <c r="C489" s="77"/>
      <c r="D489" s="79"/>
      <c r="F489" s="77"/>
      <c r="G489" s="79"/>
      <c r="I489" s="77"/>
      <c r="K489" s="79"/>
    </row>
    <row r="490">
      <c r="A490" s="79"/>
      <c r="C490" s="77"/>
      <c r="D490" s="79"/>
      <c r="F490" s="77"/>
      <c r="G490" s="79"/>
      <c r="I490" s="77"/>
      <c r="K490" s="79"/>
    </row>
    <row r="491">
      <c r="A491" s="79"/>
      <c r="C491" s="77"/>
      <c r="D491" s="79"/>
      <c r="F491" s="77"/>
      <c r="G491" s="79"/>
      <c r="I491" s="77"/>
      <c r="K491" s="79"/>
    </row>
    <row r="492">
      <c r="A492" s="79"/>
      <c r="C492" s="77"/>
      <c r="D492" s="79"/>
      <c r="F492" s="77"/>
      <c r="G492" s="79"/>
      <c r="I492" s="77"/>
      <c r="K492" s="79"/>
    </row>
    <row r="493">
      <c r="A493" s="79"/>
      <c r="C493" s="77"/>
      <c r="D493" s="79"/>
      <c r="F493" s="77"/>
      <c r="G493" s="79"/>
      <c r="I493" s="77"/>
      <c r="K493" s="79"/>
    </row>
    <row r="494">
      <c r="A494" s="79"/>
      <c r="C494" s="77"/>
      <c r="D494" s="79"/>
      <c r="F494" s="77"/>
      <c r="G494" s="79"/>
      <c r="I494" s="77"/>
      <c r="K494" s="79"/>
    </row>
    <row r="495">
      <c r="A495" s="79"/>
      <c r="C495" s="77"/>
      <c r="D495" s="79"/>
      <c r="F495" s="77"/>
      <c r="G495" s="79"/>
      <c r="I495" s="77"/>
      <c r="K495" s="79"/>
    </row>
    <row r="496">
      <c r="A496" s="79"/>
      <c r="C496" s="77"/>
      <c r="D496" s="79"/>
      <c r="F496" s="77"/>
      <c r="G496" s="79"/>
      <c r="I496" s="77"/>
      <c r="K496" s="79"/>
    </row>
    <row r="497">
      <c r="A497" s="79"/>
      <c r="C497" s="77"/>
      <c r="D497" s="79"/>
      <c r="F497" s="77"/>
      <c r="G497" s="79"/>
      <c r="I497" s="77"/>
      <c r="K497" s="79"/>
    </row>
    <row r="498">
      <c r="A498" s="79"/>
      <c r="C498" s="77"/>
      <c r="D498" s="79"/>
      <c r="F498" s="77"/>
      <c r="G498" s="79"/>
      <c r="I498" s="77"/>
      <c r="K498" s="79"/>
    </row>
    <row r="499">
      <c r="A499" s="79"/>
      <c r="C499" s="77"/>
      <c r="D499" s="79"/>
      <c r="F499" s="77"/>
      <c r="G499" s="79"/>
      <c r="I499" s="77"/>
      <c r="K499" s="79"/>
    </row>
    <row r="500">
      <c r="A500" s="79"/>
      <c r="C500" s="77"/>
      <c r="D500" s="79"/>
      <c r="F500" s="77"/>
      <c r="G500" s="79"/>
      <c r="I500" s="77"/>
      <c r="K500" s="79"/>
    </row>
    <row r="501">
      <c r="A501" s="79"/>
      <c r="C501" s="77"/>
      <c r="D501" s="79"/>
      <c r="F501" s="77"/>
      <c r="G501" s="79"/>
      <c r="I501" s="77"/>
      <c r="K501" s="79"/>
    </row>
    <row r="502">
      <c r="A502" s="79"/>
      <c r="C502" s="77"/>
      <c r="D502" s="79"/>
      <c r="F502" s="77"/>
      <c r="G502" s="79"/>
      <c r="I502" s="77"/>
      <c r="K502" s="79"/>
    </row>
    <row r="503">
      <c r="A503" s="79"/>
      <c r="C503" s="77"/>
      <c r="D503" s="79"/>
      <c r="F503" s="77"/>
      <c r="G503" s="79"/>
      <c r="I503" s="77"/>
      <c r="K503" s="79"/>
    </row>
    <row r="504">
      <c r="A504" s="79"/>
      <c r="C504" s="77"/>
      <c r="D504" s="79"/>
      <c r="F504" s="77"/>
      <c r="G504" s="79"/>
      <c r="I504" s="77"/>
      <c r="K504" s="79"/>
    </row>
    <row r="505">
      <c r="A505" s="79"/>
      <c r="C505" s="77"/>
      <c r="D505" s="79"/>
      <c r="F505" s="77"/>
      <c r="G505" s="79"/>
      <c r="I505" s="77"/>
      <c r="K505" s="79"/>
    </row>
    <row r="506">
      <c r="A506" s="79"/>
      <c r="C506" s="77"/>
      <c r="D506" s="79"/>
      <c r="F506" s="77"/>
      <c r="G506" s="79"/>
      <c r="I506" s="77"/>
      <c r="K506" s="79"/>
    </row>
    <row r="507">
      <c r="A507" s="79"/>
      <c r="C507" s="77"/>
      <c r="D507" s="79"/>
      <c r="F507" s="77"/>
      <c r="G507" s="79"/>
      <c r="I507" s="77"/>
      <c r="K507" s="79"/>
    </row>
    <row r="508">
      <c r="A508" s="79"/>
      <c r="C508" s="77"/>
      <c r="D508" s="79"/>
      <c r="F508" s="77"/>
      <c r="G508" s="79"/>
      <c r="I508" s="77"/>
      <c r="K508" s="79"/>
    </row>
    <row r="509">
      <c r="A509" s="79"/>
      <c r="C509" s="77"/>
      <c r="D509" s="79"/>
      <c r="F509" s="77"/>
      <c r="G509" s="79"/>
      <c r="I509" s="77"/>
      <c r="K509" s="79"/>
    </row>
    <row r="510">
      <c r="A510" s="79"/>
      <c r="C510" s="77"/>
      <c r="D510" s="79"/>
      <c r="F510" s="77"/>
      <c r="G510" s="79"/>
      <c r="I510" s="77"/>
      <c r="K510" s="79"/>
    </row>
    <row r="511">
      <c r="A511" s="79"/>
      <c r="C511" s="77"/>
      <c r="D511" s="79"/>
      <c r="F511" s="77"/>
      <c r="G511" s="79"/>
      <c r="I511" s="77"/>
      <c r="K511" s="79"/>
    </row>
    <row r="512">
      <c r="A512" s="79"/>
      <c r="C512" s="77"/>
      <c r="D512" s="79"/>
      <c r="F512" s="77"/>
      <c r="G512" s="79"/>
      <c r="I512" s="77"/>
      <c r="K512" s="79"/>
    </row>
    <row r="513">
      <c r="A513" s="79"/>
      <c r="C513" s="77"/>
      <c r="D513" s="79"/>
      <c r="F513" s="77"/>
      <c r="G513" s="79"/>
      <c r="I513" s="77"/>
      <c r="K513" s="79"/>
    </row>
    <row r="514">
      <c r="A514" s="79"/>
      <c r="C514" s="77"/>
      <c r="D514" s="79"/>
      <c r="F514" s="77"/>
      <c r="G514" s="79"/>
      <c r="I514" s="77"/>
      <c r="K514" s="79"/>
    </row>
    <row r="515">
      <c r="A515" s="79"/>
      <c r="C515" s="77"/>
      <c r="D515" s="79"/>
      <c r="F515" s="77"/>
      <c r="G515" s="79"/>
      <c r="I515" s="77"/>
      <c r="K515" s="79"/>
    </row>
    <row r="516">
      <c r="A516" s="79"/>
      <c r="C516" s="77"/>
      <c r="D516" s="79"/>
      <c r="F516" s="77"/>
      <c r="G516" s="79"/>
      <c r="I516" s="77"/>
      <c r="K516" s="79"/>
    </row>
    <row r="517">
      <c r="A517" s="79"/>
      <c r="C517" s="77"/>
      <c r="D517" s="79"/>
      <c r="F517" s="77"/>
      <c r="G517" s="79"/>
      <c r="I517" s="77"/>
      <c r="K517" s="79"/>
    </row>
    <row r="518">
      <c r="A518" s="79"/>
      <c r="C518" s="77"/>
      <c r="D518" s="79"/>
      <c r="F518" s="77"/>
      <c r="G518" s="79"/>
      <c r="I518" s="77"/>
      <c r="K518" s="79"/>
    </row>
    <row r="519">
      <c r="A519" s="79"/>
      <c r="C519" s="77"/>
      <c r="D519" s="79"/>
      <c r="F519" s="77"/>
      <c r="G519" s="79"/>
      <c r="I519" s="77"/>
      <c r="K519" s="79"/>
    </row>
    <row r="520">
      <c r="A520" s="79"/>
      <c r="C520" s="77"/>
      <c r="D520" s="79"/>
      <c r="F520" s="77"/>
      <c r="G520" s="79"/>
      <c r="I520" s="77"/>
      <c r="K520" s="79"/>
    </row>
    <row r="521">
      <c r="A521" s="79"/>
      <c r="C521" s="77"/>
      <c r="D521" s="79"/>
      <c r="F521" s="77"/>
      <c r="G521" s="79"/>
      <c r="I521" s="77"/>
      <c r="K521" s="79"/>
    </row>
    <row r="522">
      <c r="A522" s="79"/>
      <c r="C522" s="77"/>
      <c r="D522" s="79"/>
      <c r="F522" s="77"/>
      <c r="G522" s="79"/>
      <c r="I522" s="77"/>
      <c r="K522" s="79"/>
    </row>
    <row r="523">
      <c r="A523" s="79"/>
      <c r="C523" s="77"/>
      <c r="D523" s="79"/>
      <c r="F523" s="77"/>
      <c r="G523" s="79"/>
      <c r="I523" s="77"/>
      <c r="K523" s="79"/>
    </row>
    <row r="524">
      <c r="A524" s="79"/>
      <c r="C524" s="77"/>
      <c r="D524" s="79"/>
      <c r="F524" s="77"/>
      <c r="G524" s="79"/>
      <c r="I524" s="77"/>
      <c r="K524" s="79"/>
    </row>
    <row r="525">
      <c r="A525" s="79"/>
      <c r="C525" s="77"/>
      <c r="D525" s="79"/>
      <c r="F525" s="77"/>
      <c r="G525" s="79"/>
      <c r="I525" s="77"/>
      <c r="K525" s="79"/>
    </row>
    <row r="526">
      <c r="A526" s="79"/>
      <c r="C526" s="77"/>
      <c r="D526" s="79"/>
      <c r="F526" s="77"/>
      <c r="G526" s="79"/>
      <c r="I526" s="77"/>
      <c r="K526" s="79"/>
    </row>
    <row r="527">
      <c r="A527" s="79"/>
      <c r="C527" s="77"/>
      <c r="D527" s="79"/>
      <c r="F527" s="77"/>
      <c r="G527" s="79"/>
      <c r="I527" s="77"/>
      <c r="K527" s="79"/>
    </row>
    <row r="528">
      <c r="A528" s="79"/>
      <c r="C528" s="77"/>
      <c r="D528" s="79"/>
      <c r="F528" s="77"/>
      <c r="G528" s="79"/>
      <c r="I528" s="77"/>
      <c r="K528" s="79"/>
    </row>
    <row r="529">
      <c r="A529" s="79"/>
      <c r="C529" s="77"/>
      <c r="D529" s="79"/>
      <c r="F529" s="77"/>
      <c r="G529" s="79"/>
      <c r="I529" s="77"/>
      <c r="K529" s="79"/>
    </row>
    <row r="530">
      <c r="A530" s="79"/>
      <c r="C530" s="77"/>
      <c r="D530" s="79"/>
      <c r="F530" s="77"/>
      <c r="G530" s="79"/>
      <c r="I530" s="77"/>
      <c r="K530" s="79"/>
    </row>
    <row r="531">
      <c r="A531" s="79"/>
      <c r="C531" s="77"/>
      <c r="D531" s="79"/>
      <c r="F531" s="77"/>
      <c r="G531" s="79"/>
      <c r="I531" s="77"/>
      <c r="K531" s="79"/>
    </row>
    <row r="532">
      <c r="A532" s="79"/>
      <c r="C532" s="77"/>
      <c r="D532" s="79"/>
      <c r="F532" s="77"/>
      <c r="G532" s="79"/>
      <c r="I532" s="77"/>
      <c r="K532" s="79"/>
    </row>
    <row r="533">
      <c r="A533" s="79"/>
      <c r="C533" s="77"/>
      <c r="D533" s="79"/>
      <c r="F533" s="77"/>
      <c r="G533" s="79"/>
      <c r="I533" s="77"/>
      <c r="K533" s="79"/>
    </row>
    <row r="534">
      <c r="A534" s="79"/>
      <c r="C534" s="77"/>
      <c r="D534" s="79"/>
      <c r="F534" s="77"/>
      <c r="G534" s="79"/>
      <c r="I534" s="77"/>
      <c r="K534" s="79"/>
    </row>
    <row r="535">
      <c r="A535" s="79"/>
      <c r="C535" s="77"/>
      <c r="D535" s="79"/>
      <c r="F535" s="77"/>
      <c r="G535" s="79"/>
      <c r="I535" s="77"/>
      <c r="K535" s="79"/>
    </row>
    <row r="536">
      <c r="A536" s="79"/>
      <c r="C536" s="77"/>
      <c r="D536" s="79"/>
      <c r="F536" s="77"/>
      <c r="G536" s="79"/>
      <c r="I536" s="77"/>
      <c r="K536" s="79"/>
    </row>
    <row r="537">
      <c r="A537" s="79"/>
      <c r="C537" s="77"/>
      <c r="D537" s="79"/>
      <c r="F537" s="77"/>
      <c r="G537" s="79"/>
      <c r="I537" s="77"/>
      <c r="K537" s="79"/>
    </row>
    <row r="538">
      <c r="A538" s="79"/>
      <c r="C538" s="77"/>
      <c r="D538" s="79"/>
      <c r="F538" s="77"/>
      <c r="G538" s="79"/>
      <c r="I538" s="77"/>
      <c r="K538" s="79"/>
    </row>
    <row r="539">
      <c r="A539" s="79"/>
      <c r="C539" s="77"/>
      <c r="D539" s="79"/>
      <c r="F539" s="77"/>
      <c r="G539" s="79"/>
      <c r="I539" s="77"/>
      <c r="K539" s="79"/>
    </row>
    <row r="540">
      <c r="A540" s="79"/>
      <c r="C540" s="77"/>
      <c r="D540" s="79"/>
      <c r="F540" s="77"/>
      <c r="G540" s="79"/>
      <c r="I540" s="77"/>
      <c r="K540" s="79"/>
    </row>
    <row r="541">
      <c r="A541" s="79"/>
      <c r="C541" s="77"/>
      <c r="D541" s="79"/>
      <c r="F541" s="77"/>
      <c r="G541" s="79"/>
      <c r="I541" s="77"/>
      <c r="K541" s="79"/>
    </row>
    <row r="542">
      <c r="A542" s="79"/>
      <c r="C542" s="77"/>
      <c r="D542" s="79"/>
      <c r="F542" s="77"/>
      <c r="G542" s="79"/>
      <c r="I542" s="77"/>
      <c r="K542" s="79"/>
    </row>
    <row r="543">
      <c r="A543" s="79"/>
      <c r="C543" s="77"/>
      <c r="D543" s="79"/>
      <c r="F543" s="77"/>
      <c r="G543" s="79"/>
      <c r="I543" s="77"/>
      <c r="K543" s="79"/>
    </row>
    <row r="544">
      <c r="A544" s="79"/>
      <c r="C544" s="77"/>
      <c r="D544" s="79"/>
      <c r="F544" s="77"/>
      <c r="G544" s="79"/>
      <c r="I544" s="77"/>
      <c r="K544" s="79"/>
    </row>
    <row r="545">
      <c r="A545" s="79"/>
      <c r="C545" s="77"/>
      <c r="D545" s="79"/>
      <c r="F545" s="77"/>
      <c r="G545" s="79"/>
      <c r="I545" s="77"/>
      <c r="K545" s="79"/>
    </row>
    <row r="546">
      <c r="A546" s="79"/>
      <c r="C546" s="77"/>
      <c r="D546" s="79"/>
      <c r="F546" s="77"/>
      <c r="G546" s="79"/>
      <c r="I546" s="77"/>
      <c r="K546" s="79"/>
    </row>
    <row r="547">
      <c r="A547" s="79"/>
      <c r="C547" s="77"/>
      <c r="D547" s="79"/>
      <c r="F547" s="77"/>
      <c r="G547" s="79"/>
      <c r="I547" s="77"/>
      <c r="K547" s="79"/>
    </row>
    <row r="548">
      <c r="A548" s="79"/>
      <c r="C548" s="77"/>
      <c r="D548" s="79"/>
      <c r="F548" s="77"/>
      <c r="G548" s="79"/>
      <c r="I548" s="77"/>
      <c r="K548" s="79"/>
    </row>
    <row r="549">
      <c r="A549" s="79"/>
      <c r="C549" s="77"/>
      <c r="D549" s="79"/>
      <c r="F549" s="77"/>
      <c r="G549" s="79"/>
      <c r="I549" s="77"/>
      <c r="K549" s="79"/>
    </row>
    <row r="550">
      <c r="A550" s="79"/>
      <c r="C550" s="77"/>
      <c r="D550" s="79"/>
      <c r="F550" s="77"/>
      <c r="G550" s="79"/>
      <c r="I550" s="77"/>
      <c r="K550" s="79"/>
    </row>
    <row r="551">
      <c r="A551" s="79"/>
      <c r="C551" s="77"/>
      <c r="D551" s="79"/>
      <c r="F551" s="77"/>
      <c r="G551" s="79"/>
      <c r="I551" s="77"/>
      <c r="K551" s="79"/>
    </row>
    <row r="552">
      <c r="A552" s="79"/>
      <c r="C552" s="77"/>
      <c r="D552" s="79"/>
      <c r="F552" s="77"/>
      <c r="G552" s="79"/>
      <c r="I552" s="77"/>
      <c r="K552" s="79"/>
    </row>
    <row r="553">
      <c r="A553" s="79"/>
      <c r="C553" s="77"/>
      <c r="D553" s="79"/>
      <c r="F553" s="77"/>
      <c r="G553" s="79"/>
      <c r="I553" s="77"/>
      <c r="K553" s="79"/>
    </row>
    <row r="554">
      <c r="A554" s="79"/>
      <c r="C554" s="77"/>
      <c r="D554" s="79"/>
      <c r="F554" s="77"/>
      <c r="G554" s="79"/>
      <c r="I554" s="77"/>
      <c r="K554" s="79"/>
    </row>
    <row r="555">
      <c r="A555" s="79"/>
      <c r="C555" s="77"/>
      <c r="D555" s="79"/>
      <c r="F555" s="77"/>
      <c r="G555" s="79"/>
      <c r="I555" s="77"/>
      <c r="K555" s="79"/>
    </row>
    <row r="556">
      <c r="A556" s="79"/>
      <c r="C556" s="77"/>
      <c r="D556" s="79"/>
      <c r="F556" s="77"/>
      <c r="G556" s="79"/>
      <c r="I556" s="77"/>
      <c r="K556" s="79"/>
    </row>
    <row r="557">
      <c r="A557" s="79"/>
      <c r="C557" s="77"/>
      <c r="D557" s="79"/>
      <c r="F557" s="77"/>
      <c r="G557" s="79"/>
      <c r="I557" s="77"/>
      <c r="K557" s="79"/>
    </row>
    <row r="558">
      <c r="A558" s="79"/>
      <c r="C558" s="77"/>
      <c r="D558" s="79"/>
      <c r="F558" s="77"/>
      <c r="G558" s="79"/>
      <c r="I558" s="77"/>
      <c r="K558" s="79"/>
    </row>
    <row r="559">
      <c r="A559" s="79"/>
      <c r="C559" s="77"/>
      <c r="D559" s="79"/>
      <c r="F559" s="77"/>
      <c r="G559" s="79"/>
      <c r="I559" s="77"/>
      <c r="K559" s="79"/>
    </row>
    <row r="560">
      <c r="A560" s="79"/>
      <c r="C560" s="77"/>
      <c r="D560" s="79"/>
      <c r="F560" s="77"/>
      <c r="G560" s="79"/>
      <c r="I560" s="77"/>
      <c r="K560" s="79"/>
    </row>
    <row r="561">
      <c r="A561" s="79"/>
      <c r="C561" s="77"/>
      <c r="D561" s="79"/>
      <c r="F561" s="77"/>
      <c r="G561" s="79"/>
      <c r="I561" s="77"/>
      <c r="K561" s="79"/>
    </row>
    <row r="562">
      <c r="A562" s="79"/>
      <c r="C562" s="77"/>
      <c r="D562" s="79"/>
      <c r="F562" s="77"/>
      <c r="G562" s="79"/>
      <c r="I562" s="77"/>
      <c r="K562" s="79"/>
    </row>
    <row r="563">
      <c r="A563" s="79"/>
      <c r="C563" s="77"/>
      <c r="D563" s="79"/>
      <c r="F563" s="77"/>
      <c r="G563" s="79"/>
      <c r="I563" s="77"/>
      <c r="K563" s="79"/>
    </row>
    <row r="564">
      <c r="A564" s="79"/>
      <c r="C564" s="77"/>
      <c r="D564" s="79"/>
      <c r="F564" s="77"/>
      <c r="G564" s="79"/>
      <c r="I564" s="77"/>
      <c r="K564" s="79"/>
    </row>
    <row r="565">
      <c r="A565" s="79"/>
      <c r="C565" s="77"/>
      <c r="D565" s="79"/>
      <c r="F565" s="77"/>
      <c r="G565" s="79"/>
      <c r="I565" s="77"/>
      <c r="K565" s="79"/>
    </row>
    <row r="566">
      <c r="A566" s="79"/>
      <c r="C566" s="77"/>
      <c r="D566" s="79"/>
      <c r="F566" s="77"/>
      <c r="G566" s="79"/>
      <c r="I566" s="77"/>
      <c r="K566" s="79"/>
    </row>
    <row r="567">
      <c r="A567" s="79"/>
      <c r="C567" s="77"/>
      <c r="D567" s="79"/>
      <c r="F567" s="77"/>
      <c r="G567" s="79"/>
      <c r="I567" s="77"/>
      <c r="K567" s="79"/>
    </row>
    <row r="568">
      <c r="A568" s="79"/>
      <c r="C568" s="77"/>
      <c r="D568" s="79"/>
      <c r="F568" s="77"/>
      <c r="G568" s="79"/>
      <c r="I568" s="77"/>
      <c r="K568" s="79"/>
    </row>
    <row r="569">
      <c r="A569" s="79"/>
      <c r="C569" s="77"/>
      <c r="D569" s="79"/>
      <c r="F569" s="77"/>
      <c r="G569" s="79"/>
      <c r="I569" s="77"/>
      <c r="K569" s="79"/>
    </row>
    <row r="570">
      <c r="A570" s="79"/>
      <c r="C570" s="77"/>
      <c r="D570" s="79"/>
      <c r="F570" s="77"/>
      <c r="G570" s="79"/>
      <c r="I570" s="77"/>
      <c r="K570" s="79"/>
    </row>
    <row r="571">
      <c r="A571" s="79"/>
      <c r="C571" s="77"/>
      <c r="D571" s="79"/>
      <c r="F571" s="77"/>
      <c r="G571" s="79"/>
      <c r="I571" s="77"/>
      <c r="K571" s="79"/>
    </row>
    <row r="572">
      <c r="A572" s="79"/>
      <c r="C572" s="77"/>
      <c r="D572" s="79"/>
      <c r="F572" s="77"/>
      <c r="G572" s="79"/>
      <c r="I572" s="77"/>
      <c r="K572" s="79"/>
    </row>
    <row r="573">
      <c r="A573" s="79"/>
      <c r="C573" s="77"/>
      <c r="D573" s="79"/>
      <c r="F573" s="77"/>
      <c r="G573" s="79"/>
      <c r="I573" s="77"/>
      <c r="K573" s="79"/>
    </row>
    <row r="574">
      <c r="A574" s="79"/>
      <c r="C574" s="77"/>
      <c r="D574" s="79"/>
      <c r="F574" s="77"/>
      <c r="G574" s="79"/>
      <c r="I574" s="77"/>
      <c r="K574" s="79"/>
    </row>
    <row r="575">
      <c r="A575" s="79"/>
      <c r="C575" s="77"/>
      <c r="D575" s="79"/>
      <c r="F575" s="77"/>
      <c r="G575" s="79"/>
      <c r="I575" s="77"/>
      <c r="K575" s="79"/>
    </row>
    <row r="576">
      <c r="A576" s="79"/>
      <c r="C576" s="77"/>
      <c r="D576" s="79"/>
      <c r="F576" s="77"/>
      <c r="G576" s="79"/>
      <c r="I576" s="77"/>
      <c r="K576" s="79"/>
    </row>
    <row r="577">
      <c r="A577" s="79"/>
      <c r="C577" s="77"/>
      <c r="D577" s="79"/>
      <c r="F577" s="77"/>
      <c r="G577" s="79"/>
      <c r="I577" s="77"/>
      <c r="K577" s="79"/>
    </row>
    <row r="578">
      <c r="A578" s="79"/>
      <c r="C578" s="77"/>
      <c r="D578" s="79"/>
      <c r="F578" s="77"/>
      <c r="G578" s="79"/>
      <c r="I578" s="77"/>
      <c r="K578" s="79"/>
    </row>
    <row r="579">
      <c r="A579" s="79"/>
      <c r="C579" s="77"/>
      <c r="D579" s="79"/>
      <c r="F579" s="77"/>
      <c r="G579" s="79"/>
      <c r="I579" s="77"/>
      <c r="K579" s="79"/>
    </row>
    <row r="580">
      <c r="A580" s="79"/>
      <c r="C580" s="77"/>
      <c r="D580" s="79"/>
      <c r="F580" s="77"/>
      <c r="G580" s="79"/>
      <c r="I580" s="77"/>
      <c r="K580" s="79"/>
    </row>
    <row r="581">
      <c r="A581" s="79"/>
      <c r="C581" s="77"/>
      <c r="D581" s="79"/>
      <c r="F581" s="77"/>
      <c r="G581" s="79"/>
      <c r="I581" s="77"/>
      <c r="K581" s="79"/>
    </row>
    <row r="582">
      <c r="A582" s="79"/>
      <c r="C582" s="77"/>
      <c r="D582" s="79"/>
      <c r="F582" s="77"/>
      <c r="G582" s="79"/>
      <c r="I582" s="77"/>
      <c r="K582" s="79"/>
    </row>
    <row r="583">
      <c r="A583" s="79"/>
      <c r="C583" s="77"/>
      <c r="D583" s="79"/>
      <c r="F583" s="77"/>
      <c r="G583" s="79"/>
      <c r="I583" s="77"/>
      <c r="K583" s="79"/>
    </row>
    <row r="584">
      <c r="A584" s="79"/>
      <c r="C584" s="77"/>
      <c r="D584" s="79"/>
      <c r="F584" s="77"/>
      <c r="G584" s="79"/>
      <c r="I584" s="77"/>
      <c r="K584" s="79"/>
    </row>
    <row r="585">
      <c r="A585" s="79"/>
      <c r="C585" s="77"/>
      <c r="D585" s="79"/>
      <c r="F585" s="77"/>
      <c r="G585" s="79"/>
      <c r="I585" s="77"/>
      <c r="K585" s="79"/>
    </row>
    <row r="586">
      <c r="A586" s="79"/>
      <c r="C586" s="77"/>
      <c r="D586" s="79"/>
      <c r="F586" s="77"/>
      <c r="G586" s="79"/>
      <c r="I586" s="77"/>
      <c r="K586" s="79"/>
    </row>
    <row r="587">
      <c r="A587" s="79"/>
      <c r="C587" s="77"/>
      <c r="D587" s="79"/>
      <c r="F587" s="77"/>
      <c r="G587" s="79"/>
      <c r="I587" s="77"/>
      <c r="K587" s="79"/>
    </row>
    <row r="588">
      <c r="A588" s="79"/>
      <c r="C588" s="77"/>
      <c r="D588" s="79"/>
      <c r="F588" s="77"/>
      <c r="G588" s="79"/>
      <c r="I588" s="77"/>
      <c r="K588" s="79"/>
    </row>
    <row r="589">
      <c r="A589" s="79"/>
      <c r="C589" s="77"/>
      <c r="D589" s="79"/>
      <c r="F589" s="77"/>
      <c r="G589" s="79"/>
      <c r="I589" s="77"/>
      <c r="K589" s="79"/>
    </row>
    <row r="590">
      <c r="A590" s="79"/>
      <c r="C590" s="77"/>
      <c r="D590" s="79"/>
      <c r="F590" s="77"/>
      <c r="G590" s="79"/>
      <c r="I590" s="77"/>
      <c r="K590" s="79"/>
    </row>
    <row r="591">
      <c r="A591" s="79"/>
      <c r="C591" s="77"/>
      <c r="D591" s="79"/>
      <c r="F591" s="77"/>
      <c r="G591" s="79"/>
      <c r="I591" s="77"/>
      <c r="K591" s="79"/>
    </row>
    <row r="592">
      <c r="A592" s="79"/>
      <c r="C592" s="77"/>
      <c r="D592" s="79"/>
      <c r="F592" s="77"/>
      <c r="G592" s="79"/>
      <c r="I592" s="77"/>
      <c r="K592" s="79"/>
    </row>
    <row r="593">
      <c r="A593" s="79"/>
      <c r="C593" s="77"/>
      <c r="D593" s="79"/>
      <c r="F593" s="77"/>
      <c r="G593" s="79"/>
      <c r="I593" s="77"/>
      <c r="K593" s="79"/>
    </row>
    <row r="594">
      <c r="A594" s="79"/>
      <c r="C594" s="77"/>
      <c r="D594" s="79"/>
      <c r="F594" s="77"/>
      <c r="G594" s="79"/>
      <c r="I594" s="77"/>
      <c r="K594" s="79"/>
    </row>
    <row r="595">
      <c r="A595" s="79"/>
      <c r="C595" s="77"/>
      <c r="D595" s="79"/>
      <c r="F595" s="77"/>
      <c r="G595" s="79"/>
      <c r="I595" s="77"/>
      <c r="K595" s="79"/>
    </row>
    <row r="596">
      <c r="A596" s="79"/>
      <c r="C596" s="77"/>
      <c r="D596" s="79"/>
      <c r="F596" s="77"/>
      <c r="G596" s="79"/>
      <c r="I596" s="77"/>
      <c r="K596" s="79"/>
    </row>
    <row r="597">
      <c r="A597" s="79"/>
      <c r="C597" s="77"/>
      <c r="D597" s="79"/>
      <c r="F597" s="77"/>
      <c r="G597" s="79"/>
      <c r="I597" s="77"/>
      <c r="K597" s="79"/>
    </row>
    <row r="598">
      <c r="A598" s="79"/>
      <c r="C598" s="77"/>
      <c r="D598" s="79"/>
      <c r="F598" s="77"/>
      <c r="G598" s="79"/>
      <c r="I598" s="77"/>
      <c r="K598" s="79"/>
    </row>
    <row r="599">
      <c r="A599" s="79"/>
      <c r="C599" s="77"/>
      <c r="D599" s="79"/>
      <c r="F599" s="77"/>
      <c r="G599" s="79"/>
      <c r="I599" s="77"/>
      <c r="K599" s="79"/>
    </row>
    <row r="600">
      <c r="A600" s="79"/>
      <c r="C600" s="77"/>
      <c r="D600" s="79"/>
      <c r="F600" s="77"/>
      <c r="G600" s="79"/>
      <c r="I600" s="77"/>
      <c r="K600" s="79"/>
    </row>
    <row r="601">
      <c r="A601" s="79"/>
      <c r="C601" s="77"/>
      <c r="D601" s="79"/>
      <c r="F601" s="77"/>
      <c r="G601" s="79"/>
      <c r="I601" s="77"/>
      <c r="K601" s="79"/>
    </row>
    <row r="602">
      <c r="A602" s="79"/>
      <c r="C602" s="77"/>
      <c r="D602" s="79"/>
      <c r="F602" s="77"/>
      <c r="G602" s="79"/>
      <c r="I602" s="77"/>
      <c r="K602" s="79"/>
    </row>
    <row r="603">
      <c r="A603" s="79"/>
      <c r="C603" s="77"/>
      <c r="D603" s="79"/>
      <c r="F603" s="77"/>
      <c r="G603" s="79"/>
      <c r="I603" s="77"/>
      <c r="K603" s="79"/>
    </row>
    <row r="604">
      <c r="A604" s="79"/>
      <c r="C604" s="77"/>
      <c r="D604" s="79"/>
      <c r="F604" s="77"/>
      <c r="G604" s="79"/>
      <c r="I604" s="77"/>
      <c r="K604" s="79"/>
    </row>
    <row r="605">
      <c r="A605" s="79"/>
      <c r="C605" s="77"/>
      <c r="D605" s="79"/>
      <c r="F605" s="77"/>
      <c r="G605" s="79"/>
      <c r="I605" s="77"/>
      <c r="K605" s="79"/>
    </row>
    <row r="606">
      <c r="A606" s="79"/>
      <c r="C606" s="77"/>
      <c r="D606" s="79"/>
      <c r="F606" s="77"/>
      <c r="G606" s="79"/>
      <c r="I606" s="77"/>
      <c r="K606" s="79"/>
    </row>
    <row r="607">
      <c r="A607" s="79"/>
      <c r="C607" s="77"/>
      <c r="D607" s="79"/>
      <c r="F607" s="77"/>
      <c r="G607" s="79"/>
      <c r="I607" s="77"/>
      <c r="K607" s="79"/>
    </row>
    <row r="608">
      <c r="A608" s="79"/>
      <c r="C608" s="77"/>
      <c r="D608" s="79"/>
      <c r="F608" s="77"/>
      <c r="G608" s="79"/>
      <c r="I608" s="77"/>
      <c r="K608" s="79"/>
    </row>
    <row r="609">
      <c r="A609" s="79"/>
      <c r="C609" s="77"/>
      <c r="D609" s="79"/>
      <c r="F609" s="77"/>
      <c r="G609" s="79"/>
      <c r="I609" s="77"/>
      <c r="K609" s="79"/>
    </row>
    <row r="610">
      <c r="A610" s="79"/>
      <c r="C610" s="77"/>
      <c r="D610" s="79"/>
      <c r="F610" s="77"/>
      <c r="G610" s="79"/>
      <c r="I610" s="77"/>
      <c r="K610" s="79"/>
    </row>
    <row r="611">
      <c r="A611" s="79"/>
      <c r="C611" s="77"/>
      <c r="D611" s="79"/>
      <c r="F611" s="77"/>
      <c r="G611" s="79"/>
      <c r="I611" s="77"/>
      <c r="K611" s="79"/>
    </row>
    <row r="612">
      <c r="A612" s="79"/>
      <c r="C612" s="77"/>
      <c r="D612" s="79"/>
      <c r="F612" s="77"/>
      <c r="G612" s="79"/>
      <c r="I612" s="77"/>
      <c r="K612" s="79"/>
    </row>
    <row r="613">
      <c r="A613" s="79"/>
      <c r="C613" s="77"/>
      <c r="D613" s="79"/>
      <c r="F613" s="77"/>
      <c r="G613" s="79"/>
      <c r="I613" s="77"/>
      <c r="K613" s="79"/>
    </row>
    <row r="614">
      <c r="A614" s="79"/>
      <c r="C614" s="77"/>
      <c r="D614" s="79"/>
      <c r="F614" s="77"/>
      <c r="G614" s="79"/>
      <c r="I614" s="77"/>
      <c r="K614" s="79"/>
    </row>
    <row r="615">
      <c r="A615" s="79"/>
      <c r="C615" s="77"/>
      <c r="D615" s="79"/>
      <c r="F615" s="77"/>
      <c r="G615" s="79"/>
      <c r="I615" s="77"/>
      <c r="K615" s="79"/>
    </row>
    <row r="616">
      <c r="A616" s="79"/>
      <c r="C616" s="77"/>
      <c r="D616" s="79"/>
      <c r="F616" s="77"/>
      <c r="G616" s="79"/>
      <c r="I616" s="77"/>
      <c r="K616" s="79"/>
    </row>
    <row r="617">
      <c r="A617" s="79"/>
      <c r="C617" s="77"/>
      <c r="D617" s="79"/>
      <c r="F617" s="77"/>
      <c r="G617" s="79"/>
      <c r="I617" s="77"/>
      <c r="K617" s="79"/>
    </row>
    <row r="618">
      <c r="A618" s="79"/>
      <c r="C618" s="77"/>
      <c r="D618" s="79"/>
      <c r="F618" s="77"/>
      <c r="G618" s="79"/>
      <c r="I618" s="77"/>
      <c r="K618" s="79"/>
    </row>
    <row r="619">
      <c r="A619" s="79"/>
      <c r="C619" s="77"/>
      <c r="D619" s="79"/>
      <c r="F619" s="77"/>
      <c r="G619" s="79"/>
      <c r="I619" s="77"/>
      <c r="K619" s="79"/>
    </row>
    <row r="620">
      <c r="A620" s="79"/>
      <c r="C620" s="77"/>
      <c r="D620" s="79"/>
      <c r="F620" s="77"/>
      <c r="G620" s="79"/>
      <c r="I620" s="77"/>
      <c r="K620" s="79"/>
    </row>
    <row r="621">
      <c r="A621" s="79"/>
      <c r="C621" s="77"/>
      <c r="D621" s="79"/>
      <c r="F621" s="77"/>
      <c r="G621" s="79"/>
      <c r="I621" s="77"/>
      <c r="K621" s="79"/>
    </row>
    <row r="622">
      <c r="A622" s="79"/>
      <c r="C622" s="77"/>
      <c r="D622" s="79"/>
      <c r="F622" s="77"/>
      <c r="G622" s="79"/>
      <c r="I622" s="77"/>
      <c r="K622" s="79"/>
    </row>
    <row r="623">
      <c r="A623" s="79"/>
      <c r="C623" s="77"/>
      <c r="D623" s="79"/>
      <c r="F623" s="77"/>
      <c r="G623" s="79"/>
      <c r="I623" s="77"/>
      <c r="K623" s="79"/>
    </row>
    <row r="624">
      <c r="A624" s="79"/>
      <c r="C624" s="77"/>
      <c r="D624" s="79"/>
      <c r="F624" s="77"/>
      <c r="G624" s="79"/>
      <c r="I624" s="77"/>
      <c r="K624" s="79"/>
    </row>
    <row r="625">
      <c r="A625" s="79"/>
      <c r="C625" s="77"/>
      <c r="D625" s="79"/>
      <c r="F625" s="77"/>
      <c r="G625" s="79"/>
      <c r="I625" s="77"/>
      <c r="K625" s="79"/>
    </row>
    <row r="626">
      <c r="A626" s="79"/>
      <c r="C626" s="77"/>
      <c r="D626" s="79"/>
      <c r="F626" s="77"/>
      <c r="G626" s="79"/>
      <c r="I626" s="77"/>
      <c r="K626" s="79"/>
    </row>
    <row r="627">
      <c r="A627" s="79"/>
      <c r="C627" s="77"/>
      <c r="D627" s="79"/>
      <c r="F627" s="77"/>
      <c r="G627" s="79"/>
      <c r="I627" s="77"/>
      <c r="K627" s="79"/>
    </row>
    <row r="628">
      <c r="A628" s="79"/>
      <c r="C628" s="77"/>
      <c r="D628" s="79"/>
      <c r="F628" s="77"/>
      <c r="G628" s="79"/>
      <c r="I628" s="77"/>
      <c r="K628" s="79"/>
    </row>
    <row r="629">
      <c r="A629" s="79"/>
      <c r="C629" s="77"/>
      <c r="D629" s="79"/>
      <c r="F629" s="77"/>
      <c r="G629" s="79"/>
      <c r="I629" s="77"/>
      <c r="K629" s="79"/>
    </row>
    <row r="630">
      <c r="A630" s="79"/>
      <c r="C630" s="77"/>
      <c r="D630" s="79"/>
      <c r="F630" s="77"/>
      <c r="G630" s="79"/>
      <c r="I630" s="77"/>
      <c r="K630" s="79"/>
    </row>
    <row r="631">
      <c r="A631" s="79"/>
      <c r="C631" s="77"/>
      <c r="D631" s="79"/>
      <c r="F631" s="77"/>
      <c r="G631" s="79"/>
      <c r="I631" s="77"/>
      <c r="K631" s="79"/>
    </row>
    <row r="632">
      <c r="A632" s="79"/>
      <c r="C632" s="77"/>
      <c r="D632" s="79"/>
      <c r="F632" s="77"/>
      <c r="G632" s="79"/>
      <c r="I632" s="77"/>
      <c r="K632" s="79"/>
    </row>
    <row r="633">
      <c r="A633" s="79"/>
      <c r="C633" s="77"/>
      <c r="D633" s="79"/>
      <c r="F633" s="77"/>
      <c r="G633" s="79"/>
      <c r="I633" s="77"/>
      <c r="K633" s="79"/>
    </row>
    <row r="634">
      <c r="A634" s="79"/>
      <c r="C634" s="77"/>
      <c r="D634" s="79"/>
      <c r="F634" s="77"/>
      <c r="G634" s="79"/>
      <c r="I634" s="77"/>
      <c r="K634" s="79"/>
    </row>
    <row r="635">
      <c r="A635" s="79"/>
      <c r="C635" s="77"/>
      <c r="D635" s="79"/>
      <c r="F635" s="77"/>
      <c r="G635" s="79"/>
      <c r="I635" s="77"/>
      <c r="K635" s="79"/>
    </row>
    <row r="636">
      <c r="A636" s="79"/>
      <c r="C636" s="77"/>
      <c r="D636" s="79"/>
      <c r="F636" s="77"/>
      <c r="G636" s="79"/>
      <c r="I636" s="77"/>
      <c r="K636" s="79"/>
    </row>
    <row r="637">
      <c r="A637" s="79"/>
      <c r="C637" s="77"/>
      <c r="D637" s="79"/>
      <c r="F637" s="77"/>
      <c r="G637" s="79"/>
      <c r="I637" s="77"/>
      <c r="K637" s="79"/>
    </row>
    <row r="638">
      <c r="A638" s="79"/>
      <c r="C638" s="77"/>
      <c r="D638" s="79"/>
      <c r="F638" s="77"/>
      <c r="G638" s="79"/>
      <c r="I638" s="77"/>
      <c r="K638" s="79"/>
    </row>
    <row r="639">
      <c r="A639" s="79"/>
      <c r="C639" s="77"/>
      <c r="D639" s="79"/>
      <c r="F639" s="77"/>
      <c r="G639" s="79"/>
      <c r="I639" s="77"/>
      <c r="K639" s="79"/>
    </row>
    <row r="640">
      <c r="A640" s="79"/>
      <c r="C640" s="77"/>
      <c r="D640" s="79"/>
      <c r="F640" s="77"/>
      <c r="G640" s="79"/>
      <c r="I640" s="77"/>
      <c r="K640" s="79"/>
    </row>
    <row r="641">
      <c r="A641" s="79"/>
      <c r="C641" s="77"/>
      <c r="D641" s="79"/>
      <c r="F641" s="77"/>
      <c r="G641" s="79"/>
      <c r="I641" s="77"/>
      <c r="K641" s="79"/>
    </row>
    <row r="642">
      <c r="A642" s="79"/>
      <c r="C642" s="77"/>
      <c r="D642" s="79"/>
      <c r="F642" s="77"/>
      <c r="G642" s="79"/>
      <c r="I642" s="77"/>
      <c r="K642" s="79"/>
    </row>
    <row r="643">
      <c r="A643" s="79"/>
      <c r="C643" s="77"/>
      <c r="D643" s="79"/>
      <c r="F643" s="77"/>
      <c r="G643" s="79"/>
      <c r="I643" s="77"/>
      <c r="K643" s="79"/>
    </row>
    <row r="644">
      <c r="A644" s="79"/>
      <c r="C644" s="77"/>
      <c r="D644" s="79"/>
      <c r="F644" s="77"/>
      <c r="G644" s="79"/>
      <c r="I644" s="77"/>
      <c r="K644" s="79"/>
    </row>
    <row r="645">
      <c r="A645" s="79"/>
      <c r="C645" s="77"/>
      <c r="D645" s="79"/>
      <c r="F645" s="77"/>
      <c r="G645" s="79"/>
      <c r="I645" s="77"/>
      <c r="K645" s="79"/>
    </row>
    <row r="646">
      <c r="A646" s="79"/>
      <c r="C646" s="77"/>
      <c r="D646" s="79"/>
      <c r="F646" s="77"/>
      <c r="G646" s="79"/>
      <c r="I646" s="77"/>
      <c r="K646" s="79"/>
    </row>
    <row r="647">
      <c r="A647" s="79"/>
      <c r="C647" s="77"/>
      <c r="D647" s="79"/>
      <c r="F647" s="77"/>
      <c r="G647" s="79"/>
      <c r="I647" s="77"/>
      <c r="K647" s="79"/>
    </row>
    <row r="648">
      <c r="A648" s="79"/>
      <c r="C648" s="77"/>
      <c r="D648" s="79"/>
      <c r="F648" s="77"/>
      <c r="G648" s="79"/>
      <c r="I648" s="77"/>
      <c r="K648" s="79"/>
    </row>
    <row r="649">
      <c r="A649" s="79"/>
      <c r="C649" s="77"/>
      <c r="D649" s="79"/>
      <c r="F649" s="77"/>
      <c r="G649" s="79"/>
      <c r="I649" s="77"/>
      <c r="K649" s="79"/>
    </row>
    <row r="650">
      <c r="A650" s="79"/>
      <c r="C650" s="77"/>
      <c r="D650" s="79"/>
      <c r="F650" s="77"/>
      <c r="G650" s="79"/>
      <c r="I650" s="77"/>
      <c r="K650" s="79"/>
    </row>
    <row r="651">
      <c r="A651" s="79"/>
      <c r="C651" s="77"/>
      <c r="D651" s="79"/>
      <c r="F651" s="77"/>
      <c r="G651" s="79"/>
      <c r="I651" s="77"/>
      <c r="K651" s="79"/>
    </row>
    <row r="652">
      <c r="A652" s="79"/>
      <c r="C652" s="77"/>
      <c r="D652" s="79"/>
      <c r="F652" s="77"/>
      <c r="G652" s="79"/>
      <c r="I652" s="77"/>
      <c r="K652" s="79"/>
    </row>
    <row r="653">
      <c r="A653" s="79"/>
      <c r="C653" s="77"/>
      <c r="D653" s="79"/>
      <c r="F653" s="77"/>
      <c r="G653" s="79"/>
      <c r="I653" s="77"/>
      <c r="K653" s="79"/>
    </row>
    <row r="654">
      <c r="A654" s="79"/>
      <c r="C654" s="77"/>
      <c r="D654" s="79"/>
      <c r="F654" s="77"/>
      <c r="G654" s="79"/>
      <c r="I654" s="77"/>
      <c r="K654" s="79"/>
    </row>
    <row r="655">
      <c r="A655" s="79"/>
      <c r="C655" s="77"/>
      <c r="D655" s="79"/>
      <c r="F655" s="77"/>
      <c r="G655" s="79"/>
      <c r="I655" s="77"/>
      <c r="K655" s="79"/>
    </row>
    <row r="656">
      <c r="A656" s="79"/>
      <c r="C656" s="77"/>
      <c r="D656" s="79"/>
      <c r="F656" s="77"/>
      <c r="G656" s="79"/>
      <c r="I656" s="77"/>
      <c r="K656" s="79"/>
    </row>
    <row r="657">
      <c r="A657" s="79"/>
      <c r="C657" s="77"/>
      <c r="D657" s="79"/>
      <c r="F657" s="77"/>
      <c r="G657" s="79"/>
      <c r="I657" s="77"/>
      <c r="K657" s="79"/>
    </row>
    <row r="658">
      <c r="A658" s="79"/>
      <c r="C658" s="77"/>
      <c r="D658" s="79"/>
      <c r="F658" s="77"/>
      <c r="G658" s="79"/>
      <c r="I658" s="77"/>
      <c r="K658" s="79"/>
    </row>
    <row r="659">
      <c r="A659" s="79"/>
      <c r="C659" s="77"/>
      <c r="D659" s="79"/>
      <c r="F659" s="77"/>
      <c r="G659" s="79"/>
      <c r="I659" s="77"/>
      <c r="K659" s="79"/>
    </row>
    <row r="660">
      <c r="A660" s="79"/>
      <c r="C660" s="77"/>
      <c r="D660" s="79"/>
      <c r="F660" s="77"/>
      <c r="G660" s="79"/>
      <c r="I660" s="77"/>
      <c r="K660" s="79"/>
    </row>
    <row r="661">
      <c r="A661" s="79"/>
      <c r="C661" s="77"/>
      <c r="D661" s="79"/>
      <c r="F661" s="77"/>
      <c r="G661" s="79"/>
      <c r="I661" s="77"/>
      <c r="K661" s="79"/>
    </row>
    <row r="662">
      <c r="A662" s="79"/>
      <c r="C662" s="77"/>
      <c r="D662" s="79"/>
      <c r="F662" s="77"/>
      <c r="G662" s="79"/>
      <c r="I662" s="77"/>
      <c r="K662" s="79"/>
    </row>
    <row r="663">
      <c r="A663" s="79"/>
      <c r="C663" s="77"/>
      <c r="D663" s="79"/>
      <c r="F663" s="77"/>
      <c r="G663" s="79"/>
      <c r="I663" s="77"/>
      <c r="K663" s="79"/>
    </row>
    <row r="664">
      <c r="A664" s="79"/>
      <c r="C664" s="77"/>
      <c r="D664" s="79"/>
      <c r="F664" s="77"/>
      <c r="G664" s="79"/>
      <c r="I664" s="77"/>
      <c r="K664" s="79"/>
    </row>
    <row r="665">
      <c r="A665" s="79"/>
      <c r="C665" s="77"/>
      <c r="D665" s="79"/>
      <c r="F665" s="77"/>
      <c r="G665" s="79"/>
      <c r="I665" s="77"/>
      <c r="K665" s="79"/>
    </row>
    <row r="666">
      <c r="A666" s="79"/>
      <c r="C666" s="77"/>
      <c r="D666" s="79"/>
      <c r="F666" s="77"/>
      <c r="G666" s="79"/>
      <c r="I666" s="77"/>
      <c r="K666" s="79"/>
    </row>
    <row r="667">
      <c r="A667" s="79"/>
      <c r="C667" s="77"/>
      <c r="D667" s="79"/>
      <c r="F667" s="77"/>
      <c r="G667" s="79"/>
      <c r="I667" s="77"/>
      <c r="K667" s="79"/>
    </row>
    <row r="668">
      <c r="A668" s="79"/>
      <c r="C668" s="77"/>
      <c r="D668" s="79"/>
      <c r="F668" s="77"/>
      <c r="G668" s="79"/>
      <c r="I668" s="77"/>
      <c r="K668" s="79"/>
    </row>
    <row r="669">
      <c r="A669" s="79"/>
      <c r="C669" s="77"/>
      <c r="D669" s="79"/>
      <c r="F669" s="77"/>
      <c r="G669" s="79"/>
      <c r="I669" s="77"/>
      <c r="K669" s="79"/>
    </row>
    <row r="670">
      <c r="A670" s="79"/>
      <c r="C670" s="77"/>
      <c r="D670" s="79"/>
      <c r="F670" s="77"/>
      <c r="G670" s="79"/>
      <c r="I670" s="77"/>
      <c r="K670" s="79"/>
    </row>
    <row r="671">
      <c r="A671" s="79"/>
      <c r="C671" s="77"/>
      <c r="D671" s="79"/>
      <c r="F671" s="77"/>
      <c r="G671" s="79"/>
      <c r="I671" s="77"/>
      <c r="K671" s="79"/>
    </row>
    <row r="672">
      <c r="A672" s="79"/>
      <c r="C672" s="77"/>
      <c r="D672" s="79"/>
      <c r="F672" s="77"/>
      <c r="G672" s="79"/>
      <c r="I672" s="77"/>
      <c r="K672" s="79"/>
    </row>
    <row r="673">
      <c r="A673" s="79"/>
      <c r="C673" s="77"/>
      <c r="D673" s="79"/>
      <c r="F673" s="77"/>
      <c r="G673" s="79"/>
      <c r="I673" s="77"/>
      <c r="K673" s="79"/>
    </row>
    <row r="674">
      <c r="A674" s="79"/>
      <c r="C674" s="77"/>
      <c r="D674" s="79"/>
      <c r="F674" s="77"/>
      <c r="G674" s="79"/>
      <c r="I674" s="77"/>
      <c r="K674" s="79"/>
    </row>
    <row r="675">
      <c r="A675" s="79"/>
      <c r="C675" s="77"/>
      <c r="D675" s="79"/>
      <c r="F675" s="77"/>
      <c r="G675" s="79"/>
      <c r="I675" s="77"/>
      <c r="K675" s="79"/>
    </row>
    <row r="676">
      <c r="A676" s="79"/>
      <c r="C676" s="77"/>
      <c r="D676" s="79"/>
      <c r="F676" s="77"/>
      <c r="G676" s="79"/>
      <c r="I676" s="77"/>
      <c r="K676" s="79"/>
    </row>
    <row r="677">
      <c r="A677" s="79"/>
      <c r="C677" s="77"/>
      <c r="D677" s="79"/>
      <c r="F677" s="77"/>
      <c r="G677" s="79"/>
      <c r="I677" s="77"/>
      <c r="K677" s="79"/>
    </row>
    <row r="678">
      <c r="A678" s="79"/>
      <c r="C678" s="77"/>
      <c r="D678" s="79"/>
      <c r="F678" s="77"/>
      <c r="G678" s="79"/>
      <c r="I678" s="77"/>
      <c r="K678" s="79"/>
    </row>
    <row r="679">
      <c r="A679" s="79"/>
      <c r="C679" s="77"/>
      <c r="D679" s="79"/>
      <c r="F679" s="77"/>
      <c r="G679" s="79"/>
      <c r="I679" s="77"/>
      <c r="K679" s="79"/>
    </row>
    <row r="680">
      <c r="A680" s="79"/>
      <c r="C680" s="77"/>
      <c r="D680" s="79"/>
      <c r="F680" s="77"/>
      <c r="G680" s="79"/>
      <c r="I680" s="77"/>
      <c r="K680" s="79"/>
    </row>
    <row r="681">
      <c r="A681" s="79"/>
      <c r="C681" s="77"/>
      <c r="D681" s="79"/>
      <c r="F681" s="77"/>
      <c r="G681" s="79"/>
      <c r="I681" s="77"/>
      <c r="K681" s="79"/>
    </row>
    <row r="682">
      <c r="A682" s="79"/>
      <c r="C682" s="77"/>
      <c r="D682" s="79"/>
      <c r="F682" s="77"/>
      <c r="G682" s="79"/>
      <c r="I682" s="77"/>
      <c r="K682" s="79"/>
    </row>
    <row r="683">
      <c r="A683" s="79"/>
      <c r="C683" s="77"/>
      <c r="D683" s="79"/>
      <c r="F683" s="77"/>
      <c r="G683" s="79"/>
      <c r="I683" s="77"/>
      <c r="K683" s="79"/>
    </row>
    <row r="684">
      <c r="A684" s="79"/>
      <c r="C684" s="77"/>
      <c r="D684" s="79"/>
      <c r="F684" s="77"/>
      <c r="G684" s="79"/>
      <c r="I684" s="77"/>
      <c r="K684" s="79"/>
    </row>
    <row r="685">
      <c r="A685" s="79"/>
      <c r="C685" s="77"/>
      <c r="D685" s="79"/>
      <c r="F685" s="77"/>
      <c r="G685" s="79"/>
      <c r="I685" s="77"/>
      <c r="K685" s="79"/>
    </row>
    <row r="686">
      <c r="A686" s="79"/>
      <c r="C686" s="77"/>
      <c r="D686" s="79"/>
      <c r="F686" s="77"/>
      <c r="G686" s="79"/>
      <c r="I686" s="77"/>
      <c r="K686" s="79"/>
    </row>
    <row r="687">
      <c r="A687" s="79"/>
      <c r="C687" s="77"/>
      <c r="D687" s="79"/>
      <c r="F687" s="77"/>
      <c r="G687" s="79"/>
      <c r="I687" s="77"/>
      <c r="K687" s="79"/>
    </row>
    <row r="688">
      <c r="A688" s="79"/>
      <c r="C688" s="77"/>
      <c r="D688" s="79"/>
      <c r="F688" s="77"/>
      <c r="G688" s="79"/>
      <c r="I688" s="77"/>
      <c r="K688" s="79"/>
    </row>
    <row r="689">
      <c r="A689" s="79"/>
      <c r="C689" s="77"/>
      <c r="D689" s="79"/>
      <c r="F689" s="77"/>
      <c r="G689" s="79"/>
      <c r="I689" s="77"/>
      <c r="K689" s="79"/>
    </row>
    <row r="690">
      <c r="A690" s="79"/>
      <c r="C690" s="77"/>
      <c r="D690" s="79"/>
      <c r="F690" s="77"/>
      <c r="G690" s="79"/>
      <c r="I690" s="77"/>
      <c r="K690" s="79"/>
    </row>
    <row r="691">
      <c r="A691" s="79"/>
      <c r="C691" s="77"/>
      <c r="D691" s="79"/>
      <c r="F691" s="77"/>
      <c r="G691" s="79"/>
      <c r="I691" s="77"/>
      <c r="K691" s="79"/>
    </row>
    <row r="692">
      <c r="A692" s="79"/>
      <c r="C692" s="77"/>
      <c r="D692" s="79"/>
      <c r="F692" s="77"/>
      <c r="G692" s="79"/>
      <c r="I692" s="77"/>
      <c r="K692" s="79"/>
    </row>
    <row r="693">
      <c r="A693" s="79"/>
      <c r="C693" s="77"/>
      <c r="D693" s="79"/>
      <c r="F693" s="77"/>
      <c r="G693" s="79"/>
      <c r="I693" s="77"/>
      <c r="K693" s="79"/>
    </row>
    <row r="694">
      <c r="A694" s="79"/>
      <c r="C694" s="77"/>
      <c r="D694" s="79"/>
      <c r="F694" s="77"/>
      <c r="G694" s="79"/>
      <c r="I694" s="77"/>
      <c r="K694" s="79"/>
    </row>
    <row r="695">
      <c r="A695" s="79"/>
      <c r="C695" s="77"/>
      <c r="D695" s="79"/>
      <c r="F695" s="77"/>
      <c r="G695" s="79"/>
      <c r="I695" s="77"/>
      <c r="K695" s="79"/>
    </row>
    <row r="696">
      <c r="A696" s="79"/>
      <c r="C696" s="77"/>
      <c r="D696" s="79"/>
      <c r="F696" s="77"/>
      <c r="G696" s="79"/>
      <c r="I696" s="77"/>
      <c r="K696" s="79"/>
    </row>
    <row r="697">
      <c r="A697" s="79"/>
      <c r="C697" s="77"/>
      <c r="D697" s="79"/>
      <c r="F697" s="77"/>
      <c r="G697" s="79"/>
      <c r="I697" s="77"/>
      <c r="K697" s="79"/>
    </row>
    <row r="698">
      <c r="A698" s="79"/>
      <c r="C698" s="77"/>
      <c r="D698" s="79"/>
      <c r="F698" s="77"/>
      <c r="G698" s="79"/>
      <c r="I698" s="77"/>
      <c r="K698" s="79"/>
    </row>
    <row r="699">
      <c r="A699" s="79"/>
      <c r="C699" s="77"/>
      <c r="D699" s="79"/>
      <c r="F699" s="77"/>
      <c r="G699" s="79"/>
      <c r="I699" s="77"/>
      <c r="K699" s="79"/>
    </row>
    <row r="700">
      <c r="A700" s="79"/>
      <c r="C700" s="77"/>
      <c r="D700" s="79"/>
      <c r="F700" s="77"/>
      <c r="G700" s="79"/>
      <c r="I700" s="77"/>
      <c r="K700" s="79"/>
    </row>
    <row r="701">
      <c r="A701" s="79"/>
      <c r="C701" s="77"/>
      <c r="D701" s="79"/>
      <c r="F701" s="77"/>
      <c r="G701" s="79"/>
      <c r="I701" s="77"/>
      <c r="K701" s="79"/>
    </row>
    <row r="702">
      <c r="A702" s="79"/>
      <c r="C702" s="77"/>
      <c r="D702" s="79"/>
      <c r="F702" s="77"/>
      <c r="G702" s="79"/>
      <c r="I702" s="77"/>
      <c r="K702" s="79"/>
    </row>
    <row r="703">
      <c r="A703" s="79"/>
      <c r="C703" s="77"/>
      <c r="D703" s="79"/>
      <c r="F703" s="77"/>
      <c r="G703" s="79"/>
      <c r="I703" s="77"/>
      <c r="K703" s="79"/>
    </row>
    <row r="704">
      <c r="A704" s="79"/>
      <c r="C704" s="77"/>
      <c r="D704" s="79"/>
      <c r="F704" s="77"/>
      <c r="G704" s="79"/>
      <c r="I704" s="77"/>
      <c r="K704" s="79"/>
    </row>
    <row r="705">
      <c r="A705" s="79"/>
      <c r="C705" s="77"/>
      <c r="D705" s="79"/>
      <c r="F705" s="77"/>
      <c r="G705" s="79"/>
      <c r="I705" s="77"/>
      <c r="K705" s="79"/>
    </row>
    <row r="706">
      <c r="A706" s="79"/>
      <c r="C706" s="77"/>
      <c r="D706" s="79"/>
      <c r="F706" s="77"/>
      <c r="G706" s="79"/>
      <c r="I706" s="77"/>
      <c r="K706" s="79"/>
    </row>
    <row r="707">
      <c r="A707" s="79"/>
      <c r="C707" s="77"/>
      <c r="D707" s="79"/>
      <c r="F707" s="77"/>
      <c r="G707" s="79"/>
      <c r="I707" s="77"/>
      <c r="K707" s="79"/>
    </row>
    <row r="708">
      <c r="A708" s="79"/>
      <c r="C708" s="77"/>
      <c r="D708" s="79"/>
      <c r="F708" s="77"/>
      <c r="G708" s="79"/>
      <c r="I708" s="77"/>
      <c r="K708" s="79"/>
    </row>
    <row r="709">
      <c r="A709" s="79"/>
      <c r="C709" s="77"/>
      <c r="D709" s="79"/>
      <c r="F709" s="77"/>
      <c r="G709" s="79"/>
      <c r="I709" s="77"/>
      <c r="K709" s="79"/>
    </row>
    <row r="710">
      <c r="A710" s="79"/>
      <c r="C710" s="77"/>
      <c r="D710" s="79"/>
      <c r="F710" s="77"/>
      <c r="G710" s="79"/>
      <c r="I710" s="77"/>
      <c r="K710" s="79"/>
    </row>
    <row r="711">
      <c r="A711" s="79"/>
      <c r="C711" s="77"/>
      <c r="D711" s="79"/>
      <c r="F711" s="77"/>
      <c r="G711" s="79"/>
      <c r="I711" s="77"/>
      <c r="K711" s="79"/>
    </row>
    <row r="712">
      <c r="A712" s="79"/>
      <c r="C712" s="77"/>
      <c r="D712" s="79"/>
      <c r="F712" s="77"/>
      <c r="G712" s="79"/>
      <c r="I712" s="77"/>
      <c r="K712" s="79"/>
    </row>
    <row r="713">
      <c r="A713" s="79"/>
      <c r="C713" s="77"/>
      <c r="D713" s="79"/>
      <c r="F713" s="77"/>
      <c r="G713" s="79"/>
      <c r="I713" s="77"/>
      <c r="K713" s="79"/>
    </row>
    <row r="714">
      <c r="A714" s="79"/>
      <c r="C714" s="77"/>
      <c r="D714" s="79"/>
      <c r="F714" s="77"/>
      <c r="G714" s="79"/>
      <c r="I714" s="77"/>
      <c r="K714" s="79"/>
    </row>
    <row r="715">
      <c r="A715" s="79"/>
      <c r="C715" s="77"/>
      <c r="D715" s="79"/>
      <c r="F715" s="77"/>
      <c r="G715" s="79"/>
      <c r="I715" s="77"/>
      <c r="K715" s="79"/>
    </row>
    <row r="716">
      <c r="A716" s="79"/>
      <c r="C716" s="77"/>
      <c r="D716" s="79"/>
      <c r="F716" s="77"/>
      <c r="G716" s="79"/>
      <c r="I716" s="77"/>
      <c r="K716" s="79"/>
    </row>
    <row r="717">
      <c r="A717" s="79"/>
      <c r="C717" s="77"/>
      <c r="D717" s="79"/>
      <c r="F717" s="77"/>
      <c r="G717" s="79"/>
      <c r="I717" s="77"/>
      <c r="K717" s="79"/>
    </row>
    <row r="718">
      <c r="A718" s="79"/>
      <c r="C718" s="77"/>
      <c r="D718" s="79"/>
      <c r="F718" s="77"/>
      <c r="G718" s="79"/>
      <c r="I718" s="77"/>
      <c r="K718" s="79"/>
    </row>
    <row r="719">
      <c r="A719" s="79"/>
      <c r="C719" s="77"/>
      <c r="D719" s="79"/>
      <c r="F719" s="77"/>
      <c r="G719" s="79"/>
      <c r="I719" s="77"/>
      <c r="K719" s="79"/>
    </row>
    <row r="720">
      <c r="A720" s="79"/>
      <c r="C720" s="77"/>
      <c r="D720" s="79"/>
      <c r="F720" s="77"/>
      <c r="G720" s="79"/>
      <c r="I720" s="77"/>
      <c r="K720" s="79"/>
    </row>
    <row r="721">
      <c r="A721" s="79"/>
      <c r="C721" s="77"/>
      <c r="D721" s="79"/>
      <c r="F721" s="77"/>
      <c r="G721" s="79"/>
      <c r="I721" s="77"/>
      <c r="K721" s="79"/>
    </row>
    <row r="722">
      <c r="A722" s="79"/>
      <c r="C722" s="77"/>
      <c r="D722" s="79"/>
      <c r="F722" s="77"/>
      <c r="G722" s="79"/>
      <c r="I722" s="77"/>
      <c r="K722" s="79"/>
    </row>
    <row r="723">
      <c r="A723" s="79"/>
      <c r="C723" s="77"/>
      <c r="D723" s="79"/>
      <c r="F723" s="77"/>
      <c r="G723" s="79"/>
      <c r="I723" s="77"/>
      <c r="K723" s="79"/>
    </row>
    <row r="724">
      <c r="A724" s="79"/>
      <c r="C724" s="77"/>
      <c r="D724" s="79"/>
      <c r="F724" s="77"/>
      <c r="G724" s="79"/>
      <c r="I724" s="77"/>
      <c r="K724" s="79"/>
    </row>
    <row r="725">
      <c r="A725" s="79"/>
      <c r="C725" s="77"/>
      <c r="D725" s="79"/>
      <c r="F725" s="77"/>
      <c r="G725" s="79"/>
      <c r="I725" s="77"/>
      <c r="K725" s="79"/>
    </row>
    <row r="726">
      <c r="A726" s="79"/>
      <c r="C726" s="77"/>
      <c r="D726" s="79"/>
      <c r="F726" s="77"/>
      <c r="G726" s="79"/>
      <c r="I726" s="77"/>
      <c r="K726" s="79"/>
    </row>
    <row r="727">
      <c r="A727" s="79"/>
      <c r="C727" s="77"/>
      <c r="D727" s="79"/>
      <c r="F727" s="77"/>
      <c r="G727" s="79"/>
      <c r="I727" s="77"/>
      <c r="K727" s="79"/>
    </row>
    <row r="728">
      <c r="A728" s="79"/>
      <c r="C728" s="77"/>
      <c r="D728" s="79"/>
      <c r="F728" s="77"/>
      <c r="G728" s="79"/>
      <c r="I728" s="77"/>
      <c r="K728" s="79"/>
    </row>
    <row r="729">
      <c r="A729" s="79"/>
      <c r="C729" s="77"/>
      <c r="D729" s="79"/>
      <c r="F729" s="77"/>
      <c r="G729" s="79"/>
      <c r="I729" s="77"/>
      <c r="K729" s="79"/>
    </row>
    <row r="730">
      <c r="A730" s="79"/>
      <c r="C730" s="77"/>
      <c r="D730" s="79"/>
      <c r="F730" s="77"/>
      <c r="G730" s="79"/>
      <c r="I730" s="77"/>
      <c r="K730" s="79"/>
    </row>
    <row r="731">
      <c r="A731" s="79"/>
      <c r="C731" s="77"/>
      <c r="D731" s="79"/>
      <c r="F731" s="77"/>
      <c r="G731" s="79"/>
      <c r="I731" s="77"/>
      <c r="K731" s="79"/>
    </row>
    <row r="732">
      <c r="A732" s="79"/>
      <c r="C732" s="77"/>
      <c r="D732" s="79"/>
      <c r="F732" s="77"/>
      <c r="G732" s="79"/>
      <c r="I732" s="77"/>
      <c r="K732" s="79"/>
    </row>
    <row r="733">
      <c r="A733" s="79"/>
      <c r="C733" s="77"/>
      <c r="D733" s="79"/>
      <c r="F733" s="77"/>
      <c r="G733" s="79"/>
      <c r="I733" s="77"/>
      <c r="K733" s="79"/>
    </row>
    <row r="734">
      <c r="A734" s="79"/>
      <c r="C734" s="77"/>
      <c r="D734" s="79"/>
      <c r="F734" s="77"/>
      <c r="G734" s="79"/>
      <c r="I734" s="77"/>
      <c r="K734" s="79"/>
    </row>
    <row r="735">
      <c r="A735" s="79"/>
      <c r="C735" s="77"/>
      <c r="D735" s="79"/>
      <c r="F735" s="77"/>
      <c r="G735" s="79"/>
      <c r="I735" s="77"/>
      <c r="K735" s="79"/>
    </row>
    <row r="736">
      <c r="A736" s="79"/>
      <c r="C736" s="77"/>
      <c r="D736" s="79"/>
      <c r="F736" s="77"/>
      <c r="G736" s="79"/>
      <c r="I736" s="77"/>
      <c r="K736" s="79"/>
    </row>
    <row r="737">
      <c r="A737" s="79"/>
      <c r="C737" s="77"/>
      <c r="D737" s="79"/>
      <c r="F737" s="77"/>
      <c r="G737" s="79"/>
      <c r="I737" s="77"/>
      <c r="K737" s="79"/>
    </row>
    <row r="738">
      <c r="A738" s="79"/>
      <c r="C738" s="77"/>
      <c r="D738" s="79"/>
      <c r="F738" s="77"/>
      <c r="G738" s="79"/>
      <c r="I738" s="77"/>
      <c r="K738" s="79"/>
    </row>
    <row r="739">
      <c r="A739" s="79"/>
      <c r="C739" s="77"/>
      <c r="D739" s="79"/>
      <c r="F739" s="77"/>
      <c r="G739" s="79"/>
      <c r="I739" s="77"/>
      <c r="K739" s="79"/>
    </row>
    <row r="740">
      <c r="A740" s="79"/>
      <c r="C740" s="77"/>
      <c r="D740" s="79"/>
      <c r="F740" s="77"/>
      <c r="G740" s="79"/>
      <c r="I740" s="77"/>
      <c r="K740" s="79"/>
    </row>
    <row r="741">
      <c r="A741" s="79"/>
      <c r="C741" s="77"/>
      <c r="D741" s="79"/>
      <c r="F741" s="77"/>
      <c r="G741" s="79"/>
      <c r="I741" s="77"/>
      <c r="K741" s="79"/>
    </row>
    <row r="742">
      <c r="A742" s="79"/>
      <c r="C742" s="77"/>
      <c r="D742" s="79"/>
      <c r="F742" s="77"/>
      <c r="G742" s="79"/>
      <c r="I742" s="77"/>
      <c r="K742" s="79"/>
    </row>
    <row r="743">
      <c r="A743" s="79"/>
      <c r="C743" s="77"/>
      <c r="D743" s="79"/>
      <c r="F743" s="77"/>
      <c r="G743" s="79"/>
      <c r="I743" s="77"/>
      <c r="K743" s="79"/>
    </row>
    <row r="744">
      <c r="A744" s="79"/>
      <c r="C744" s="77"/>
      <c r="D744" s="79"/>
      <c r="F744" s="77"/>
      <c r="G744" s="79"/>
      <c r="I744" s="77"/>
      <c r="K744" s="79"/>
    </row>
    <row r="745">
      <c r="A745" s="79"/>
      <c r="C745" s="77"/>
      <c r="D745" s="79"/>
      <c r="F745" s="77"/>
      <c r="G745" s="79"/>
      <c r="I745" s="77"/>
      <c r="K745" s="79"/>
    </row>
    <row r="746">
      <c r="A746" s="79"/>
      <c r="C746" s="77"/>
      <c r="D746" s="79"/>
      <c r="F746" s="77"/>
      <c r="G746" s="79"/>
      <c r="I746" s="77"/>
      <c r="K746" s="79"/>
    </row>
    <row r="747">
      <c r="A747" s="79"/>
      <c r="C747" s="77"/>
      <c r="D747" s="79"/>
      <c r="F747" s="77"/>
      <c r="G747" s="79"/>
      <c r="I747" s="77"/>
      <c r="K747" s="79"/>
    </row>
    <row r="748">
      <c r="A748" s="79"/>
      <c r="C748" s="77"/>
      <c r="D748" s="79"/>
      <c r="F748" s="77"/>
      <c r="G748" s="79"/>
      <c r="I748" s="77"/>
      <c r="K748" s="79"/>
    </row>
    <row r="749">
      <c r="A749" s="79"/>
      <c r="C749" s="77"/>
      <c r="D749" s="79"/>
      <c r="F749" s="77"/>
      <c r="G749" s="79"/>
      <c r="I749" s="77"/>
      <c r="K749" s="79"/>
    </row>
    <row r="750">
      <c r="A750" s="79"/>
      <c r="C750" s="77"/>
      <c r="D750" s="79"/>
      <c r="F750" s="77"/>
      <c r="G750" s="79"/>
      <c r="I750" s="77"/>
      <c r="K750" s="79"/>
    </row>
    <row r="751">
      <c r="A751" s="79"/>
      <c r="C751" s="77"/>
      <c r="D751" s="79"/>
      <c r="F751" s="77"/>
      <c r="G751" s="79"/>
      <c r="I751" s="77"/>
      <c r="K751" s="79"/>
    </row>
    <row r="752">
      <c r="A752" s="79"/>
      <c r="C752" s="77"/>
      <c r="D752" s="79"/>
      <c r="F752" s="77"/>
      <c r="G752" s="79"/>
      <c r="I752" s="77"/>
      <c r="K752" s="79"/>
    </row>
    <row r="753">
      <c r="A753" s="79"/>
      <c r="C753" s="77"/>
      <c r="D753" s="79"/>
      <c r="F753" s="77"/>
      <c r="G753" s="79"/>
      <c r="I753" s="77"/>
      <c r="K753" s="79"/>
    </row>
    <row r="754">
      <c r="A754" s="79"/>
      <c r="C754" s="77"/>
      <c r="D754" s="79"/>
      <c r="F754" s="77"/>
      <c r="G754" s="79"/>
      <c r="I754" s="77"/>
      <c r="K754" s="79"/>
    </row>
    <row r="755">
      <c r="A755" s="79"/>
      <c r="C755" s="77"/>
      <c r="D755" s="79"/>
      <c r="F755" s="77"/>
      <c r="G755" s="79"/>
      <c r="I755" s="77"/>
      <c r="K755" s="79"/>
    </row>
    <row r="756">
      <c r="A756" s="79"/>
      <c r="C756" s="77"/>
      <c r="D756" s="79"/>
      <c r="F756" s="77"/>
      <c r="G756" s="79"/>
      <c r="I756" s="77"/>
      <c r="K756" s="79"/>
    </row>
    <row r="757">
      <c r="A757" s="79"/>
      <c r="C757" s="77"/>
      <c r="D757" s="79"/>
      <c r="F757" s="77"/>
      <c r="G757" s="79"/>
      <c r="I757" s="77"/>
      <c r="K757" s="79"/>
    </row>
    <row r="758">
      <c r="A758" s="79"/>
      <c r="C758" s="77"/>
      <c r="D758" s="79"/>
      <c r="F758" s="77"/>
      <c r="G758" s="79"/>
      <c r="I758" s="77"/>
      <c r="K758" s="79"/>
    </row>
    <row r="759">
      <c r="A759" s="79"/>
      <c r="C759" s="77"/>
      <c r="D759" s="79"/>
      <c r="F759" s="77"/>
      <c r="G759" s="79"/>
      <c r="I759" s="77"/>
      <c r="K759" s="79"/>
    </row>
    <row r="760">
      <c r="A760" s="79"/>
      <c r="C760" s="77"/>
      <c r="D760" s="79"/>
      <c r="F760" s="77"/>
      <c r="G760" s="79"/>
      <c r="I760" s="77"/>
      <c r="K760" s="79"/>
    </row>
    <row r="761">
      <c r="A761" s="79"/>
      <c r="C761" s="77"/>
      <c r="D761" s="79"/>
      <c r="F761" s="77"/>
      <c r="G761" s="79"/>
      <c r="I761" s="77"/>
      <c r="K761" s="79"/>
    </row>
    <row r="762">
      <c r="A762" s="79"/>
      <c r="C762" s="77"/>
      <c r="D762" s="79"/>
      <c r="F762" s="77"/>
      <c r="G762" s="79"/>
      <c r="I762" s="77"/>
      <c r="K762" s="79"/>
    </row>
    <row r="763">
      <c r="A763" s="79"/>
      <c r="C763" s="77"/>
      <c r="D763" s="79"/>
      <c r="F763" s="77"/>
      <c r="G763" s="79"/>
      <c r="I763" s="77"/>
      <c r="K763" s="79"/>
    </row>
    <row r="764">
      <c r="A764" s="79"/>
      <c r="C764" s="77"/>
      <c r="D764" s="79"/>
      <c r="F764" s="77"/>
      <c r="G764" s="79"/>
      <c r="I764" s="77"/>
      <c r="K764" s="79"/>
    </row>
    <row r="765">
      <c r="A765" s="79"/>
      <c r="C765" s="77"/>
      <c r="D765" s="79"/>
      <c r="F765" s="77"/>
      <c r="G765" s="79"/>
      <c r="I765" s="77"/>
      <c r="K765" s="79"/>
    </row>
    <row r="766">
      <c r="A766" s="79"/>
      <c r="C766" s="77"/>
      <c r="D766" s="79"/>
      <c r="F766" s="77"/>
      <c r="G766" s="79"/>
      <c r="I766" s="77"/>
      <c r="K766" s="79"/>
    </row>
    <row r="767">
      <c r="A767" s="79"/>
      <c r="C767" s="77"/>
      <c r="D767" s="79"/>
      <c r="F767" s="77"/>
      <c r="G767" s="79"/>
      <c r="I767" s="77"/>
      <c r="K767" s="79"/>
    </row>
    <row r="768">
      <c r="A768" s="79"/>
      <c r="C768" s="77"/>
      <c r="D768" s="79"/>
      <c r="F768" s="77"/>
      <c r="G768" s="79"/>
      <c r="I768" s="77"/>
      <c r="K768" s="79"/>
    </row>
    <row r="769">
      <c r="A769" s="79"/>
      <c r="C769" s="77"/>
      <c r="D769" s="79"/>
      <c r="F769" s="77"/>
      <c r="G769" s="79"/>
      <c r="I769" s="77"/>
      <c r="K769" s="79"/>
    </row>
    <row r="770">
      <c r="A770" s="79"/>
      <c r="C770" s="77"/>
      <c r="D770" s="79"/>
      <c r="F770" s="77"/>
      <c r="G770" s="79"/>
      <c r="I770" s="77"/>
      <c r="K770" s="79"/>
    </row>
    <row r="771">
      <c r="A771" s="79"/>
      <c r="C771" s="77"/>
      <c r="D771" s="79"/>
      <c r="F771" s="77"/>
      <c r="G771" s="79"/>
      <c r="I771" s="77"/>
      <c r="K771" s="79"/>
    </row>
    <row r="772">
      <c r="A772" s="79"/>
      <c r="C772" s="77"/>
      <c r="D772" s="79"/>
      <c r="F772" s="77"/>
      <c r="G772" s="79"/>
      <c r="I772" s="77"/>
      <c r="K772" s="79"/>
    </row>
    <row r="773">
      <c r="A773" s="79"/>
      <c r="C773" s="77"/>
      <c r="D773" s="79"/>
      <c r="F773" s="77"/>
      <c r="G773" s="79"/>
      <c r="I773" s="77"/>
      <c r="K773" s="79"/>
    </row>
    <row r="774">
      <c r="A774" s="79"/>
      <c r="C774" s="77"/>
      <c r="D774" s="79"/>
      <c r="F774" s="77"/>
      <c r="G774" s="79"/>
      <c r="I774" s="77"/>
      <c r="K774" s="79"/>
    </row>
    <row r="775">
      <c r="A775" s="79"/>
      <c r="C775" s="77"/>
      <c r="D775" s="79"/>
      <c r="F775" s="77"/>
      <c r="G775" s="79"/>
      <c r="I775" s="77"/>
      <c r="K775" s="79"/>
    </row>
    <row r="776">
      <c r="A776" s="79"/>
      <c r="C776" s="77"/>
      <c r="D776" s="79"/>
      <c r="F776" s="77"/>
      <c r="G776" s="79"/>
      <c r="I776" s="77"/>
      <c r="K776" s="79"/>
    </row>
    <row r="777">
      <c r="A777" s="79"/>
      <c r="C777" s="77"/>
      <c r="D777" s="79"/>
      <c r="F777" s="77"/>
      <c r="G777" s="79"/>
      <c r="I777" s="77"/>
      <c r="K777" s="79"/>
    </row>
    <row r="778">
      <c r="A778" s="79"/>
      <c r="C778" s="77"/>
      <c r="D778" s="79"/>
      <c r="F778" s="77"/>
      <c r="G778" s="79"/>
      <c r="I778" s="77"/>
      <c r="K778" s="79"/>
    </row>
    <row r="779">
      <c r="A779" s="79"/>
      <c r="C779" s="77"/>
      <c r="D779" s="79"/>
      <c r="F779" s="77"/>
      <c r="G779" s="79"/>
      <c r="I779" s="77"/>
      <c r="K779" s="79"/>
    </row>
    <row r="780">
      <c r="A780" s="79"/>
      <c r="C780" s="77"/>
      <c r="D780" s="79"/>
      <c r="F780" s="77"/>
      <c r="G780" s="79"/>
      <c r="I780" s="77"/>
      <c r="K780" s="79"/>
    </row>
    <row r="781">
      <c r="A781" s="79"/>
      <c r="C781" s="77"/>
      <c r="D781" s="79"/>
      <c r="F781" s="77"/>
      <c r="G781" s="79"/>
      <c r="I781" s="77"/>
      <c r="K781" s="79"/>
    </row>
    <row r="782">
      <c r="A782" s="79"/>
      <c r="C782" s="77"/>
      <c r="D782" s="79"/>
      <c r="F782" s="77"/>
      <c r="G782" s="79"/>
      <c r="I782" s="77"/>
      <c r="K782" s="79"/>
    </row>
    <row r="783">
      <c r="A783" s="79"/>
      <c r="C783" s="77"/>
      <c r="D783" s="79"/>
      <c r="F783" s="77"/>
      <c r="G783" s="79"/>
      <c r="I783" s="77"/>
      <c r="K783" s="79"/>
    </row>
    <row r="784">
      <c r="A784" s="79"/>
      <c r="C784" s="77"/>
      <c r="D784" s="79"/>
      <c r="F784" s="77"/>
      <c r="G784" s="79"/>
      <c r="I784" s="77"/>
      <c r="K784" s="79"/>
    </row>
    <row r="785">
      <c r="A785" s="79"/>
      <c r="C785" s="77"/>
      <c r="D785" s="79"/>
      <c r="F785" s="77"/>
      <c r="G785" s="79"/>
      <c r="I785" s="77"/>
      <c r="K785" s="79"/>
    </row>
    <row r="786">
      <c r="A786" s="79"/>
      <c r="C786" s="77"/>
      <c r="D786" s="79"/>
      <c r="F786" s="77"/>
      <c r="G786" s="79"/>
      <c r="I786" s="77"/>
      <c r="K786" s="79"/>
    </row>
    <row r="787">
      <c r="A787" s="79"/>
      <c r="C787" s="77"/>
      <c r="D787" s="79"/>
      <c r="F787" s="77"/>
      <c r="G787" s="79"/>
      <c r="I787" s="77"/>
      <c r="K787" s="79"/>
    </row>
    <row r="788">
      <c r="A788" s="79"/>
      <c r="C788" s="77"/>
      <c r="D788" s="79"/>
      <c r="F788" s="77"/>
      <c r="G788" s="79"/>
      <c r="I788" s="77"/>
      <c r="K788" s="79"/>
    </row>
    <row r="789">
      <c r="A789" s="79"/>
      <c r="C789" s="77"/>
      <c r="D789" s="79"/>
      <c r="F789" s="77"/>
      <c r="G789" s="79"/>
      <c r="I789" s="77"/>
      <c r="K789" s="79"/>
    </row>
    <row r="790">
      <c r="A790" s="79"/>
      <c r="C790" s="77"/>
      <c r="D790" s="79"/>
      <c r="F790" s="77"/>
      <c r="G790" s="79"/>
      <c r="I790" s="77"/>
      <c r="K790" s="79"/>
    </row>
    <row r="791">
      <c r="A791" s="79"/>
      <c r="C791" s="77"/>
      <c r="D791" s="79"/>
      <c r="F791" s="77"/>
      <c r="G791" s="79"/>
      <c r="I791" s="77"/>
      <c r="K791" s="79"/>
    </row>
    <row r="792">
      <c r="A792" s="79"/>
      <c r="C792" s="77"/>
      <c r="D792" s="79"/>
      <c r="F792" s="77"/>
      <c r="G792" s="79"/>
      <c r="I792" s="77"/>
      <c r="K792" s="79"/>
    </row>
    <row r="793">
      <c r="A793" s="79"/>
      <c r="C793" s="77"/>
      <c r="D793" s="79"/>
      <c r="F793" s="77"/>
      <c r="G793" s="79"/>
      <c r="I793" s="77"/>
      <c r="K793" s="79"/>
    </row>
    <row r="794">
      <c r="A794" s="79"/>
      <c r="C794" s="77"/>
      <c r="D794" s="79"/>
      <c r="F794" s="77"/>
      <c r="G794" s="79"/>
      <c r="I794" s="77"/>
      <c r="K794" s="79"/>
    </row>
    <row r="795">
      <c r="A795" s="79"/>
      <c r="C795" s="77"/>
      <c r="D795" s="79"/>
      <c r="F795" s="77"/>
      <c r="G795" s="79"/>
      <c r="I795" s="77"/>
      <c r="K795" s="79"/>
    </row>
    <row r="796">
      <c r="A796" s="79"/>
      <c r="C796" s="77"/>
      <c r="D796" s="79"/>
      <c r="F796" s="77"/>
      <c r="G796" s="79"/>
      <c r="I796" s="77"/>
      <c r="K796" s="79"/>
    </row>
    <row r="797">
      <c r="A797" s="79"/>
      <c r="C797" s="77"/>
      <c r="D797" s="79"/>
      <c r="F797" s="77"/>
      <c r="G797" s="79"/>
      <c r="I797" s="77"/>
      <c r="K797" s="79"/>
    </row>
    <row r="798">
      <c r="A798" s="79"/>
      <c r="C798" s="77"/>
      <c r="D798" s="79"/>
      <c r="F798" s="77"/>
      <c r="G798" s="79"/>
      <c r="I798" s="77"/>
      <c r="K798" s="79"/>
    </row>
    <row r="799">
      <c r="A799" s="79"/>
      <c r="C799" s="77"/>
      <c r="D799" s="79"/>
      <c r="F799" s="77"/>
      <c r="G799" s="79"/>
      <c r="I799" s="77"/>
      <c r="K799" s="79"/>
    </row>
    <row r="800">
      <c r="A800" s="79"/>
      <c r="C800" s="77"/>
      <c r="D800" s="79"/>
      <c r="F800" s="77"/>
      <c r="G800" s="79"/>
      <c r="I800" s="77"/>
      <c r="K800" s="79"/>
    </row>
    <row r="801">
      <c r="A801" s="79"/>
      <c r="C801" s="77"/>
      <c r="D801" s="79"/>
      <c r="F801" s="77"/>
      <c r="G801" s="79"/>
      <c r="I801" s="77"/>
      <c r="K801" s="79"/>
    </row>
    <row r="802">
      <c r="A802" s="79"/>
      <c r="C802" s="77"/>
      <c r="D802" s="79"/>
      <c r="F802" s="77"/>
      <c r="G802" s="79"/>
      <c r="I802" s="77"/>
      <c r="K802" s="79"/>
    </row>
    <row r="803">
      <c r="A803" s="79"/>
      <c r="C803" s="77"/>
      <c r="D803" s="79"/>
      <c r="F803" s="77"/>
      <c r="G803" s="79"/>
      <c r="I803" s="77"/>
      <c r="K803" s="79"/>
    </row>
    <row r="804">
      <c r="A804" s="79"/>
      <c r="C804" s="77"/>
      <c r="D804" s="79"/>
      <c r="F804" s="77"/>
      <c r="G804" s="79"/>
      <c r="I804" s="77"/>
      <c r="K804" s="79"/>
    </row>
    <row r="805">
      <c r="A805" s="79"/>
      <c r="C805" s="77"/>
      <c r="D805" s="79"/>
      <c r="F805" s="77"/>
      <c r="G805" s="79"/>
      <c r="I805" s="77"/>
      <c r="K805" s="79"/>
    </row>
    <row r="806">
      <c r="A806" s="79"/>
      <c r="C806" s="77"/>
      <c r="D806" s="79"/>
      <c r="F806" s="77"/>
      <c r="G806" s="79"/>
      <c r="I806" s="77"/>
      <c r="K806" s="79"/>
    </row>
    <row r="807">
      <c r="A807" s="79"/>
      <c r="C807" s="77"/>
      <c r="D807" s="79"/>
      <c r="F807" s="77"/>
      <c r="G807" s="79"/>
      <c r="I807" s="77"/>
      <c r="K807" s="79"/>
    </row>
    <row r="808">
      <c r="A808" s="79"/>
      <c r="C808" s="77"/>
      <c r="D808" s="79"/>
      <c r="F808" s="77"/>
      <c r="G808" s="79"/>
      <c r="I808" s="77"/>
      <c r="K808" s="79"/>
    </row>
    <row r="809">
      <c r="A809" s="79"/>
      <c r="C809" s="77"/>
      <c r="D809" s="79"/>
      <c r="F809" s="77"/>
      <c r="G809" s="79"/>
      <c r="I809" s="77"/>
      <c r="K809" s="79"/>
    </row>
    <row r="810">
      <c r="A810" s="79"/>
      <c r="C810" s="77"/>
      <c r="D810" s="79"/>
      <c r="F810" s="77"/>
      <c r="G810" s="79"/>
      <c r="I810" s="77"/>
      <c r="K810" s="79"/>
    </row>
    <row r="811">
      <c r="A811" s="79"/>
      <c r="C811" s="77"/>
      <c r="D811" s="79"/>
      <c r="F811" s="77"/>
      <c r="G811" s="79"/>
      <c r="I811" s="77"/>
      <c r="K811" s="79"/>
    </row>
    <row r="812">
      <c r="A812" s="79"/>
      <c r="C812" s="77"/>
      <c r="D812" s="79"/>
      <c r="F812" s="77"/>
      <c r="G812" s="79"/>
      <c r="I812" s="77"/>
      <c r="K812" s="79"/>
    </row>
    <row r="813">
      <c r="A813" s="79"/>
      <c r="C813" s="77"/>
      <c r="D813" s="79"/>
      <c r="F813" s="77"/>
      <c r="G813" s="79"/>
      <c r="I813" s="77"/>
      <c r="K813" s="79"/>
    </row>
    <row r="814">
      <c r="A814" s="79"/>
      <c r="C814" s="77"/>
      <c r="D814" s="79"/>
      <c r="F814" s="77"/>
      <c r="G814" s="79"/>
      <c r="I814" s="77"/>
      <c r="K814" s="79"/>
    </row>
    <row r="815">
      <c r="A815" s="79"/>
      <c r="C815" s="77"/>
      <c r="D815" s="79"/>
      <c r="F815" s="77"/>
      <c r="G815" s="79"/>
      <c r="I815" s="77"/>
      <c r="K815" s="79"/>
    </row>
    <row r="816">
      <c r="A816" s="79"/>
      <c r="C816" s="77"/>
      <c r="D816" s="79"/>
      <c r="F816" s="77"/>
      <c r="G816" s="79"/>
      <c r="I816" s="77"/>
      <c r="K816" s="79"/>
    </row>
    <row r="817">
      <c r="A817" s="79"/>
      <c r="C817" s="77"/>
      <c r="D817" s="79"/>
      <c r="F817" s="77"/>
      <c r="G817" s="79"/>
      <c r="I817" s="77"/>
      <c r="K817" s="79"/>
    </row>
    <row r="818">
      <c r="A818" s="79"/>
      <c r="C818" s="77"/>
      <c r="D818" s="79"/>
      <c r="F818" s="77"/>
      <c r="G818" s="79"/>
      <c r="I818" s="77"/>
      <c r="K818" s="79"/>
    </row>
    <row r="819">
      <c r="A819" s="79"/>
      <c r="C819" s="77"/>
      <c r="D819" s="79"/>
      <c r="F819" s="77"/>
      <c r="G819" s="79"/>
      <c r="I819" s="77"/>
      <c r="K819" s="79"/>
    </row>
    <row r="820">
      <c r="A820" s="79"/>
      <c r="C820" s="77"/>
      <c r="D820" s="79"/>
      <c r="F820" s="77"/>
      <c r="G820" s="79"/>
      <c r="I820" s="77"/>
      <c r="K820" s="79"/>
    </row>
    <row r="821">
      <c r="A821" s="79"/>
      <c r="C821" s="77"/>
      <c r="D821" s="79"/>
      <c r="F821" s="77"/>
      <c r="G821" s="79"/>
      <c r="I821" s="77"/>
      <c r="K821" s="79"/>
    </row>
    <row r="822">
      <c r="A822" s="79"/>
      <c r="C822" s="77"/>
      <c r="D822" s="79"/>
      <c r="F822" s="77"/>
      <c r="G822" s="79"/>
      <c r="I822" s="77"/>
      <c r="K822" s="79"/>
    </row>
    <row r="823">
      <c r="A823" s="79"/>
      <c r="C823" s="77"/>
      <c r="D823" s="79"/>
      <c r="F823" s="77"/>
      <c r="G823" s="79"/>
      <c r="I823" s="77"/>
      <c r="K823" s="79"/>
    </row>
    <row r="824">
      <c r="A824" s="79"/>
      <c r="C824" s="77"/>
      <c r="D824" s="79"/>
      <c r="F824" s="77"/>
      <c r="G824" s="79"/>
      <c r="I824" s="77"/>
      <c r="K824" s="79"/>
    </row>
    <row r="825">
      <c r="A825" s="79"/>
      <c r="C825" s="77"/>
      <c r="D825" s="79"/>
      <c r="F825" s="77"/>
      <c r="G825" s="79"/>
      <c r="I825" s="77"/>
      <c r="K825" s="79"/>
    </row>
    <row r="826">
      <c r="A826" s="79"/>
      <c r="C826" s="77"/>
      <c r="D826" s="79"/>
      <c r="F826" s="77"/>
      <c r="G826" s="79"/>
      <c r="I826" s="77"/>
      <c r="K826" s="79"/>
    </row>
    <row r="827">
      <c r="A827" s="79"/>
      <c r="C827" s="77"/>
      <c r="D827" s="79"/>
      <c r="F827" s="77"/>
      <c r="G827" s="79"/>
      <c r="I827" s="77"/>
      <c r="K827" s="79"/>
    </row>
    <row r="828">
      <c r="A828" s="79"/>
      <c r="C828" s="77"/>
      <c r="D828" s="79"/>
      <c r="F828" s="77"/>
      <c r="G828" s="79"/>
      <c r="I828" s="77"/>
      <c r="K828" s="79"/>
    </row>
    <row r="829">
      <c r="A829" s="79"/>
      <c r="C829" s="77"/>
      <c r="D829" s="79"/>
      <c r="F829" s="77"/>
      <c r="G829" s="79"/>
      <c r="I829" s="77"/>
      <c r="K829" s="79"/>
    </row>
    <row r="830">
      <c r="A830" s="79"/>
      <c r="C830" s="77"/>
      <c r="D830" s="79"/>
      <c r="F830" s="77"/>
      <c r="G830" s="79"/>
      <c r="I830" s="77"/>
      <c r="K830" s="79"/>
    </row>
    <row r="831">
      <c r="A831" s="79"/>
      <c r="C831" s="77"/>
      <c r="D831" s="79"/>
      <c r="F831" s="77"/>
      <c r="G831" s="79"/>
      <c r="I831" s="77"/>
      <c r="K831" s="79"/>
    </row>
    <row r="832">
      <c r="A832" s="79"/>
      <c r="C832" s="77"/>
      <c r="D832" s="79"/>
      <c r="F832" s="77"/>
      <c r="G832" s="79"/>
      <c r="I832" s="77"/>
      <c r="K832" s="79"/>
    </row>
    <row r="833">
      <c r="A833" s="79"/>
      <c r="C833" s="77"/>
      <c r="D833" s="79"/>
      <c r="F833" s="77"/>
      <c r="G833" s="79"/>
      <c r="I833" s="77"/>
      <c r="K833" s="79"/>
    </row>
    <row r="834">
      <c r="A834" s="79"/>
      <c r="C834" s="77"/>
      <c r="D834" s="79"/>
      <c r="F834" s="77"/>
      <c r="G834" s="79"/>
      <c r="I834" s="77"/>
      <c r="K834" s="79"/>
    </row>
    <row r="835">
      <c r="A835" s="79"/>
      <c r="C835" s="77"/>
      <c r="D835" s="79"/>
      <c r="F835" s="77"/>
      <c r="G835" s="79"/>
      <c r="I835" s="77"/>
      <c r="K835" s="79"/>
    </row>
    <row r="836">
      <c r="A836" s="79"/>
      <c r="C836" s="77"/>
      <c r="D836" s="79"/>
      <c r="F836" s="77"/>
      <c r="G836" s="79"/>
      <c r="I836" s="77"/>
      <c r="K836" s="79"/>
    </row>
    <row r="837">
      <c r="A837" s="79"/>
      <c r="C837" s="77"/>
      <c r="D837" s="79"/>
      <c r="F837" s="77"/>
      <c r="G837" s="79"/>
      <c r="I837" s="77"/>
      <c r="K837" s="79"/>
    </row>
    <row r="838">
      <c r="A838" s="79"/>
      <c r="C838" s="77"/>
      <c r="D838" s="79"/>
      <c r="F838" s="77"/>
      <c r="G838" s="79"/>
      <c r="I838" s="77"/>
      <c r="K838" s="79"/>
    </row>
    <row r="839">
      <c r="A839" s="79"/>
      <c r="C839" s="77"/>
      <c r="D839" s="79"/>
      <c r="F839" s="77"/>
      <c r="G839" s="79"/>
      <c r="I839" s="77"/>
      <c r="K839" s="79"/>
    </row>
    <row r="840">
      <c r="A840" s="79"/>
      <c r="C840" s="77"/>
      <c r="D840" s="79"/>
      <c r="F840" s="77"/>
      <c r="G840" s="79"/>
      <c r="I840" s="77"/>
      <c r="K840" s="79"/>
    </row>
    <row r="841">
      <c r="A841" s="79"/>
      <c r="C841" s="77"/>
      <c r="D841" s="79"/>
      <c r="F841" s="77"/>
      <c r="G841" s="79"/>
      <c r="I841" s="77"/>
      <c r="K841" s="79"/>
    </row>
    <row r="842">
      <c r="A842" s="79"/>
      <c r="C842" s="77"/>
      <c r="D842" s="79"/>
      <c r="F842" s="77"/>
      <c r="G842" s="79"/>
      <c r="I842" s="77"/>
      <c r="K842" s="79"/>
    </row>
    <row r="843">
      <c r="A843" s="79"/>
      <c r="C843" s="77"/>
      <c r="D843" s="79"/>
      <c r="F843" s="77"/>
      <c r="G843" s="79"/>
      <c r="I843" s="77"/>
      <c r="K843" s="79"/>
    </row>
    <row r="844">
      <c r="A844" s="79"/>
      <c r="C844" s="77"/>
      <c r="D844" s="79"/>
      <c r="F844" s="77"/>
      <c r="G844" s="79"/>
      <c r="I844" s="77"/>
      <c r="K844" s="79"/>
    </row>
    <row r="845">
      <c r="A845" s="79"/>
      <c r="C845" s="77"/>
      <c r="D845" s="79"/>
      <c r="F845" s="77"/>
      <c r="G845" s="79"/>
      <c r="I845" s="77"/>
      <c r="K845" s="79"/>
    </row>
    <row r="846">
      <c r="A846" s="79"/>
      <c r="C846" s="77"/>
      <c r="D846" s="79"/>
      <c r="F846" s="77"/>
      <c r="G846" s="79"/>
      <c r="I846" s="77"/>
      <c r="K846" s="79"/>
    </row>
    <row r="847">
      <c r="A847" s="79"/>
      <c r="C847" s="77"/>
      <c r="D847" s="79"/>
      <c r="F847" s="77"/>
      <c r="G847" s="79"/>
      <c r="I847" s="77"/>
      <c r="K847" s="79"/>
    </row>
    <row r="848">
      <c r="A848" s="79"/>
      <c r="C848" s="77"/>
      <c r="D848" s="79"/>
      <c r="F848" s="77"/>
      <c r="G848" s="79"/>
      <c r="I848" s="77"/>
      <c r="K848" s="79"/>
    </row>
    <row r="849">
      <c r="A849" s="79"/>
      <c r="C849" s="77"/>
      <c r="D849" s="79"/>
      <c r="F849" s="77"/>
      <c r="G849" s="79"/>
      <c r="I849" s="77"/>
      <c r="K849" s="79"/>
    </row>
    <row r="850">
      <c r="A850" s="79"/>
      <c r="C850" s="77"/>
      <c r="D850" s="79"/>
      <c r="F850" s="77"/>
      <c r="G850" s="79"/>
      <c r="I850" s="77"/>
      <c r="K850" s="79"/>
    </row>
    <row r="851">
      <c r="A851" s="79"/>
      <c r="C851" s="77"/>
      <c r="D851" s="79"/>
      <c r="F851" s="77"/>
      <c r="G851" s="79"/>
      <c r="I851" s="77"/>
      <c r="K851" s="79"/>
    </row>
    <row r="852">
      <c r="A852" s="79"/>
      <c r="C852" s="77"/>
      <c r="D852" s="79"/>
      <c r="F852" s="77"/>
      <c r="G852" s="79"/>
      <c r="I852" s="77"/>
      <c r="K852" s="79"/>
    </row>
    <row r="853">
      <c r="A853" s="79"/>
      <c r="C853" s="77"/>
      <c r="D853" s="79"/>
      <c r="F853" s="77"/>
      <c r="G853" s="79"/>
      <c r="I853" s="77"/>
      <c r="K853" s="79"/>
    </row>
    <row r="854">
      <c r="A854" s="79"/>
      <c r="C854" s="77"/>
      <c r="D854" s="79"/>
      <c r="F854" s="77"/>
      <c r="G854" s="79"/>
      <c r="I854" s="77"/>
      <c r="K854" s="79"/>
    </row>
    <row r="855">
      <c r="A855" s="79"/>
      <c r="C855" s="77"/>
      <c r="D855" s="79"/>
      <c r="F855" s="77"/>
      <c r="G855" s="79"/>
      <c r="I855" s="77"/>
      <c r="K855" s="79"/>
    </row>
    <row r="856">
      <c r="A856" s="79"/>
      <c r="C856" s="77"/>
      <c r="D856" s="79"/>
      <c r="F856" s="77"/>
      <c r="G856" s="79"/>
      <c r="I856" s="77"/>
      <c r="K856" s="79"/>
    </row>
    <row r="857">
      <c r="A857" s="79"/>
      <c r="C857" s="77"/>
      <c r="D857" s="79"/>
      <c r="F857" s="77"/>
      <c r="G857" s="79"/>
      <c r="I857" s="77"/>
      <c r="K857" s="79"/>
    </row>
    <row r="858">
      <c r="A858" s="79"/>
      <c r="C858" s="77"/>
      <c r="D858" s="79"/>
      <c r="F858" s="77"/>
      <c r="G858" s="79"/>
      <c r="I858" s="77"/>
      <c r="K858" s="79"/>
    </row>
    <row r="859">
      <c r="A859" s="79"/>
      <c r="C859" s="77"/>
      <c r="D859" s="79"/>
      <c r="F859" s="77"/>
      <c r="G859" s="79"/>
      <c r="I859" s="77"/>
      <c r="K859" s="79"/>
    </row>
    <row r="860">
      <c r="A860" s="79"/>
      <c r="C860" s="77"/>
      <c r="D860" s="79"/>
      <c r="F860" s="77"/>
      <c r="G860" s="79"/>
      <c r="I860" s="77"/>
      <c r="K860" s="79"/>
    </row>
    <row r="861">
      <c r="A861" s="79"/>
      <c r="C861" s="77"/>
      <c r="D861" s="79"/>
      <c r="F861" s="77"/>
      <c r="G861" s="79"/>
      <c r="I861" s="77"/>
      <c r="K861" s="79"/>
    </row>
    <row r="862">
      <c r="A862" s="79"/>
      <c r="C862" s="77"/>
      <c r="D862" s="79"/>
      <c r="F862" s="77"/>
      <c r="G862" s="79"/>
      <c r="I862" s="77"/>
      <c r="K862" s="79"/>
    </row>
    <row r="863">
      <c r="A863" s="79"/>
      <c r="C863" s="77"/>
      <c r="D863" s="79"/>
      <c r="F863" s="77"/>
      <c r="G863" s="79"/>
      <c r="I863" s="77"/>
      <c r="K863" s="79"/>
    </row>
    <row r="864">
      <c r="A864" s="79"/>
      <c r="C864" s="77"/>
      <c r="D864" s="79"/>
      <c r="F864" s="77"/>
      <c r="G864" s="79"/>
      <c r="I864" s="77"/>
      <c r="K864" s="79"/>
    </row>
    <row r="865">
      <c r="A865" s="79"/>
      <c r="C865" s="77"/>
      <c r="D865" s="79"/>
      <c r="F865" s="77"/>
      <c r="G865" s="79"/>
      <c r="I865" s="77"/>
      <c r="K865" s="79"/>
    </row>
    <row r="866">
      <c r="A866" s="79"/>
      <c r="C866" s="77"/>
      <c r="D866" s="79"/>
      <c r="F866" s="77"/>
      <c r="G866" s="79"/>
      <c r="I866" s="77"/>
      <c r="K866" s="79"/>
    </row>
    <row r="867">
      <c r="A867" s="79"/>
      <c r="C867" s="77"/>
      <c r="D867" s="79"/>
      <c r="F867" s="77"/>
      <c r="G867" s="79"/>
      <c r="I867" s="77"/>
      <c r="K867" s="79"/>
    </row>
    <row r="868">
      <c r="A868" s="79"/>
      <c r="C868" s="77"/>
      <c r="D868" s="79"/>
      <c r="F868" s="77"/>
      <c r="G868" s="79"/>
      <c r="I868" s="77"/>
      <c r="K868" s="79"/>
    </row>
    <row r="869">
      <c r="A869" s="79"/>
      <c r="C869" s="77"/>
      <c r="D869" s="79"/>
      <c r="F869" s="77"/>
      <c r="G869" s="79"/>
      <c r="I869" s="77"/>
      <c r="K869" s="79"/>
    </row>
    <row r="870">
      <c r="A870" s="79"/>
      <c r="C870" s="77"/>
      <c r="D870" s="79"/>
      <c r="F870" s="77"/>
      <c r="G870" s="79"/>
      <c r="I870" s="77"/>
      <c r="K870" s="79"/>
    </row>
    <row r="871">
      <c r="A871" s="79"/>
      <c r="C871" s="77"/>
      <c r="D871" s="79"/>
      <c r="F871" s="77"/>
      <c r="G871" s="79"/>
      <c r="I871" s="77"/>
      <c r="K871" s="79"/>
    </row>
    <row r="872">
      <c r="A872" s="79"/>
      <c r="C872" s="77"/>
      <c r="D872" s="79"/>
      <c r="F872" s="77"/>
      <c r="G872" s="79"/>
      <c r="I872" s="77"/>
      <c r="K872" s="79"/>
    </row>
    <row r="873">
      <c r="A873" s="79"/>
      <c r="C873" s="77"/>
      <c r="D873" s="79"/>
      <c r="F873" s="77"/>
      <c r="G873" s="79"/>
      <c r="I873" s="77"/>
      <c r="K873" s="79"/>
    </row>
    <row r="874">
      <c r="A874" s="79"/>
      <c r="C874" s="77"/>
      <c r="D874" s="79"/>
      <c r="F874" s="77"/>
      <c r="G874" s="79"/>
      <c r="I874" s="77"/>
      <c r="K874" s="79"/>
    </row>
    <row r="875">
      <c r="A875" s="79"/>
      <c r="C875" s="77"/>
      <c r="D875" s="79"/>
      <c r="F875" s="77"/>
      <c r="G875" s="79"/>
      <c r="I875" s="77"/>
      <c r="K875" s="79"/>
    </row>
    <row r="876">
      <c r="A876" s="79"/>
      <c r="C876" s="77"/>
      <c r="D876" s="79"/>
      <c r="F876" s="77"/>
      <c r="G876" s="79"/>
      <c r="I876" s="77"/>
      <c r="K876" s="79"/>
    </row>
    <row r="877">
      <c r="A877" s="79"/>
      <c r="C877" s="77"/>
      <c r="D877" s="79"/>
      <c r="F877" s="77"/>
      <c r="G877" s="79"/>
      <c r="I877" s="77"/>
      <c r="K877" s="79"/>
    </row>
    <row r="878">
      <c r="A878" s="79"/>
      <c r="C878" s="77"/>
      <c r="D878" s="79"/>
      <c r="F878" s="77"/>
      <c r="G878" s="79"/>
      <c r="I878" s="77"/>
      <c r="K878" s="79"/>
    </row>
    <row r="879">
      <c r="A879" s="79"/>
      <c r="C879" s="77"/>
      <c r="D879" s="79"/>
      <c r="F879" s="77"/>
      <c r="G879" s="79"/>
      <c r="I879" s="77"/>
      <c r="K879" s="79"/>
    </row>
    <row r="880">
      <c r="A880" s="79"/>
      <c r="C880" s="77"/>
      <c r="D880" s="79"/>
      <c r="F880" s="77"/>
      <c r="G880" s="79"/>
      <c r="I880" s="77"/>
      <c r="K880" s="79"/>
    </row>
    <row r="881">
      <c r="A881" s="79"/>
      <c r="C881" s="77"/>
      <c r="D881" s="79"/>
      <c r="F881" s="77"/>
      <c r="G881" s="79"/>
      <c r="I881" s="77"/>
      <c r="K881" s="79"/>
    </row>
    <row r="882">
      <c r="A882" s="79"/>
      <c r="C882" s="77"/>
      <c r="D882" s="79"/>
      <c r="F882" s="77"/>
      <c r="G882" s="79"/>
      <c r="I882" s="77"/>
      <c r="K882" s="79"/>
    </row>
    <row r="883">
      <c r="A883" s="79"/>
      <c r="C883" s="77"/>
      <c r="D883" s="79"/>
      <c r="F883" s="77"/>
      <c r="G883" s="79"/>
      <c r="I883" s="77"/>
      <c r="K883" s="79"/>
    </row>
    <row r="884">
      <c r="A884" s="79"/>
      <c r="C884" s="77"/>
      <c r="D884" s="79"/>
      <c r="F884" s="77"/>
      <c r="G884" s="79"/>
      <c r="I884" s="77"/>
      <c r="K884" s="79"/>
    </row>
    <row r="885">
      <c r="A885" s="79"/>
      <c r="C885" s="77"/>
      <c r="D885" s="79"/>
      <c r="F885" s="77"/>
      <c r="G885" s="79"/>
      <c r="I885" s="77"/>
      <c r="K885" s="79"/>
    </row>
    <row r="886">
      <c r="A886" s="79"/>
      <c r="C886" s="77"/>
      <c r="D886" s="79"/>
      <c r="F886" s="77"/>
      <c r="G886" s="79"/>
      <c r="I886" s="77"/>
      <c r="K886" s="79"/>
    </row>
    <row r="887">
      <c r="A887" s="79"/>
      <c r="C887" s="77"/>
      <c r="D887" s="79"/>
      <c r="F887" s="77"/>
      <c r="G887" s="79"/>
      <c r="I887" s="77"/>
      <c r="K887" s="79"/>
    </row>
    <row r="888">
      <c r="A888" s="79"/>
      <c r="C888" s="77"/>
      <c r="D888" s="79"/>
      <c r="F888" s="77"/>
      <c r="G888" s="79"/>
      <c r="I888" s="77"/>
      <c r="K888" s="79"/>
    </row>
    <row r="889">
      <c r="A889" s="79"/>
      <c r="C889" s="77"/>
      <c r="D889" s="79"/>
      <c r="F889" s="77"/>
      <c r="G889" s="79"/>
      <c r="I889" s="77"/>
      <c r="K889" s="79"/>
    </row>
    <row r="890">
      <c r="A890" s="79"/>
      <c r="C890" s="77"/>
      <c r="D890" s="79"/>
      <c r="F890" s="77"/>
      <c r="G890" s="79"/>
      <c r="I890" s="77"/>
      <c r="K890" s="79"/>
    </row>
    <row r="891">
      <c r="A891" s="79"/>
      <c r="C891" s="77"/>
      <c r="D891" s="79"/>
      <c r="F891" s="77"/>
      <c r="G891" s="79"/>
      <c r="I891" s="77"/>
      <c r="K891" s="79"/>
    </row>
    <row r="892">
      <c r="A892" s="79"/>
      <c r="C892" s="77"/>
      <c r="D892" s="79"/>
      <c r="F892" s="77"/>
      <c r="G892" s="79"/>
      <c r="I892" s="77"/>
      <c r="K892" s="79"/>
    </row>
    <row r="893">
      <c r="A893" s="79"/>
      <c r="C893" s="77"/>
      <c r="D893" s="79"/>
      <c r="F893" s="77"/>
      <c r="G893" s="79"/>
      <c r="I893" s="77"/>
      <c r="K893" s="79"/>
    </row>
    <row r="894">
      <c r="A894" s="79"/>
      <c r="C894" s="77"/>
      <c r="D894" s="79"/>
      <c r="F894" s="77"/>
      <c r="G894" s="79"/>
      <c r="I894" s="77"/>
      <c r="K894" s="79"/>
    </row>
    <row r="895">
      <c r="A895" s="79"/>
      <c r="C895" s="77"/>
      <c r="D895" s="79"/>
      <c r="F895" s="77"/>
      <c r="G895" s="79"/>
      <c r="I895" s="77"/>
      <c r="K895" s="79"/>
    </row>
    <row r="896">
      <c r="A896" s="79"/>
      <c r="C896" s="77"/>
      <c r="D896" s="79"/>
      <c r="F896" s="77"/>
      <c r="G896" s="79"/>
      <c r="I896" s="77"/>
      <c r="K896" s="79"/>
    </row>
    <row r="897">
      <c r="A897" s="79"/>
      <c r="C897" s="77"/>
      <c r="D897" s="79"/>
      <c r="F897" s="77"/>
      <c r="G897" s="79"/>
      <c r="I897" s="77"/>
      <c r="K897" s="79"/>
    </row>
    <row r="898">
      <c r="A898" s="79"/>
      <c r="C898" s="77"/>
      <c r="D898" s="79"/>
      <c r="F898" s="77"/>
      <c r="G898" s="79"/>
      <c r="I898" s="77"/>
      <c r="K898" s="79"/>
    </row>
    <row r="899">
      <c r="A899" s="79"/>
      <c r="C899" s="77"/>
      <c r="D899" s="79"/>
      <c r="F899" s="77"/>
      <c r="G899" s="79"/>
      <c r="I899" s="77"/>
      <c r="K899" s="79"/>
    </row>
    <row r="900">
      <c r="A900" s="79"/>
      <c r="C900" s="77"/>
      <c r="D900" s="79"/>
      <c r="F900" s="77"/>
      <c r="G900" s="79"/>
      <c r="I900" s="77"/>
      <c r="K900" s="79"/>
    </row>
    <row r="901">
      <c r="A901" s="79"/>
      <c r="C901" s="77"/>
      <c r="D901" s="79"/>
      <c r="F901" s="77"/>
      <c r="G901" s="79"/>
      <c r="I901" s="77"/>
      <c r="K901" s="79"/>
    </row>
    <row r="902">
      <c r="A902" s="79"/>
      <c r="C902" s="77"/>
      <c r="D902" s="79"/>
      <c r="F902" s="77"/>
      <c r="G902" s="79"/>
      <c r="I902" s="77"/>
      <c r="K902" s="79"/>
    </row>
    <row r="903">
      <c r="A903" s="79"/>
      <c r="C903" s="77"/>
      <c r="D903" s="79"/>
      <c r="F903" s="77"/>
      <c r="G903" s="79"/>
      <c r="I903" s="77"/>
      <c r="K903" s="79"/>
    </row>
    <row r="904">
      <c r="A904" s="79"/>
      <c r="C904" s="77"/>
      <c r="D904" s="79"/>
      <c r="F904" s="77"/>
      <c r="G904" s="79"/>
      <c r="I904" s="77"/>
      <c r="K904" s="79"/>
    </row>
    <row r="905">
      <c r="A905" s="79"/>
      <c r="C905" s="77"/>
      <c r="D905" s="79"/>
      <c r="F905" s="77"/>
      <c r="G905" s="79"/>
      <c r="I905" s="77"/>
      <c r="K905" s="79"/>
    </row>
    <row r="906">
      <c r="A906" s="79"/>
      <c r="C906" s="77"/>
      <c r="D906" s="79"/>
      <c r="F906" s="77"/>
      <c r="G906" s="79"/>
      <c r="I906" s="77"/>
      <c r="K906" s="79"/>
    </row>
    <row r="907">
      <c r="A907" s="79"/>
      <c r="C907" s="77"/>
      <c r="D907" s="79"/>
      <c r="F907" s="77"/>
      <c r="G907" s="79"/>
      <c r="I907" s="77"/>
      <c r="K907" s="79"/>
    </row>
    <row r="908">
      <c r="A908" s="79"/>
      <c r="C908" s="77"/>
      <c r="D908" s="79"/>
      <c r="F908" s="77"/>
      <c r="G908" s="79"/>
      <c r="I908" s="77"/>
      <c r="K908" s="79"/>
    </row>
    <row r="909">
      <c r="A909" s="79"/>
      <c r="C909" s="77"/>
      <c r="D909" s="79"/>
      <c r="F909" s="77"/>
      <c r="G909" s="79"/>
      <c r="I909" s="77"/>
      <c r="K909" s="79"/>
    </row>
    <row r="910">
      <c r="A910" s="79"/>
      <c r="C910" s="77"/>
      <c r="D910" s="79"/>
      <c r="F910" s="77"/>
      <c r="G910" s="79"/>
      <c r="I910" s="77"/>
      <c r="K910" s="79"/>
    </row>
    <row r="911">
      <c r="A911" s="79"/>
      <c r="C911" s="77"/>
      <c r="D911" s="79"/>
      <c r="F911" s="77"/>
      <c r="G911" s="79"/>
      <c r="I911" s="77"/>
      <c r="K911" s="79"/>
    </row>
    <row r="912">
      <c r="A912" s="79"/>
      <c r="C912" s="77"/>
      <c r="D912" s="79"/>
      <c r="F912" s="77"/>
      <c r="G912" s="79"/>
      <c r="I912" s="77"/>
      <c r="K912" s="79"/>
    </row>
    <row r="913">
      <c r="A913" s="79"/>
      <c r="C913" s="77"/>
      <c r="D913" s="79"/>
      <c r="F913" s="77"/>
      <c r="G913" s="79"/>
      <c r="I913" s="77"/>
      <c r="K913" s="79"/>
    </row>
    <row r="914">
      <c r="A914" s="79"/>
      <c r="C914" s="77"/>
      <c r="D914" s="79"/>
      <c r="F914" s="77"/>
      <c r="G914" s="79"/>
      <c r="I914" s="77"/>
      <c r="K914" s="79"/>
    </row>
    <row r="915">
      <c r="A915" s="79"/>
      <c r="C915" s="77"/>
      <c r="D915" s="79"/>
      <c r="F915" s="77"/>
      <c r="G915" s="79"/>
      <c r="I915" s="77"/>
      <c r="K915" s="79"/>
    </row>
    <row r="916">
      <c r="A916" s="79"/>
      <c r="C916" s="77"/>
      <c r="D916" s="79"/>
      <c r="F916" s="77"/>
      <c r="G916" s="79"/>
      <c r="I916" s="77"/>
      <c r="K916" s="79"/>
    </row>
    <row r="917">
      <c r="A917" s="79"/>
      <c r="C917" s="77"/>
      <c r="D917" s="79"/>
      <c r="F917" s="77"/>
      <c r="G917" s="79"/>
      <c r="I917" s="77"/>
      <c r="K917" s="79"/>
    </row>
    <row r="918">
      <c r="A918" s="79"/>
      <c r="C918" s="77"/>
      <c r="D918" s="79"/>
      <c r="F918" s="77"/>
      <c r="G918" s="79"/>
      <c r="I918" s="77"/>
      <c r="K918" s="79"/>
    </row>
    <row r="919">
      <c r="A919" s="79"/>
      <c r="C919" s="77"/>
      <c r="D919" s="79"/>
      <c r="F919" s="77"/>
      <c r="G919" s="79"/>
      <c r="I919" s="77"/>
      <c r="K919" s="79"/>
    </row>
    <row r="920">
      <c r="A920" s="79"/>
      <c r="C920" s="77"/>
      <c r="D920" s="79"/>
      <c r="F920" s="77"/>
      <c r="G920" s="79"/>
      <c r="I920" s="77"/>
      <c r="K920" s="79"/>
    </row>
    <row r="921">
      <c r="A921" s="79"/>
      <c r="C921" s="77"/>
      <c r="D921" s="79"/>
      <c r="F921" s="77"/>
      <c r="G921" s="79"/>
      <c r="I921" s="77"/>
      <c r="K921" s="79"/>
    </row>
    <row r="922">
      <c r="A922" s="79"/>
      <c r="C922" s="77"/>
      <c r="D922" s="79"/>
      <c r="F922" s="77"/>
      <c r="G922" s="79"/>
      <c r="I922" s="77"/>
      <c r="K922" s="79"/>
    </row>
    <row r="923">
      <c r="A923" s="79"/>
      <c r="C923" s="77"/>
      <c r="D923" s="79"/>
      <c r="F923" s="77"/>
      <c r="G923" s="79"/>
      <c r="I923" s="77"/>
      <c r="K923" s="79"/>
    </row>
    <row r="924">
      <c r="A924" s="79"/>
      <c r="C924" s="77"/>
      <c r="D924" s="79"/>
      <c r="F924" s="77"/>
      <c r="G924" s="79"/>
      <c r="I924" s="77"/>
      <c r="K924" s="79"/>
    </row>
    <row r="925">
      <c r="A925" s="79"/>
      <c r="C925" s="77"/>
      <c r="D925" s="79"/>
      <c r="F925" s="77"/>
      <c r="G925" s="79"/>
      <c r="I925" s="77"/>
      <c r="K925" s="79"/>
    </row>
    <row r="926">
      <c r="A926" s="79"/>
      <c r="C926" s="77"/>
      <c r="D926" s="79"/>
      <c r="F926" s="77"/>
      <c r="G926" s="79"/>
      <c r="I926" s="77"/>
      <c r="K926" s="79"/>
    </row>
    <row r="927">
      <c r="A927" s="79"/>
      <c r="C927" s="77"/>
      <c r="D927" s="79"/>
      <c r="F927" s="77"/>
      <c r="G927" s="79"/>
      <c r="I927" s="77"/>
      <c r="K927" s="79"/>
    </row>
    <row r="928">
      <c r="A928" s="79"/>
      <c r="C928" s="77"/>
      <c r="D928" s="79"/>
      <c r="F928" s="77"/>
      <c r="G928" s="79"/>
      <c r="I928" s="77"/>
      <c r="K928" s="79"/>
    </row>
    <row r="929">
      <c r="A929" s="79"/>
      <c r="C929" s="77"/>
      <c r="D929" s="79"/>
      <c r="F929" s="77"/>
      <c r="G929" s="79"/>
      <c r="I929" s="77"/>
      <c r="K929" s="79"/>
    </row>
    <row r="930">
      <c r="A930" s="79"/>
      <c r="C930" s="77"/>
      <c r="D930" s="79"/>
      <c r="F930" s="77"/>
      <c r="G930" s="79"/>
      <c r="I930" s="77"/>
      <c r="K930" s="79"/>
    </row>
    <row r="931">
      <c r="A931" s="79"/>
      <c r="C931" s="77"/>
      <c r="D931" s="79"/>
      <c r="F931" s="77"/>
      <c r="G931" s="79"/>
      <c r="I931" s="77"/>
      <c r="K931" s="79"/>
    </row>
    <row r="932">
      <c r="A932" s="79"/>
      <c r="C932" s="77"/>
      <c r="D932" s="79"/>
      <c r="F932" s="77"/>
      <c r="G932" s="79"/>
      <c r="I932" s="77"/>
      <c r="K932" s="79"/>
    </row>
    <row r="933">
      <c r="A933" s="79"/>
      <c r="C933" s="77"/>
      <c r="D933" s="79"/>
      <c r="F933" s="77"/>
      <c r="G933" s="79"/>
      <c r="I933" s="77"/>
      <c r="K933" s="79"/>
    </row>
    <row r="934">
      <c r="A934" s="79"/>
      <c r="C934" s="77"/>
      <c r="D934" s="79"/>
      <c r="F934" s="77"/>
      <c r="G934" s="79"/>
      <c r="I934" s="77"/>
      <c r="K934" s="79"/>
    </row>
    <row r="935">
      <c r="A935" s="79"/>
      <c r="C935" s="77"/>
      <c r="D935" s="79"/>
      <c r="F935" s="77"/>
      <c r="G935" s="79"/>
      <c r="I935" s="77"/>
      <c r="K935" s="79"/>
    </row>
    <row r="936">
      <c r="A936" s="79"/>
      <c r="C936" s="77"/>
      <c r="D936" s="79"/>
      <c r="F936" s="77"/>
      <c r="G936" s="79"/>
      <c r="I936" s="77"/>
      <c r="K936" s="79"/>
    </row>
    <row r="937">
      <c r="A937" s="79"/>
      <c r="C937" s="77"/>
      <c r="D937" s="79"/>
      <c r="F937" s="77"/>
      <c r="G937" s="79"/>
      <c r="I937" s="77"/>
      <c r="K937" s="79"/>
    </row>
    <row r="938">
      <c r="A938" s="79"/>
      <c r="C938" s="77"/>
      <c r="D938" s="79"/>
      <c r="F938" s="77"/>
      <c r="G938" s="79"/>
      <c r="I938" s="77"/>
      <c r="K938" s="79"/>
    </row>
    <row r="939">
      <c r="A939" s="79"/>
      <c r="C939" s="77"/>
      <c r="D939" s="79"/>
      <c r="F939" s="77"/>
      <c r="G939" s="79"/>
      <c r="I939" s="77"/>
      <c r="K939" s="79"/>
    </row>
    <row r="940">
      <c r="A940" s="79"/>
      <c r="C940" s="77"/>
      <c r="D940" s="79"/>
      <c r="F940" s="77"/>
      <c r="G940" s="79"/>
      <c r="I940" s="77"/>
      <c r="K940" s="79"/>
    </row>
    <row r="941">
      <c r="A941" s="79"/>
      <c r="C941" s="77"/>
      <c r="D941" s="79"/>
      <c r="F941" s="77"/>
      <c r="G941" s="79"/>
      <c r="I941" s="77"/>
      <c r="K941" s="79"/>
    </row>
    <row r="942">
      <c r="A942" s="79"/>
      <c r="C942" s="77"/>
      <c r="D942" s="79"/>
      <c r="F942" s="77"/>
      <c r="G942" s="79"/>
      <c r="I942" s="77"/>
      <c r="K942" s="79"/>
    </row>
    <row r="943">
      <c r="A943" s="79"/>
      <c r="C943" s="77"/>
      <c r="D943" s="79"/>
      <c r="F943" s="77"/>
      <c r="G943" s="79"/>
      <c r="I943" s="77"/>
      <c r="K943" s="79"/>
    </row>
    <row r="944">
      <c r="A944" s="79"/>
      <c r="C944" s="77"/>
      <c r="D944" s="79"/>
      <c r="F944" s="77"/>
      <c r="G944" s="79"/>
      <c r="I944" s="77"/>
      <c r="K944" s="79"/>
    </row>
    <row r="945">
      <c r="A945" s="79"/>
      <c r="C945" s="77"/>
      <c r="D945" s="79"/>
      <c r="F945" s="77"/>
      <c r="G945" s="79"/>
      <c r="I945" s="77"/>
      <c r="K945" s="79"/>
    </row>
    <row r="946">
      <c r="A946" s="79"/>
      <c r="C946" s="77"/>
      <c r="D946" s="79"/>
      <c r="F946" s="77"/>
      <c r="G946" s="79"/>
      <c r="I946" s="77"/>
      <c r="K946" s="79"/>
    </row>
    <row r="947">
      <c r="A947" s="79"/>
      <c r="C947" s="77"/>
      <c r="D947" s="79"/>
      <c r="F947" s="77"/>
      <c r="G947" s="79"/>
      <c r="I947" s="77"/>
      <c r="K947" s="79"/>
    </row>
    <row r="948">
      <c r="A948" s="79"/>
      <c r="C948" s="77"/>
      <c r="D948" s="79"/>
      <c r="F948" s="77"/>
      <c r="G948" s="79"/>
      <c r="I948" s="77"/>
      <c r="K948" s="79"/>
    </row>
    <row r="949">
      <c r="A949" s="79"/>
      <c r="C949" s="77"/>
      <c r="D949" s="79"/>
      <c r="F949" s="77"/>
      <c r="G949" s="79"/>
      <c r="I949" s="77"/>
      <c r="K949" s="79"/>
    </row>
    <row r="950">
      <c r="A950" s="79"/>
      <c r="C950" s="77"/>
      <c r="D950" s="79"/>
      <c r="F950" s="77"/>
      <c r="G950" s="79"/>
      <c r="I950" s="77"/>
      <c r="K950" s="79"/>
    </row>
    <row r="951">
      <c r="A951" s="79"/>
      <c r="C951" s="77"/>
      <c r="D951" s="79"/>
      <c r="F951" s="77"/>
      <c r="G951" s="79"/>
      <c r="I951" s="77"/>
      <c r="K951" s="79"/>
    </row>
    <row r="952">
      <c r="A952" s="79"/>
      <c r="C952" s="77"/>
      <c r="D952" s="79"/>
      <c r="F952" s="77"/>
      <c r="G952" s="79"/>
      <c r="I952" s="77"/>
      <c r="K952" s="79"/>
    </row>
    <row r="953">
      <c r="A953" s="79"/>
      <c r="C953" s="77"/>
      <c r="D953" s="79"/>
      <c r="F953" s="77"/>
      <c r="G953" s="79"/>
      <c r="I953" s="77"/>
      <c r="K953" s="79"/>
    </row>
    <row r="954">
      <c r="A954" s="79"/>
      <c r="C954" s="77"/>
      <c r="D954" s="79"/>
      <c r="F954" s="77"/>
      <c r="G954" s="79"/>
      <c r="I954" s="77"/>
      <c r="K954" s="79"/>
    </row>
    <row r="955">
      <c r="A955" s="79"/>
      <c r="C955" s="77"/>
      <c r="D955" s="79"/>
      <c r="F955" s="77"/>
      <c r="G955" s="79"/>
      <c r="I955" s="77"/>
      <c r="K955" s="79"/>
    </row>
    <row r="956">
      <c r="A956" s="79"/>
      <c r="C956" s="77"/>
      <c r="D956" s="79"/>
      <c r="F956" s="77"/>
      <c r="G956" s="79"/>
      <c r="I956" s="77"/>
      <c r="K956" s="79"/>
    </row>
    <row r="957">
      <c r="A957" s="79"/>
      <c r="C957" s="77"/>
      <c r="D957" s="79"/>
      <c r="F957" s="77"/>
      <c r="G957" s="79"/>
      <c r="I957" s="77"/>
      <c r="K957" s="79"/>
    </row>
    <row r="958">
      <c r="A958" s="79"/>
      <c r="C958" s="77"/>
      <c r="D958" s="79"/>
      <c r="F958" s="77"/>
      <c r="G958" s="79"/>
      <c r="I958" s="77"/>
      <c r="K958" s="79"/>
    </row>
    <row r="959">
      <c r="A959" s="79"/>
      <c r="C959" s="77"/>
      <c r="D959" s="79"/>
      <c r="F959" s="77"/>
      <c r="G959" s="79"/>
      <c r="I959" s="77"/>
      <c r="K959" s="79"/>
    </row>
    <row r="960">
      <c r="A960" s="79"/>
      <c r="C960" s="77"/>
      <c r="D960" s="79"/>
      <c r="F960" s="77"/>
      <c r="G960" s="79"/>
      <c r="I960" s="77"/>
      <c r="K960" s="79"/>
    </row>
    <row r="961">
      <c r="A961" s="79"/>
      <c r="C961" s="77"/>
      <c r="D961" s="79"/>
      <c r="F961" s="77"/>
      <c r="G961" s="79"/>
      <c r="I961" s="77"/>
      <c r="K961" s="79"/>
    </row>
    <row r="962">
      <c r="A962" s="79"/>
      <c r="C962" s="77"/>
      <c r="D962" s="79"/>
      <c r="F962" s="77"/>
      <c r="G962" s="79"/>
      <c r="I962" s="77"/>
      <c r="K962" s="79"/>
    </row>
    <row r="963">
      <c r="A963" s="79"/>
      <c r="C963" s="77"/>
      <c r="D963" s="79"/>
      <c r="F963" s="77"/>
      <c r="G963" s="79"/>
      <c r="I963" s="77"/>
      <c r="K963" s="79"/>
    </row>
    <row r="964">
      <c r="A964" s="79"/>
      <c r="C964" s="77"/>
      <c r="D964" s="79"/>
      <c r="F964" s="77"/>
      <c r="G964" s="79"/>
      <c r="I964" s="77"/>
      <c r="K964" s="79"/>
    </row>
    <row r="965">
      <c r="A965" s="79"/>
      <c r="C965" s="77"/>
      <c r="D965" s="79"/>
      <c r="F965" s="77"/>
      <c r="G965" s="79"/>
      <c r="I965" s="77"/>
      <c r="K965" s="79"/>
    </row>
    <row r="966">
      <c r="A966" s="79"/>
      <c r="C966" s="77"/>
      <c r="D966" s="79"/>
      <c r="F966" s="77"/>
      <c r="G966" s="79"/>
      <c r="I966" s="77"/>
      <c r="K966" s="79"/>
    </row>
    <row r="967">
      <c r="A967" s="79"/>
      <c r="C967" s="77"/>
      <c r="D967" s="79"/>
      <c r="F967" s="77"/>
      <c r="G967" s="79"/>
      <c r="I967" s="77"/>
      <c r="K967" s="79"/>
    </row>
    <row r="968">
      <c r="A968" s="79"/>
      <c r="C968" s="77"/>
      <c r="D968" s="79"/>
      <c r="F968" s="77"/>
      <c r="G968" s="79"/>
      <c r="I968" s="77"/>
      <c r="K968" s="79"/>
    </row>
    <row r="969">
      <c r="A969" s="79"/>
      <c r="C969" s="77"/>
      <c r="D969" s="79"/>
      <c r="F969" s="77"/>
      <c r="G969" s="79"/>
      <c r="I969" s="77"/>
      <c r="K969" s="79"/>
    </row>
    <row r="970">
      <c r="A970" s="79"/>
      <c r="C970" s="77"/>
      <c r="D970" s="79"/>
      <c r="F970" s="77"/>
      <c r="G970" s="79"/>
      <c r="I970" s="77"/>
      <c r="K970" s="79"/>
    </row>
    <row r="971">
      <c r="A971" s="79"/>
      <c r="C971" s="77"/>
      <c r="D971" s="79"/>
      <c r="F971" s="77"/>
      <c r="G971" s="79"/>
      <c r="I971" s="77"/>
      <c r="K971" s="79"/>
    </row>
    <row r="972">
      <c r="A972" s="79"/>
      <c r="C972" s="77"/>
      <c r="D972" s="79"/>
      <c r="F972" s="77"/>
      <c r="G972" s="79"/>
      <c r="I972" s="77"/>
      <c r="K972" s="79"/>
    </row>
    <row r="973">
      <c r="A973" s="79"/>
      <c r="C973" s="77"/>
      <c r="D973" s="79"/>
      <c r="F973" s="77"/>
      <c r="G973" s="79"/>
      <c r="I973" s="77"/>
      <c r="K973" s="79"/>
    </row>
    <row r="974">
      <c r="A974" s="79"/>
      <c r="C974" s="77"/>
      <c r="D974" s="79"/>
      <c r="F974" s="77"/>
      <c r="G974" s="79"/>
      <c r="I974" s="77"/>
      <c r="K974" s="79"/>
    </row>
    <row r="975">
      <c r="A975" s="79"/>
      <c r="C975" s="77"/>
      <c r="D975" s="79"/>
      <c r="F975" s="77"/>
      <c r="G975" s="79"/>
      <c r="I975" s="77"/>
      <c r="K975" s="79"/>
    </row>
    <row r="976">
      <c r="A976" s="79"/>
      <c r="C976" s="77"/>
      <c r="D976" s="79"/>
      <c r="F976" s="77"/>
      <c r="G976" s="79"/>
      <c r="I976" s="77"/>
      <c r="K976" s="79"/>
    </row>
    <row r="977">
      <c r="A977" s="79"/>
      <c r="C977" s="77"/>
      <c r="D977" s="79"/>
      <c r="F977" s="77"/>
      <c r="G977" s="79"/>
      <c r="I977" s="77"/>
      <c r="K977" s="79"/>
    </row>
    <row r="978">
      <c r="A978" s="79"/>
      <c r="C978" s="77"/>
      <c r="D978" s="79"/>
      <c r="F978" s="77"/>
      <c r="G978" s="79"/>
      <c r="I978" s="77"/>
      <c r="K978" s="79"/>
    </row>
    <row r="979">
      <c r="A979" s="79"/>
      <c r="C979" s="77"/>
      <c r="D979" s="79"/>
      <c r="F979" s="77"/>
      <c r="G979" s="79"/>
      <c r="I979" s="77"/>
      <c r="K979" s="79"/>
    </row>
    <row r="980">
      <c r="A980" s="79"/>
      <c r="C980" s="77"/>
      <c r="D980" s="79"/>
      <c r="F980" s="77"/>
      <c r="G980" s="79"/>
      <c r="I980" s="77"/>
      <c r="K980" s="79"/>
    </row>
    <row r="981">
      <c r="A981" s="79"/>
      <c r="C981" s="77"/>
      <c r="D981" s="79"/>
      <c r="F981" s="77"/>
      <c r="G981" s="79"/>
      <c r="I981" s="77"/>
      <c r="K981" s="79"/>
    </row>
    <row r="982">
      <c r="A982" s="79"/>
      <c r="C982" s="77"/>
      <c r="D982" s="79"/>
      <c r="F982" s="77"/>
      <c r="G982" s="79"/>
      <c r="I982" s="77"/>
      <c r="K982" s="79"/>
    </row>
    <row r="983">
      <c r="A983" s="79"/>
      <c r="C983" s="77"/>
      <c r="D983" s="79"/>
      <c r="F983" s="77"/>
      <c r="G983" s="79"/>
      <c r="I983" s="77"/>
      <c r="K983" s="79"/>
    </row>
    <row r="984">
      <c r="A984" s="79"/>
      <c r="C984" s="77"/>
      <c r="D984" s="79"/>
      <c r="F984" s="77"/>
      <c r="G984" s="79"/>
      <c r="I984" s="77"/>
      <c r="K984" s="79"/>
    </row>
    <row r="985">
      <c r="A985" s="79"/>
      <c r="C985" s="77"/>
      <c r="D985" s="79"/>
      <c r="F985" s="77"/>
      <c r="G985" s="79"/>
      <c r="I985" s="77"/>
      <c r="K985" s="79"/>
    </row>
    <row r="986">
      <c r="A986" s="79"/>
      <c r="C986" s="77"/>
      <c r="D986" s="79"/>
      <c r="F986" s="77"/>
      <c r="G986" s="79"/>
      <c r="I986" s="77"/>
      <c r="K986" s="79"/>
    </row>
    <row r="987">
      <c r="A987" s="79"/>
      <c r="C987" s="77"/>
      <c r="D987" s="79"/>
      <c r="F987" s="77"/>
      <c r="G987" s="79"/>
      <c r="I987" s="77"/>
      <c r="K987" s="79"/>
    </row>
    <row r="988">
      <c r="A988" s="79"/>
      <c r="C988" s="77"/>
      <c r="D988" s="79"/>
      <c r="F988" s="77"/>
      <c r="G988" s="79"/>
      <c r="I988" s="77"/>
      <c r="K988" s="79"/>
    </row>
    <row r="989">
      <c r="A989" s="79"/>
      <c r="C989" s="77"/>
      <c r="D989" s="79"/>
      <c r="F989" s="77"/>
      <c r="G989" s="79"/>
      <c r="I989" s="77"/>
      <c r="K989" s="79"/>
    </row>
    <row r="990">
      <c r="A990" s="79"/>
      <c r="C990" s="77"/>
      <c r="D990" s="79"/>
      <c r="F990" s="77"/>
      <c r="G990" s="79"/>
      <c r="I990" s="77"/>
      <c r="K990" s="79"/>
    </row>
    <row r="991">
      <c r="A991" s="79"/>
      <c r="C991" s="77"/>
      <c r="D991" s="79"/>
      <c r="F991" s="77"/>
      <c r="G991" s="79"/>
      <c r="I991" s="77"/>
      <c r="K991" s="79"/>
    </row>
    <row r="992">
      <c r="A992" s="79"/>
      <c r="C992" s="77"/>
      <c r="D992" s="79"/>
      <c r="F992" s="77"/>
      <c r="G992" s="79"/>
      <c r="I992" s="77"/>
      <c r="K992" s="79"/>
    </row>
    <row r="993">
      <c r="A993" s="79"/>
      <c r="C993" s="77"/>
      <c r="D993" s="79"/>
      <c r="F993" s="77"/>
      <c r="G993" s="79"/>
      <c r="I993" s="77"/>
      <c r="K993" s="79"/>
    </row>
    <row r="994">
      <c r="A994" s="79"/>
      <c r="C994" s="77"/>
      <c r="D994" s="79"/>
      <c r="F994" s="77"/>
      <c r="G994" s="79"/>
      <c r="I994" s="77"/>
      <c r="K994" s="79"/>
    </row>
    <row r="995">
      <c r="A995" s="79"/>
      <c r="C995" s="77"/>
      <c r="D995" s="79"/>
      <c r="F995" s="77"/>
      <c r="G995" s="79"/>
      <c r="I995" s="77"/>
      <c r="K995" s="79"/>
    </row>
    <row r="996">
      <c r="A996" s="79"/>
      <c r="C996" s="77"/>
      <c r="D996" s="79"/>
      <c r="F996" s="77"/>
      <c r="G996" s="79"/>
      <c r="I996" s="77"/>
      <c r="K996" s="79"/>
    </row>
    <row r="997">
      <c r="A997" s="79"/>
      <c r="C997" s="77"/>
      <c r="D997" s="79"/>
      <c r="F997" s="77"/>
      <c r="G997" s="79"/>
      <c r="I997" s="77"/>
      <c r="K997" s="79"/>
    </row>
    <row r="998">
      <c r="A998" s="79"/>
      <c r="C998" s="77"/>
      <c r="D998" s="79"/>
      <c r="F998" s="77"/>
      <c r="G998" s="79"/>
      <c r="I998" s="77"/>
      <c r="K998" s="79"/>
    </row>
    <row r="999">
      <c r="A999" s="79"/>
      <c r="C999" s="77"/>
      <c r="D999" s="79"/>
      <c r="F999" s="77"/>
      <c r="G999" s="79"/>
      <c r="I999" s="77"/>
      <c r="K999" s="79"/>
    </row>
    <row r="1000">
      <c r="A1000" s="79"/>
      <c r="C1000" s="77"/>
      <c r="D1000" s="79"/>
      <c r="F1000" s="77"/>
      <c r="G1000" s="79"/>
      <c r="I1000" s="77"/>
      <c r="K1000" s="79"/>
    </row>
    <row r="1001">
      <c r="A1001" s="79"/>
      <c r="C1001" s="77"/>
      <c r="D1001" s="79"/>
      <c r="F1001" s="77"/>
      <c r="G1001" s="79"/>
      <c r="I1001" s="77"/>
      <c r="K1001" s="79"/>
    </row>
    <row r="1002">
      <c r="A1002" s="79"/>
      <c r="C1002" s="77"/>
      <c r="D1002" s="79"/>
      <c r="F1002" s="77"/>
      <c r="G1002" s="79"/>
      <c r="I1002" s="77"/>
      <c r="K1002" s="7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7D8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8"/>
    <col hidden="1" min="9" max="9" width="12.63"/>
    <col hidden="1" min="15" max="15" width="12.63"/>
    <col hidden="1" min="21" max="21" width="12.63"/>
    <col hidden="1" min="27" max="27" width="12.63"/>
    <col hidden="1" min="33" max="33" width="12.63"/>
    <col hidden="1" min="39" max="39" width="12.63"/>
    <col hidden="1" min="45" max="45" width="12.63"/>
    <col hidden="1" min="51" max="51" width="12.63"/>
    <col hidden="1" min="57" max="57" width="12.63"/>
    <col hidden="1" min="63" max="63" width="12.63"/>
    <col hidden="1" min="69" max="69" width="12.63"/>
  </cols>
  <sheetData>
    <row r="1">
      <c r="A1" s="82" t="s">
        <v>820</v>
      </c>
      <c r="B1" s="82" t="s">
        <v>1432</v>
      </c>
      <c r="C1" s="82" t="s">
        <v>1433</v>
      </c>
      <c r="D1" s="82" t="s">
        <v>1434</v>
      </c>
      <c r="E1" s="82" t="s">
        <v>1435</v>
      </c>
      <c r="F1" s="82" t="s">
        <v>1436</v>
      </c>
      <c r="G1" s="82" t="s">
        <v>1437</v>
      </c>
      <c r="H1" s="82" t="s">
        <v>1438</v>
      </c>
      <c r="I1" s="82" t="s">
        <v>1439</v>
      </c>
      <c r="J1" s="82" t="s">
        <v>1440</v>
      </c>
      <c r="K1" s="82" t="s">
        <v>1441</v>
      </c>
      <c r="L1" s="82" t="s">
        <v>1442</v>
      </c>
      <c r="M1" s="82" t="s">
        <v>1443</v>
      </c>
      <c r="N1" s="82" t="s">
        <v>1444</v>
      </c>
      <c r="O1" s="82" t="s">
        <v>1445</v>
      </c>
      <c r="P1" s="82" t="s">
        <v>1446</v>
      </c>
      <c r="Q1" s="82" t="s">
        <v>1447</v>
      </c>
      <c r="R1" s="82" t="s">
        <v>1448</v>
      </c>
      <c r="S1" s="82" t="s">
        <v>1449</v>
      </c>
      <c r="T1" s="82" t="s">
        <v>1450</v>
      </c>
      <c r="U1" s="82" t="s">
        <v>1451</v>
      </c>
      <c r="V1" s="82" t="s">
        <v>1452</v>
      </c>
      <c r="W1" s="82" t="s">
        <v>1453</v>
      </c>
      <c r="X1" s="82" t="s">
        <v>1454</v>
      </c>
      <c r="Y1" s="82" t="s">
        <v>1455</v>
      </c>
      <c r="Z1" s="82" t="s">
        <v>1456</v>
      </c>
      <c r="AA1" s="82" t="s">
        <v>1457</v>
      </c>
      <c r="AB1" s="82" t="s">
        <v>1458</v>
      </c>
      <c r="AC1" s="82" t="s">
        <v>1459</v>
      </c>
      <c r="AD1" s="82" t="s">
        <v>1460</v>
      </c>
      <c r="AE1" s="82" t="s">
        <v>1461</v>
      </c>
      <c r="AF1" s="82" t="s">
        <v>1462</v>
      </c>
      <c r="AG1" s="82" t="s">
        <v>1463</v>
      </c>
      <c r="AH1" s="82" t="s">
        <v>1464</v>
      </c>
      <c r="AI1" s="82" t="s">
        <v>1465</v>
      </c>
      <c r="AJ1" s="82" t="s">
        <v>1466</v>
      </c>
      <c r="AK1" s="82" t="s">
        <v>1467</v>
      </c>
      <c r="AL1" s="82" t="s">
        <v>1468</v>
      </c>
      <c r="AM1" s="82" t="s">
        <v>1469</v>
      </c>
      <c r="AN1" s="82" t="s">
        <v>1470</v>
      </c>
      <c r="AO1" s="82" t="s">
        <v>1471</v>
      </c>
      <c r="AP1" s="82" t="s">
        <v>1472</v>
      </c>
      <c r="AQ1" s="82" t="s">
        <v>1473</v>
      </c>
      <c r="AR1" s="82" t="s">
        <v>1474</v>
      </c>
      <c r="AS1" s="82" t="s">
        <v>1475</v>
      </c>
      <c r="AT1" s="82" t="s">
        <v>1476</v>
      </c>
      <c r="AU1" s="82" t="s">
        <v>1477</v>
      </c>
      <c r="AV1" s="82" t="s">
        <v>1478</v>
      </c>
      <c r="AW1" s="82" t="s">
        <v>1479</v>
      </c>
      <c r="AX1" s="82" t="s">
        <v>1480</v>
      </c>
      <c r="AY1" s="82" t="s">
        <v>1481</v>
      </c>
      <c r="AZ1" s="82" t="s">
        <v>1482</v>
      </c>
      <c r="BA1" s="82" t="s">
        <v>1483</v>
      </c>
      <c r="BB1" s="82" t="s">
        <v>1484</v>
      </c>
      <c r="BC1" s="82" t="s">
        <v>1485</v>
      </c>
      <c r="BD1" s="82" t="s">
        <v>1486</v>
      </c>
      <c r="BE1" s="82" t="s">
        <v>1487</v>
      </c>
      <c r="BF1" s="82" t="s">
        <v>1488</v>
      </c>
      <c r="BG1" s="82" t="s">
        <v>1489</v>
      </c>
      <c r="BH1" s="82" t="s">
        <v>1490</v>
      </c>
      <c r="BI1" s="82" t="s">
        <v>1491</v>
      </c>
      <c r="BJ1" s="82" t="s">
        <v>1492</v>
      </c>
      <c r="BK1" s="82" t="s">
        <v>1493</v>
      </c>
      <c r="BL1" s="82" t="s">
        <v>1494</v>
      </c>
      <c r="BM1" s="82" t="s">
        <v>1495</v>
      </c>
      <c r="BN1" s="82" t="s">
        <v>1496</v>
      </c>
      <c r="BO1" s="82" t="s">
        <v>1497</v>
      </c>
      <c r="BP1" s="82" t="s">
        <v>1498</v>
      </c>
      <c r="BQ1" s="82" t="s">
        <v>1499</v>
      </c>
    </row>
    <row r="2">
      <c r="A2" s="83">
        <v>44775.38236418982</v>
      </c>
      <c r="B2" s="38" t="s">
        <v>1500</v>
      </c>
      <c r="C2" s="84">
        <v>1.0</v>
      </c>
      <c r="D2" s="84">
        <v>0.0</v>
      </c>
      <c r="E2" s="38" t="s">
        <v>1501</v>
      </c>
      <c r="G2" s="85" t="s">
        <v>1502</v>
      </c>
      <c r="H2" s="84">
        <v>1.0</v>
      </c>
      <c r="I2" s="38" t="s">
        <v>1503</v>
      </c>
      <c r="J2" s="38" t="s">
        <v>1504</v>
      </c>
      <c r="K2" s="38" t="s">
        <v>1505</v>
      </c>
      <c r="L2" s="83">
        <v>44775.382487800925</v>
      </c>
      <c r="M2" s="86">
        <v>44775.383425925924</v>
      </c>
      <c r="N2" s="84" t="s">
        <v>1506</v>
      </c>
      <c r="O2" s="38" t="s">
        <v>1507</v>
      </c>
    </row>
    <row r="3">
      <c r="A3" s="83">
        <v>44775.38773857639</v>
      </c>
      <c r="B3" s="38" t="s">
        <v>1508</v>
      </c>
      <c r="C3" s="84">
        <v>2.0</v>
      </c>
      <c r="D3" s="84">
        <v>0.0</v>
      </c>
      <c r="E3" s="38" t="s">
        <v>1501</v>
      </c>
      <c r="G3" s="85" t="s">
        <v>1509</v>
      </c>
      <c r="H3" s="84">
        <v>1.0</v>
      </c>
      <c r="I3" s="38" t="s">
        <v>1510</v>
      </c>
      <c r="J3" s="38" t="s">
        <v>1504</v>
      </c>
      <c r="K3" s="38" t="s">
        <v>1505</v>
      </c>
      <c r="L3" s="83">
        <v>44775.387803923615</v>
      </c>
      <c r="M3" s="86">
        <v>44775.38846064815</v>
      </c>
      <c r="N3" s="84" t="s">
        <v>1511</v>
      </c>
      <c r="O3" s="38" t="s">
        <v>1507</v>
      </c>
    </row>
    <row r="4">
      <c r="A4" s="83">
        <v>44775.44234476852</v>
      </c>
      <c r="B4" s="38" t="s">
        <v>1512</v>
      </c>
      <c r="C4" s="84">
        <v>3.0</v>
      </c>
      <c r="D4" s="84">
        <v>0.0</v>
      </c>
      <c r="E4" s="38" t="s">
        <v>1501</v>
      </c>
      <c r="G4" s="85" t="s">
        <v>1513</v>
      </c>
      <c r="H4" s="84">
        <v>1.0</v>
      </c>
      <c r="I4" s="38" t="s">
        <v>1514</v>
      </c>
      <c r="J4" s="38" t="s">
        <v>1504</v>
      </c>
      <c r="K4" s="38" t="s">
        <v>1505</v>
      </c>
      <c r="L4" s="83">
        <v>44775.442436550926</v>
      </c>
      <c r="M4" s="86">
        <v>44775.472546296296</v>
      </c>
      <c r="N4" s="84" t="s">
        <v>1515</v>
      </c>
      <c r="O4" s="38" t="s">
        <v>1507</v>
      </c>
    </row>
    <row r="5">
      <c r="A5" s="83">
        <v>44775.479016296296</v>
      </c>
      <c r="B5" s="38" t="s">
        <v>1516</v>
      </c>
      <c r="C5" s="84">
        <v>4.0</v>
      </c>
      <c r="D5" s="84">
        <v>0.0</v>
      </c>
      <c r="E5" s="38" t="s">
        <v>1501</v>
      </c>
      <c r="G5" s="85" t="s">
        <v>1517</v>
      </c>
      <c r="H5" s="84">
        <v>1.0</v>
      </c>
      <c r="I5" s="38" t="s">
        <v>1518</v>
      </c>
      <c r="J5" s="38" t="s">
        <v>1504</v>
      </c>
      <c r="K5" s="38" t="s">
        <v>1505</v>
      </c>
      <c r="L5" s="83">
        <v>44775.479101944446</v>
      </c>
      <c r="M5" s="86">
        <v>44775.480162037034</v>
      </c>
      <c r="N5" s="84" t="s">
        <v>1519</v>
      </c>
      <c r="O5" s="38" t="s">
        <v>1507</v>
      </c>
    </row>
    <row r="6">
      <c r="A6" s="83">
        <v>44775.49031275463</v>
      </c>
      <c r="B6" s="38" t="s">
        <v>1520</v>
      </c>
      <c r="C6" s="84">
        <v>5.0</v>
      </c>
      <c r="D6" s="84">
        <v>0.0</v>
      </c>
      <c r="E6" s="38" t="s">
        <v>1501</v>
      </c>
      <c r="G6" s="85" t="s">
        <v>1521</v>
      </c>
      <c r="H6" s="84">
        <v>1.0</v>
      </c>
      <c r="I6" s="38" t="s">
        <v>1522</v>
      </c>
      <c r="J6" s="38" t="s">
        <v>1504</v>
      </c>
      <c r="K6" s="38" t="s">
        <v>1505</v>
      </c>
      <c r="L6" s="83">
        <v>44775.490400069444</v>
      </c>
      <c r="M6" s="86">
        <v>44775.491747685184</v>
      </c>
      <c r="N6" s="84" t="s">
        <v>1523</v>
      </c>
      <c r="O6" s="38" t="s">
        <v>1507</v>
      </c>
    </row>
    <row r="7">
      <c r="A7" s="83">
        <v>44775.61617119213</v>
      </c>
      <c r="B7" s="38" t="s">
        <v>1524</v>
      </c>
      <c r="C7" s="84">
        <v>6.0</v>
      </c>
      <c r="D7" s="84">
        <v>0.0</v>
      </c>
      <c r="E7" s="38" t="s">
        <v>1525</v>
      </c>
      <c r="G7" s="85" t="s">
        <v>1526</v>
      </c>
      <c r="H7" s="84">
        <v>1.0</v>
      </c>
      <c r="I7" s="38" t="s">
        <v>1527</v>
      </c>
      <c r="J7" s="38" t="s">
        <v>1504</v>
      </c>
      <c r="K7" s="38" t="s">
        <v>1528</v>
      </c>
      <c r="L7" s="83">
        <v>44775.616257939815</v>
      </c>
      <c r="O7" s="38" t="s">
        <v>1507</v>
      </c>
    </row>
    <row r="8">
      <c r="A8" s="83">
        <v>44775.70317663194</v>
      </c>
      <c r="B8" s="38" t="s">
        <v>1529</v>
      </c>
      <c r="C8" s="84">
        <v>7.0</v>
      </c>
      <c r="D8" s="84">
        <v>0.0</v>
      </c>
      <c r="E8" s="38" t="s">
        <v>1501</v>
      </c>
      <c r="G8" s="85" t="s">
        <v>1530</v>
      </c>
      <c r="H8" s="84">
        <v>1.0</v>
      </c>
      <c r="I8" s="38" t="s">
        <v>1531</v>
      </c>
      <c r="J8" s="38" t="s">
        <v>1504</v>
      </c>
      <c r="K8" s="38" t="s">
        <v>1505</v>
      </c>
      <c r="L8" s="83">
        <v>44775.70332450232</v>
      </c>
      <c r="M8" s="86">
        <v>44775.70578703703</v>
      </c>
      <c r="N8" s="84" t="s">
        <v>827</v>
      </c>
      <c r="O8" s="38" t="s">
        <v>1507</v>
      </c>
    </row>
    <row r="9">
      <c r="A9" s="83">
        <v>44776.49000642361</v>
      </c>
      <c r="B9" s="38" t="s">
        <v>1532</v>
      </c>
      <c r="C9" s="84">
        <v>8.0</v>
      </c>
      <c r="D9" s="84">
        <v>0.0</v>
      </c>
      <c r="E9" s="38" t="s">
        <v>1501</v>
      </c>
      <c r="G9" s="85" t="s">
        <v>1533</v>
      </c>
      <c r="H9" s="84">
        <v>1.0</v>
      </c>
      <c r="I9" s="38" t="s">
        <v>1534</v>
      </c>
      <c r="J9" s="38" t="s">
        <v>1504</v>
      </c>
      <c r="K9" s="38" t="s">
        <v>1505</v>
      </c>
      <c r="L9" s="83">
        <v>44776.49007435185</v>
      </c>
      <c r="M9" s="86">
        <v>44776.51006944444</v>
      </c>
      <c r="N9" s="84" t="s">
        <v>1535</v>
      </c>
      <c r="O9" s="38" t="s">
        <v>1507</v>
      </c>
    </row>
    <row r="10">
      <c r="A10" s="83">
        <v>44776.59718378472</v>
      </c>
      <c r="B10" s="38" t="s">
        <v>1536</v>
      </c>
      <c r="C10" s="84">
        <v>9.0</v>
      </c>
      <c r="D10" s="84">
        <v>0.0</v>
      </c>
      <c r="E10" s="38" t="s">
        <v>1501</v>
      </c>
      <c r="G10" s="85" t="s">
        <v>1537</v>
      </c>
      <c r="H10" s="84">
        <v>1.0</v>
      </c>
      <c r="I10" s="38" t="s">
        <v>1538</v>
      </c>
      <c r="J10" s="38" t="s">
        <v>1504</v>
      </c>
      <c r="K10" s="38" t="s">
        <v>1505</v>
      </c>
      <c r="L10" s="83">
        <v>44776.597276747685</v>
      </c>
      <c r="M10" s="86">
        <v>44776.671064814815</v>
      </c>
      <c r="N10" s="84" t="s">
        <v>1539</v>
      </c>
      <c r="O10" s="38" t="s">
        <v>1507</v>
      </c>
    </row>
    <row r="11">
      <c r="A11" s="83">
        <v>44776.66758333333</v>
      </c>
      <c r="B11" s="38" t="s">
        <v>1540</v>
      </c>
      <c r="C11" s="84">
        <v>10.0</v>
      </c>
      <c r="D11" s="84">
        <v>0.0</v>
      </c>
      <c r="E11" s="38" t="s">
        <v>1501</v>
      </c>
      <c r="G11" s="85" t="s">
        <v>1541</v>
      </c>
      <c r="H11" s="84">
        <v>1.0</v>
      </c>
      <c r="I11" s="38" t="s">
        <v>1542</v>
      </c>
      <c r="J11" s="38" t="s">
        <v>1504</v>
      </c>
      <c r="K11" s="38" t="s">
        <v>1505</v>
      </c>
      <c r="L11" s="83">
        <v>44776.66766387731</v>
      </c>
      <c r="M11" s="86">
        <v>44776.669270833336</v>
      </c>
      <c r="N11" s="84" t="s">
        <v>1543</v>
      </c>
      <c r="O11" s="38" t="s">
        <v>1507</v>
      </c>
    </row>
    <row r="12">
      <c r="A12" s="83">
        <v>44777.413306793984</v>
      </c>
      <c r="B12" s="38" t="s">
        <v>1544</v>
      </c>
      <c r="C12" s="84">
        <v>11.0</v>
      </c>
      <c r="D12" s="84">
        <v>0.0</v>
      </c>
      <c r="E12" s="38" t="s">
        <v>1525</v>
      </c>
      <c r="G12" s="85" t="s">
        <v>1545</v>
      </c>
      <c r="H12" s="84">
        <v>1.0</v>
      </c>
      <c r="I12" s="38" t="s">
        <v>1546</v>
      </c>
      <c r="J12" s="38" t="s">
        <v>1504</v>
      </c>
      <c r="K12" s="38" t="s">
        <v>1528</v>
      </c>
      <c r="L12" s="83">
        <v>44777.41337836806</v>
      </c>
      <c r="O12" s="38" t="s">
        <v>1507</v>
      </c>
    </row>
    <row r="13">
      <c r="A13" s="83">
        <v>44777.422398298615</v>
      </c>
      <c r="B13" s="38" t="s">
        <v>1547</v>
      </c>
      <c r="C13" s="84">
        <v>12.0</v>
      </c>
      <c r="D13" s="84">
        <v>0.0</v>
      </c>
      <c r="E13" s="38" t="s">
        <v>1501</v>
      </c>
      <c r="G13" s="85" t="s">
        <v>1548</v>
      </c>
      <c r="H13" s="84">
        <v>1.0</v>
      </c>
      <c r="I13" s="38" t="s">
        <v>1549</v>
      </c>
      <c r="J13" s="38" t="s">
        <v>1504</v>
      </c>
      <c r="K13" s="38" t="s">
        <v>1505</v>
      </c>
      <c r="L13" s="83">
        <v>44777.422482650465</v>
      </c>
      <c r="M13" s="86">
        <v>44777.43079861111</v>
      </c>
      <c r="N13" s="84" t="s">
        <v>827</v>
      </c>
      <c r="O13" s="38" t="s">
        <v>1507</v>
      </c>
    </row>
    <row r="14">
      <c r="A14" s="83">
        <v>44777.48970706019</v>
      </c>
      <c r="B14" s="38" t="s">
        <v>1550</v>
      </c>
      <c r="C14" s="84">
        <v>13.0</v>
      </c>
      <c r="D14" s="84">
        <v>0.0</v>
      </c>
      <c r="E14" s="38" t="s">
        <v>1501</v>
      </c>
      <c r="G14" s="85" t="s">
        <v>1551</v>
      </c>
      <c r="H14" s="84">
        <v>1.0</v>
      </c>
      <c r="I14" s="38" t="s">
        <v>1552</v>
      </c>
      <c r="J14" s="38" t="s">
        <v>1504</v>
      </c>
      <c r="K14" s="38" t="s">
        <v>1505</v>
      </c>
      <c r="L14" s="83">
        <v>44777.48978953704</v>
      </c>
      <c r="M14" s="86">
        <v>44777.70775462963</v>
      </c>
      <c r="N14" s="84" t="s">
        <v>1553</v>
      </c>
      <c r="O14" s="38" t="s">
        <v>1507</v>
      </c>
    </row>
    <row r="15">
      <c r="A15" s="83">
        <v>44781.49041614583</v>
      </c>
      <c r="B15" s="38" t="s">
        <v>1554</v>
      </c>
      <c r="C15" s="84">
        <v>14.0</v>
      </c>
      <c r="D15" s="84">
        <v>0.0</v>
      </c>
      <c r="E15" s="38" t="s">
        <v>1525</v>
      </c>
      <c r="G15" s="85" t="s">
        <v>1555</v>
      </c>
      <c r="H15" s="84">
        <v>1.0</v>
      </c>
      <c r="I15" s="38" t="s">
        <v>1556</v>
      </c>
      <c r="J15" s="38" t="s">
        <v>1504</v>
      </c>
      <c r="K15" s="38" t="s">
        <v>1528</v>
      </c>
      <c r="L15" s="83">
        <v>44781.490474039354</v>
      </c>
      <c r="O15" s="38" t="s">
        <v>1507</v>
      </c>
    </row>
    <row r="16">
      <c r="A16" s="83">
        <v>44781.68221079861</v>
      </c>
      <c r="B16" s="38" t="s">
        <v>1557</v>
      </c>
      <c r="C16" s="84">
        <v>15.0</v>
      </c>
      <c r="D16" s="84">
        <v>0.0</v>
      </c>
      <c r="E16" s="38" t="s">
        <v>1525</v>
      </c>
      <c r="G16" s="85" t="s">
        <v>1558</v>
      </c>
      <c r="H16" s="84">
        <v>1.0</v>
      </c>
      <c r="I16" s="38" t="s">
        <v>1559</v>
      </c>
      <c r="J16" s="38" t="s">
        <v>1504</v>
      </c>
      <c r="K16" s="38" t="s">
        <v>1528</v>
      </c>
      <c r="L16" s="83">
        <v>44781.68229747685</v>
      </c>
      <c r="O16" s="38" t="s">
        <v>1507</v>
      </c>
    </row>
    <row r="17">
      <c r="A17" s="83">
        <v>44783.38050109954</v>
      </c>
      <c r="B17" s="38" t="s">
        <v>1560</v>
      </c>
      <c r="C17" s="84">
        <v>16.0</v>
      </c>
      <c r="D17" s="84">
        <v>0.0</v>
      </c>
      <c r="E17" s="38" t="s">
        <v>1501</v>
      </c>
      <c r="G17" s="85" t="s">
        <v>1561</v>
      </c>
      <c r="H17" s="84">
        <v>1.0</v>
      </c>
      <c r="I17" s="38" t="s">
        <v>1562</v>
      </c>
      <c r="J17" s="38" t="s">
        <v>1504</v>
      </c>
      <c r="K17" s="38" t="s">
        <v>1505</v>
      </c>
      <c r="L17" s="83">
        <v>44783.380586168976</v>
      </c>
      <c r="M17" s="86">
        <v>44783.381203703706</v>
      </c>
      <c r="N17" s="84" t="s">
        <v>827</v>
      </c>
      <c r="O17" s="38" t="s">
        <v>1507</v>
      </c>
    </row>
    <row r="18">
      <c r="A18" s="83">
        <v>44783.39247832176</v>
      </c>
      <c r="B18" s="38" t="s">
        <v>1563</v>
      </c>
      <c r="C18" s="84">
        <v>17.0</v>
      </c>
      <c r="D18" s="84">
        <v>0.0</v>
      </c>
      <c r="E18" s="38" t="s">
        <v>1501</v>
      </c>
      <c r="G18" s="85" t="s">
        <v>1564</v>
      </c>
      <c r="H18" s="84">
        <v>1.0</v>
      </c>
      <c r="I18" s="38" t="s">
        <v>1565</v>
      </c>
      <c r="J18" s="38" t="s">
        <v>1504</v>
      </c>
      <c r="K18" s="38" t="s">
        <v>1505</v>
      </c>
      <c r="L18" s="83">
        <v>44783.3925743287</v>
      </c>
      <c r="M18" s="86">
        <v>44783.39481481481</v>
      </c>
      <c r="N18" s="84" t="s">
        <v>827</v>
      </c>
      <c r="O18" s="38" t="s">
        <v>1507</v>
      </c>
    </row>
    <row r="19">
      <c r="A19" s="83">
        <v>44784.64677721065</v>
      </c>
      <c r="B19" s="38" t="s">
        <v>1566</v>
      </c>
      <c r="C19" s="84">
        <v>18.0</v>
      </c>
      <c r="D19" s="84">
        <v>0.0</v>
      </c>
      <c r="E19" s="38" t="s">
        <v>1525</v>
      </c>
      <c r="G19" s="85" t="s">
        <v>1567</v>
      </c>
      <c r="H19" s="84">
        <v>1.0</v>
      </c>
      <c r="I19" s="38" t="s">
        <v>1568</v>
      </c>
      <c r="J19" s="38" t="s">
        <v>1504</v>
      </c>
      <c r="K19" s="38" t="s">
        <v>1528</v>
      </c>
      <c r="L19" s="83">
        <v>44784.646833252315</v>
      </c>
      <c r="O19" s="38" t="s">
        <v>1507</v>
      </c>
    </row>
    <row r="20">
      <c r="A20" s="83">
        <v>44785.33903243055</v>
      </c>
      <c r="B20" s="38" t="s">
        <v>1569</v>
      </c>
      <c r="C20" s="84">
        <v>19.0</v>
      </c>
      <c r="D20" s="84">
        <v>0.0</v>
      </c>
      <c r="E20" s="38" t="s">
        <v>1501</v>
      </c>
      <c r="G20" s="85" t="s">
        <v>1570</v>
      </c>
      <c r="H20" s="84">
        <v>1.0</v>
      </c>
      <c r="I20" s="38" t="s">
        <v>1571</v>
      </c>
      <c r="J20" s="38" t="s">
        <v>1504</v>
      </c>
      <c r="K20" s="38" t="s">
        <v>1505</v>
      </c>
      <c r="L20" s="83">
        <v>44785.33911707176</v>
      </c>
      <c r="M20" s="86">
        <v>44785.47340277778</v>
      </c>
      <c r="N20" s="84" t="s">
        <v>827</v>
      </c>
      <c r="O20" s="38" t="s">
        <v>1507</v>
      </c>
    </row>
    <row r="21">
      <c r="A21" s="83">
        <v>44788.660663055554</v>
      </c>
      <c r="B21" s="38" t="s">
        <v>1572</v>
      </c>
      <c r="C21" s="84">
        <v>20.0</v>
      </c>
      <c r="D21" s="84">
        <v>0.0</v>
      </c>
      <c r="E21" s="38" t="s">
        <v>1501</v>
      </c>
      <c r="G21" s="85" t="s">
        <v>1573</v>
      </c>
      <c r="H21" s="84">
        <v>1.0</v>
      </c>
      <c r="I21" s="38" t="s">
        <v>1574</v>
      </c>
      <c r="J21" s="38" t="s">
        <v>1504</v>
      </c>
      <c r="K21" s="38" t="s">
        <v>1505</v>
      </c>
      <c r="L21" s="83">
        <v>44788.66071596065</v>
      </c>
      <c r="M21" s="86">
        <v>44788.673159722224</v>
      </c>
      <c r="N21" s="84" t="s">
        <v>827</v>
      </c>
      <c r="O21" s="38" t="s">
        <v>1507</v>
      </c>
    </row>
  </sheetData>
  <hyperlinks>
    <hyperlink r:id="rId2" ref="G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 r:id="rId21" ref="G21"/>
  </hyperlinks>
  <drawing r:id="rId22"/>
  <legacy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hidden="1" min="2" max="2" width="12.63"/>
    <col customWidth="1" min="3" max="3" width="16.25"/>
    <col customWidth="1" min="4" max="4" width="27.5"/>
    <col customWidth="1" min="6" max="6" width="20.75"/>
    <col customWidth="1" min="7" max="7" width="11.88"/>
    <col customWidth="1" min="8" max="8" width="126.63"/>
    <col customWidth="1" min="9" max="9" width="16.25"/>
    <col customWidth="1" min="10" max="10" width="15.63"/>
    <col customWidth="1" min="11" max="11" width="16.75"/>
    <col customWidth="1" min="12" max="12" width="19.75"/>
    <col customWidth="1" min="13" max="13" width="24.75"/>
    <col customWidth="1" min="14" max="14" width="15.63"/>
    <col customWidth="1" min="15" max="15" width="16.75"/>
    <col customWidth="1" min="16" max="16" width="19.75"/>
    <col customWidth="1" min="17" max="17" width="24.75"/>
    <col customWidth="1" min="18" max="18" width="15.63"/>
    <col customWidth="1" min="19" max="19" width="16.75"/>
    <col customWidth="1" min="20" max="20" width="19.75"/>
    <col customWidth="1" min="21" max="21" width="24.75"/>
    <col customWidth="1" min="22" max="22" width="15.63"/>
    <col customWidth="1" min="23" max="23" width="16.75"/>
    <col customWidth="1" min="24" max="24" width="19.75"/>
    <col customWidth="1" min="25" max="25" width="24.75"/>
    <col customWidth="1" min="26" max="26" width="15.63"/>
    <col customWidth="1" min="27" max="27" width="16.75"/>
    <col customWidth="1" min="28" max="28" width="19.75"/>
    <col customWidth="1" min="29" max="29" width="24.75"/>
    <col customWidth="1" min="30" max="30" width="15.63"/>
    <col customWidth="1" min="31" max="31" width="16.75"/>
    <col customWidth="1" min="32" max="32" width="19.75"/>
    <col customWidth="1" min="33" max="33" width="24.75"/>
    <col customWidth="1" min="34" max="34" width="15.63"/>
    <col customWidth="1" min="35" max="35" width="16.75"/>
    <col customWidth="1" min="36" max="36" width="19.75"/>
    <col customWidth="1" min="37" max="37" width="24.75"/>
    <col customWidth="1" min="38" max="38" width="15.63"/>
    <col customWidth="1" min="39" max="39" width="16.75"/>
    <col customWidth="1" min="40" max="40" width="19.75"/>
    <col customWidth="1" min="41" max="41" width="24.75"/>
    <col customWidth="1" min="42" max="42" width="16.75"/>
    <col customWidth="1" min="43" max="43" width="18.0"/>
    <col customWidth="1" min="44" max="44" width="21.0"/>
    <col customWidth="1" min="45" max="45" width="26.0"/>
  </cols>
  <sheetData>
    <row r="1">
      <c r="A1" s="87" t="s">
        <v>1575</v>
      </c>
      <c r="B1" s="87" t="s">
        <v>1576</v>
      </c>
      <c r="C1" s="87" t="s">
        <v>820</v>
      </c>
      <c r="D1" s="87" t="s">
        <v>1577</v>
      </c>
      <c r="E1" s="87" t="s">
        <v>1578</v>
      </c>
      <c r="F1" s="88" t="s">
        <v>1440</v>
      </c>
      <c r="J1" s="88" t="s">
        <v>1446</v>
      </c>
      <c r="N1" s="88" t="s">
        <v>1452</v>
      </c>
      <c r="R1" s="88" t="s">
        <v>1458</v>
      </c>
      <c r="V1" s="88" t="s">
        <v>1464</v>
      </c>
      <c r="Z1" s="88" t="s">
        <v>1470</v>
      </c>
      <c r="AD1" s="88" t="s">
        <v>1476</v>
      </c>
      <c r="AH1" s="88" t="s">
        <v>1482</v>
      </c>
      <c r="AL1" s="88" t="s">
        <v>1488</v>
      </c>
      <c r="AP1" s="88" t="s">
        <v>1494</v>
      </c>
      <c r="AT1" s="89"/>
      <c r="AU1" s="89"/>
    </row>
    <row r="2">
      <c r="F2" s="88" t="s">
        <v>1579</v>
      </c>
      <c r="G2" s="88" t="s">
        <v>1580</v>
      </c>
      <c r="H2" s="88" t="s">
        <v>1581</v>
      </c>
      <c r="I2" s="88" t="s">
        <v>1582</v>
      </c>
      <c r="J2" s="88" t="s">
        <v>1583</v>
      </c>
      <c r="K2" s="88" t="s">
        <v>1584</v>
      </c>
      <c r="L2" s="88" t="s">
        <v>1585</v>
      </c>
      <c r="M2" s="88" t="s">
        <v>1586</v>
      </c>
      <c r="N2" s="88" t="s">
        <v>1587</v>
      </c>
      <c r="O2" s="88" t="s">
        <v>1588</v>
      </c>
      <c r="P2" s="88" t="s">
        <v>1589</v>
      </c>
      <c r="Q2" s="88" t="s">
        <v>1590</v>
      </c>
      <c r="R2" s="88" t="s">
        <v>1591</v>
      </c>
      <c r="S2" s="88" t="s">
        <v>1592</v>
      </c>
      <c r="T2" s="88" t="s">
        <v>1593</v>
      </c>
      <c r="U2" s="88" t="s">
        <v>1594</v>
      </c>
      <c r="V2" s="88" t="s">
        <v>1595</v>
      </c>
      <c r="W2" s="88" t="s">
        <v>1596</v>
      </c>
      <c r="X2" s="88" t="s">
        <v>1597</v>
      </c>
      <c r="Y2" s="88" t="s">
        <v>1598</v>
      </c>
      <c r="Z2" s="88" t="s">
        <v>1599</v>
      </c>
      <c r="AA2" s="88" t="s">
        <v>1600</v>
      </c>
      <c r="AB2" s="88" t="s">
        <v>1601</v>
      </c>
      <c r="AC2" s="88" t="s">
        <v>1602</v>
      </c>
      <c r="AD2" s="88" t="s">
        <v>1603</v>
      </c>
      <c r="AE2" s="88" t="s">
        <v>1604</v>
      </c>
      <c r="AF2" s="88" t="s">
        <v>1605</v>
      </c>
      <c r="AG2" s="88" t="s">
        <v>1606</v>
      </c>
      <c r="AH2" s="88" t="s">
        <v>1607</v>
      </c>
      <c r="AI2" s="88" t="s">
        <v>1608</v>
      </c>
      <c r="AJ2" s="88" t="s">
        <v>1609</v>
      </c>
      <c r="AK2" s="88" t="s">
        <v>1610</v>
      </c>
      <c r="AL2" s="88" t="s">
        <v>1611</v>
      </c>
      <c r="AM2" s="88" t="s">
        <v>1612</v>
      </c>
      <c r="AN2" s="88" t="s">
        <v>1613</v>
      </c>
      <c r="AO2" s="88" t="s">
        <v>1614</v>
      </c>
      <c r="AP2" s="88" t="s">
        <v>1615</v>
      </c>
      <c r="AQ2" s="88" t="s">
        <v>1616</v>
      </c>
      <c r="AR2" s="88" t="s">
        <v>1617</v>
      </c>
      <c r="AS2" s="88" t="s">
        <v>1618</v>
      </c>
      <c r="AT2" s="89"/>
      <c r="AU2" s="89"/>
    </row>
    <row r="3">
      <c r="A3" s="90">
        <v>29.0</v>
      </c>
      <c r="B3" s="90"/>
      <c r="C3" s="91" t="s">
        <v>1619</v>
      </c>
      <c r="D3" s="91" t="s">
        <v>1620</v>
      </c>
      <c r="E3" s="92" t="s">
        <v>1621</v>
      </c>
      <c r="F3" s="91" t="s">
        <v>1504</v>
      </c>
      <c r="G3" s="38" t="s">
        <v>1621</v>
      </c>
      <c r="I3" s="38" t="s">
        <v>1622</v>
      </c>
    </row>
    <row r="4">
      <c r="A4" s="90">
        <v>30.0</v>
      </c>
      <c r="B4" s="90"/>
      <c r="C4" s="91" t="s">
        <v>1623</v>
      </c>
      <c r="D4" s="91" t="s">
        <v>1620</v>
      </c>
      <c r="E4" s="93" t="s">
        <v>1505</v>
      </c>
      <c r="F4" s="91" t="s">
        <v>1504</v>
      </c>
      <c r="G4" s="38" t="s">
        <v>1505</v>
      </c>
      <c r="H4" s="38" t="s">
        <v>1624</v>
      </c>
      <c r="I4" s="38" t="s">
        <v>1625</v>
      </c>
    </row>
    <row r="5">
      <c r="A5" s="90">
        <v>31.0</v>
      </c>
      <c r="B5" s="90"/>
      <c r="C5" s="91" t="s">
        <v>1626</v>
      </c>
      <c r="D5" s="91" t="s">
        <v>1620</v>
      </c>
      <c r="E5" s="94" t="s">
        <v>1627</v>
      </c>
      <c r="F5" s="91" t="s">
        <v>1504</v>
      </c>
    </row>
    <row r="6">
      <c r="A6" s="90">
        <v>32.0</v>
      </c>
      <c r="B6" s="90"/>
      <c r="C6" s="91" t="s">
        <v>1628</v>
      </c>
      <c r="D6" s="91" t="s">
        <v>1620</v>
      </c>
      <c r="E6" s="94" t="s">
        <v>1627</v>
      </c>
      <c r="F6" s="91" t="s">
        <v>1504</v>
      </c>
    </row>
    <row r="7">
      <c r="A7" s="90">
        <v>33.0</v>
      </c>
      <c r="B7" s="90"/>
      <c r="C7" s="95">
        <v>44718.31815972222</v>
      </c>
      <c r="D7" s="91" t="s">
        <v>1629</v>
      </c>
      <c r="E7" s="93" t="s">
        <v>1505</v>
      </c>
      <c r="F7" s="91" t="s">
        <v>1504</v>
      </c>
      <c r="G7" s="38" t="s">
        <v>1505</v>
      </c>
      <c r="I7" s="96">
        <v>44718.318923611114</v>
      </c>
    </row>
    <row r="8">
      <c r="A8" s="90">
        <v>34.0</v>
      </c>
      <c r="B8" s="90"/>
      <c r="C8" s="95">
        <v>44718.322546296295</v>
      </c>
      <c r="D8" s="91" t="s">
        <v>1630</v>
      </c>
      <c r="E8" s="94" t="s">
        <v>1627</v>
      </c>
      <c r="F8" s="91" t="s">
        <v>1504</v>
      </c>
    </row>
    <row r="9">
      <c r="A9" s="90">
        <v>35.0</v>
      </c>
      <c r="B9" s="90"/>
      <c r="C9" s="95">
        <v>44718.32622685185</v>
      </c>
      <c r="D9" s="91" t="s">
        <v>1631</v>
      </c>
      <c r="E9" s="94" t="s">
        <v>1627</v>
      </c>
      <c r="F9" s="91" t="s">
        <v>1504</v>
      </c>
    </row>
    <row r="10">
      <c r="A10" s="90">
        <v>36.0</v>
      </c>
      <c r="B10" s="90"/>
      <c r="C10" s="95">
        <v>44718.33335648148</v>
      </c>
      <c r="D10" s="91" t="s">
        <v>1632</v>
      </c>
      <c r="E10" s="94" t="s">
        <v>1627</v>
      </c>
      <c r="F10" s="91" t="s">
        <v>1504</v>
      </c>
    </row>
    <row r="11">
      <c r="A11" s="90">
        <v>37.0</v>
      </c>
      <c r="B11" s="90"/>
      <c r="C11" s="95">
        <v>44718.37489583333</v>
      </c>
      <c r="D11" s="91" t="s">
        <v>1633</v>
      </c>
      <c r="E11" s="94" t="s">
        <v>1627</v>
      </c>
      <c r="F11" s="91" t="s">
        <v>1504</v>
      </c>
    </row>
    <row r="12">
      <c r="A12" s="90">
        <v>38.0</v>
      </c>
      <c r="B12" s="90"/>
      <c r="C12" s="95">
        <v>44718.60466435185</v>
      </c>
      <c r="D12" s="91" t="s">
        <v>1634</v>
      </c>
      <c r="E12" s="94" t="s">
        <v>1627</v>
      </c>
      <c r="F12" s="91" t="s">
        <v>1504</v>
      </c>
    </row>
    <row r="13">
      <c r="A13" s="90">
        <v>39.0</v>
      </c>
      <c r="B13" s="90"/>
      <c r="C13" s="95">
        <v>44718.61252314815</v>
      </c>
      <c r="D13" s="91" t="s">
        <v>1629</v>
      </c>
      <c r="E13" s="94" t="s">
        <v>1627</v>
      </c>
      <c r="F13" s="91" t="s">
        <v>1504</v>
      </c>
    </row>
    <row r="14">
      <c r="A14" s="90">
        <v>40.0</v>
      </c>
      <c r="B14" s="90"/>
      <c r="C14" s="95">
        <v>44718.627384259256</v>
      </c>
      <c r="D14" s="91" t="s">
        <v>1630</v>
      </c>
      <c r="E14" s="94" t="s">
        <v>1627</v>
      </c>
      <c r="F14" s="91" t="s">
        <v>1504</v>
      </c>
    </row>
    <row r="15">
      <c r="A15" s="90">
        <v>41.0</v>
      </c>
      <c r="B15" s="90"/>
      <c r="C15" s="95">
        <v>44748.31178240741</v>
      </c>
      <c r="D15" s="91" t="s">
        <v>1635</v>
      </c>
      <c r="E15" s="93" t="s">
        <v>1505</v>
      </c>
      <c r="F15" s="91" t="s">
        <v>1504</v>
      </c>
      <c r="G15" s="38" t="s">
        <v>1505</v>
      </c>
      <c r="I15" s="96">
        <v>44748.31396990741</v>
      </c>
    </row>
    <row r="16">
      <c r="A16" s="90">
        <v>42.0</v>
      </c>
      <c r="B16" s="90"/>
      <c r="C16" s="95">
        <v>44748.400717592594</v>
      </c>
      <c r="D16" s="91" t="s">
        <v>1636</v>
      </c>
      <c r="E16" s="93" t="s">
        <v>1505</v>
      </c>
      <c r="F16" s="91" t="s">
        <v>1504</v>
      </c>
      <c r="G16" s="38" t="s">
        <v>1505</v>
      </c>
      <c r="I16" s="96">
        <v>44748.401400462964</v>
      </c>
    </row>
    <row r="17">
      <c r="A17" s="90">
        <v>43.0</v>
      </c>
      <c r="B17" s="90"/>
      <c r="C17" s="95">
        <v>44748.44180555556</v>
      </c>
      <c r="D17" s="91" t="s">
        <v>1637</v>
      </c>
      <c r="E17" s="93" t="s">
        <v>1505</v>
      </c>
      <c r="F17" s="91" t="s">
        <v>1504</v>
      </c>
      <c r="G17" s="38" t="s">
        <v>1505</v>
      </c>
      <c r="H17" s="38" t="s">
        <v>1638</v>
      </c>
      <c r="I17" s="96">
        <v>44748.44847222222</v>
      </c>
    </row>
    <row r="18">
      <c r="A18" s="90">
        <v>44.0</v>
      </c>
      <c r="B18" s="90"/>
      <c r="C18" s="95">
        <v>44748.529340277775</v>
      </c>
      <c r="D18" s="91" t="s">
        <v>1639</v>
      </c>
      <c r="E18" s="93" t="s">
        <v>1505</v>
      </c>
      <c r="F18" s="91" t="s">
        <v>1504</v>
      </c>
      <c r="G18" s="38" t="s">
        <v>1505</v>
      </c>
      <c r="I18" s="96">
        <v>44779.28501157407</v>
      </c>
    </row>
    <row r="19">
      <c r="A19" s="90">
        <v>45.0</v>
      </c>
      <c r="B19" s="90"/>
      <c r="C19" s="95">
        <v>44779.3084375</v>
      </c>
      <c r="D19" s="91" t="s">
        <v>1640</v>
      </c>
      <c r="E19" s="94" t="s">
        <v>1627</v>
      </c>
      <c r="F19" s="91" t="s">
        <v>1504</v>
      </c>
    </row>
    <row r="20">
      <c r="A20" s="90">
        <v>46.0</v>
      </c>
      <c r="B20" s="90"/>
      <c r="C20" s="95">
        <v>44779.31484953704</v>
      </c>
      <c r="D20" s="91" t="s">
        <v>1641</v>
      </c>
      <c r="E20" s="93" t="s">
        <v>1505</v>
      </c>
      <c r="F20" s="91" t="s">
        <v>1504</v>
      </c>
      <c r="G20" s="38" t="s">
        <v>1505</v>
      </c>
      <c r="H20" s="38" t="s">
        <v>1642</v>
      </c>
      <c r="I20" s="96">
        <v>44779.332650462966</v>
      </c>
    </row>
    <row r="21">
      <c r="A21" s="90">
        <v>47.0</v>
      </c>
      <c r="B21" s="90"/>
      <c r="C21" s="95">
        <v>44779.61798611111</v>
      </c>
      <c r="D21" s="91" t="s">
        <v>1643</v>
      </c>
      <c r="E21" s="93" t="s">
        <v>1505</v>
      </c>
      <c r="F21" s="91" t="s">
        <v>1504</v>
      </c>
      <c r="G21" s="38" t="s">
        <v>1505</v>
      </c>
      <c r="I21" s="96">
        <v>44779.12684027778</v>
      </c>
    </row>
    <row r="22">
      <c r="A22" s="90">
        <v>48.0</v>
      </c>
      <c r="B22" s="90"/>
      <c r="C22" s="95">
        <v>44810.39189814815</v>
      </c>
      <c r="D22" s="91" t="s">
        <v>1644</v>
      </c>
      <c r="E22" s="94" t="s">
        <v>1627</v>
      </c>
      <c r="F22" s="91" t="s">
        <v>1504</v>
      </c>
    </row>
    <row r="23">
      <c r="A23" s="90">
        <v>49.0</v>
      </c>
      <c r="B23" s="90"/>
      <c r="C23" s="95">
        <v>44840.32797453704</v>
      </c>
      <c r="D23" s="91" t="s">
        <v>1645</v>
      </c>
      <c r="E23" s="93" t="s">
        <v>1505</v>
      </c>
      <c r="F23" s="91" t="s">
        <v>1504</v>
      </c>
      <c r="G23" s="38" t="s">
        <v>1505</v>
      </c>
      <c r="I23" s="96">
        <v>44840.32886574074</v>
      </c>
    </row>
    <row r="24">
      <c r="A24" s="90">
        <v>50.0</v>
      </c>
      <c r="B24" s="90"/>
      <c r="C24" s="95">
        <v>44840.50033564815</v>
      </c>
      <c r="D24" s="91" t="s">
        <v>1646</v>
      </c>
      <c r="E24" s="93" t="s">
        <v>1505</v>
      </c>
      <c r="F24" s="91" t="s">
        <v>1504</v>
      </c>
      <c r="G24" s="38" t="s">
        <v>1505</v>
      </c>
      <c r="I24" s="38" t="s">
        <v>1647</v>
      </c>
    </row>
    <row r="25">
      <c r="A25" s="90">
        <v>51.0</v>
      </c>
      <c r="B25" s="90"/>
      <c r="C25" s="91" t="s">
        <v>1648</v>
      </c>
      <c r="D25" s="91" t="s">
        <v>1649</v>
      </c>
      <c r="E25" s="93" t="s">
        <v>1505</v>
      </c>
      <c r="F25" s="91" t="s">
        <v>1504</v>
      </c>
      <c r="G25" s="38" t="s">
        <v>1505</v>
      </c>
      <c r="I25" s="38" t="s">
        <v>1650</v>
      </c>
    </row>
    <row r="26">
      <c r="A26" s="90">
        <v>52.0</v>
      </c>
      <c r="B26" s="90"/>
      <c r="C26" s="91" t="s">
        <v>1651</v>
      </c>
      <c r="D26" s="91" t="s">
        <v>1652</v>
      </c>
      <c r="E26" s="92" t="s">
        <v>1621</v>
      </c>
      <c r="F26" s="91" t="s">
        <v>1504</v>
      </c>
      <c r="G26" s="38" t="s">
        <v>1621</v>
      </c>
      <c r="H26" s="38" t="s">
        <v>1653</v>
      </c>
      <c r="I26" s="38" t="s">
        <v>1654</v>
      </c>
    </row>
    <row r="27">
      <c r="A27" s="90">
        <v>53.0</v>
      </c>
      <c r="B27" s="90"/>
      <c r="C27" s="91" t="s">
        <v>1655</v>
      </c>
      <c r="D27" s="91" t="s">
        <v>1641</v>
      </c>
      <c r="E27" s="94" t="s">
        <v>1627</v>
      </c>
      <c r="F27" s="91" t="s">
        <v>1504</v>
      </c>
    </row>
    <row r="28">
      <c r="A28" s="90">
        <v>54.0</v>
      </c>
      <c r="B28" s="90"/>
      <c r="C28" s="91" t="s">
        <v>1656</v>
      </c>
      <c r="D28" s="91" t="s">
        <v>1657</v>
      </c>
      <c r="E28" s="94" t="s">
        <v>1627</v>
      </c>
      <c r="F28" s="91" t="s">
        <v>1504</v>
      </c>
    </row>
    <row r="29">
      <c r="A29" s="90">
        <v>55.0</v>
      </c>
      <c r="B29" s="90"/>
      <c r="C29" s="91" t="s">
        <v>1658</v>
      </c>
      <c r="D29" s="91" t="s">
        <v>1657</v>
      </c>
      <c r="E29" s="93" t="s">
        <v>1505</v>
      </c>
      <c r="F29" s="91" t="s">
        <v>1504</v>
      </c>
      <c r="G29" s="38" t="s">
        <v>1505</v>
      </c>
      <c r="H29" s="38" t="s">
        <v>1659</v>
      </c>
      <c r="I29" s="38" t="s">
        <v>1660</v>
      </c>
    </row>
    <row r="30">
      <c r="A30" s="90">
        <v>56.0</v>
      </c>
      <c r="B30" s="90"/>
      <c r="C30" s="91" t="s">
        <v>1661</v>
      </c>
      <c r="D30" s="91" t="s">
        <v>1646</v>
      </c>
      <c r="E30" s="94" t="s">
        <v>1627</v>
      </c>
      <c r="F30" s="91" t="s">
        <v>1504</v>
      </c>
    </row>
    <row r="31">
      <c r="A31" s="90">
        <v>57.0</v>
      </c>
      <c r="B31" s="90"/>
      <c r="C31" s="91" t="s">
        <v>1662</v>
      </c>
      <c r="D31" s="91" t="s">
        <v>1646</v>
      </c>
      <c r="E31" s="94" t="s">
        <v>1627</v>
      </c>
      <c r="F31" s="91" t="s">
        <v>1504</v>
      </c>
    </row>
    <row r="32">
      <c r="A32" s="90">
        <v>58.0</v>
      </c>
      <c r="B32" s="90"/>
      <c r="C32" s="91" t="s">
        <v>1663</v>
      </c>
      <c r="D32" s="91" t="s">
        <v>1620</v>
      </c>
      <c r="E32" s="94" t="s">
        <v>1627</v>
      </c>
      <c r="F32" s="91" t="s">
        <v>1504</v>
      </c>
    </row>
    <row r="33">
      <c r="A33" s="90">
        <v>59.0</v>
      </c>
      <c r="B33" s="90"/>
      <c r="C33" s="91" t="s">
        <v>1664</v>
      </c>
      <c r="D33" s="91" t="s">
        <v>1635</v>
      </c>
      <c r="E33" s="94" t="s">
        <v>1627</v>
      </c>
      <c r="F33" s="91" t="s">
        <v>1504</v>
      </c>
    </row>
    <row r="34">
      <c r="A34" s="90">
        <v>60.0</v>
      </c>
      <c r="B34" s="90"/>
      <c r="C34" s="91" t="s">
        <v>1665</v>
      </c>
      <c r="D34" s="91" t="s">
        <v>1657</v>
      </c>
      <c r="E34" s="94" t="s">
        <v>1627</v>
      </c>
      <c r="F34" s="91" t="s">
        <v>1504</v>
      </c>
    </row>
    <row r="35">
      <c r="A35" s="90">
        <v>61.0</v>
      </c>
      <c r="B35" s="90"/>
      <c r="C35" s="91" t="s">
        <v>1666</v>
      </c>
      <c r="D35" s="91" t="s">
        <v>1667</v>
      </c>
      <c r="E35" s="94" t="s">
        <v>1627</v>
      </c>
      <c r="F35" s="91" t="s">
        <v>1504</v>
      </c>
    </row>
    <row r="36">
      <c r="A36" s="90">
        <v>62.0</v>
      </c>
      <c r="B36" s="90"/>
      <c r="C36" s="91" t="s">
        <v>1668</v>
      </c>
      <c r="D36" s="91" t="s">
        <v>1669</v>
      </c>
      <c r="E36" s="93" t="s">
        <v>1505</v>
      </c>
      <c r="F36" s="91" t="s">
        <v>1504</v>
      </c>
      <c r="G36" s="38" t="s">
        <v>1505</v>
      </c>
      <c r="H36" s="38" t="s">
        <v>1670</v>
      </c>
      <c r="I36" s="38" t="s">
        <v>1671</v>
      </c>
    </row>
    <row r="37">
      <c r="A37" s="90">
        <v>63.0</v>
      </c>
      <c r="B37" s="90"/>
      <c r="C37" s="91" t="s">
        <v>1672</v>
      </c>
      <c r="D37" s="91" t="s">
        <v>1641</v>
      </c>
      <c r="E37" s="93" t="s">
        <v>1505</v>
      </c>
      <c r="F37" s="91" t="s">
        <v>1504</v>
      </c>
      <c r="G37" s="38" t="s">
        <v>1505</v>
      </c>
      <c r="I37" s="38" t="s">
        <v>1673</v>
      </c>
    </row>
    <row r="38">
      <c r="A38" s="90">
        <v>64.0</v>
      </c>
      <c r="B38" s="90"/>
      <c r="C38" s="91" t="s">
        <v>1674</v>
      </c>
      <c r="D38" s="91" t="s">
        <v>1675</v>
      </c>
      <c r="E38" s="92" t="s">
        <v>1621</v>
      </c>
      <c r="F38" s="91" t="s">
        <v>1504</v>
      </c>
      <c r="G38" s="38" t="s">
        <v>1621</v>
      </c>
      <c r="H38" s="38" t="s">
        <v>1676</v>
      </c>
      <c r="I38" s="38" t="s">
        <v>1677</v>
      </c>
    </row>
    <row r="39">
      <c r="A39" s="90">
        <v>65.0</v>
      </c>
      <c r="B39" s="90"/>
      <c r="C39" s="91" t="s">
        <v>1678</v>
      </c>
      <c r="D39" s="91" t="s">
        <v>1633</v>
      </c>
      <c r="E39" s="93" t="s">
        <v>1505</v>
      </c>
      <c r="F39" s="91" t="s">
        <v>1504</v>
      </c>
      <c r="G39" s="38" t="s">
        <v>1505</v>
      </c>
      <c r="I39" s="38" t="s">
        <v>1679</v>
      </c>
    </row>
    <row r="40">
      <c r="A40" s="90">
        <v>66.0</v>
      </c>
      <c r="B40" s="90"/>
      <c r="C40" s="91" t="s">
        <v>1680</v>
      </c>
      <c r="D40" s="91" t="s">
        <v>1633</v>
      </c>
      <c r="E40" s="93" t="s">
        <v>1505</v>
      </c>
      <c r="F40" s="91" t="s">
        <v>1504</v>
      </c>
      <c r="G40" s="38" t="s">
        <v>1505</v>
      </c>
      <c r="I40" s="38" t="s">
        <v>1681</v>
      </c>
    </row>
    <row r="41">
      <c r="A41" s="90">
        <v>67.0</v>
      </c>
      <c r="B41" s="90"/>
      <c r="C41" s="91" t="s">
        <v>1682</v>
      </c>
      <c r="D41" s="91" t="s">
        <v>1643</v>
      </c>
      <c r="E41" s="93" t="s">
        <v>1505</v>
      </c>
      <c r="F41" s="91" t="s">
        <v>1504</v>
      </c>
      <c r="G41" s="38" t="s">
        <v>1505</v>
      </c>
      <c r="H41" s="38" t="s">
        <v>1683</v>
      </c>
      <c r="I41" s="38" t="s">
        <v>1684</v>
      </c>
    </row>
    <row r="42">
      <c r="A42" s="90">
        <v>68.0</v>
      </c>
      <c r="B42" s="90"/>
      <c r="C42" s="91" t="s">
        <v>1685</v>
      </c>
      <c r="D42" s="91" t="s">
        <v>1646</v>
      </c>
      <c r="E42" s="93" t="s">
        <v>1505</v>
      </c>
      <c r="F42" s="91" t="s">
        <v>1504</v>
      </c>
      <c r="G42" s="38" t="s">
        <v>1505</v>
      </c>
      <c r="H42" s="38" t="s">
        <v>1686</v>
      </c>
      <c r="I42" s="38" t="s">
        <v>1687</v>
      </c>
    </row>
    <row r="43">
      <c r="A43" s="90">
        <v>69.0</v>
      </c>
      <c r="B43" s="90"/>
      <c r="C43" s="91" t="s">
        <v>1688</v>
      </c>
      <c r="D43" s="91" t="s">
        <v>1643</v>
      </c>
      <c r="E43" s="93" t="s">
        <v>1505</v>
      </c>
      <c r="F43" s="91" t="s">
        <v>1504</v>
      </c>
      <c r="G43" s="38" t="s">
        <v>1505</v>
      </c>
      <c r="I43" s="38" t="s">
        <v>1689</v>
      </c>
    </row>
    <row r="44">
      <c r="A44" s="90">
        <v>70.0</v>
      </c>
      <c r="B44" s="90"/>
      <c r="C44" s="91" t="s">
        <v>1690</v>
      </c>
      <c r="D44" s="91" t="s">
        <v>1640</v>
      </c>
      <c r="E44" s="93" t="s">
        <v>1505</v>
      </c>
      <c r="F44" s="91" t="s">
        <v>1504</v>
      </c>
      <c r="G44" s="38" t="s">
        <v>1505</v>
      </c>
      <c r="H44" s="38" t="s">
        <v>1691</v>
      </c>
      <c r="I44" s="38" t="s">
        <v>1692</v>
      </c>
    </row>
    <row r="45">
      <c r="A45" s="90">
        <v>71.0</v>
      </c>
      <c r="B45" s="90"/>
      <c r="C45" s="91" t="s">
        <v>1693</v>
      </c>
      <c r="D45" s="91" t="s">
        <v>1641</v>
      </c>
      <c r="E45" s="93" t="s">
        <v>1505</v>
      </c>
      <c r="F45" s="91" t="s">
        <v>1504</v>
      </c>
      <c r="G45" s="38" t="s">
        <v>1505</v>
      </c>
      <c r="H45" s="38" t="s">
        <v>1694</v>
      </c>
      <c r="I45" s="38" t="s">
        <v>1695</v>
      </c>
    </row>
    <row r="46">
      <c r="A46" s="90">
        <v>72.0</v>
      </c>
      <c r="B46" s="90"/>
      <c r="C46" s="91" t="s">
        <v>1696</v>
      </c>
      <c r="D46" s="91" t="s">
        <v>1637</v>
      </c>
      <c r="E46" s="93" t="s">
        <v>1505</v>
      </c>
      <c r="F46" s="91" t="s">
        <v>1504</v>
      </c>
      <c r="G46" s="38" t="s">
        <v>1505</v>
      </c>
      <c r="H46" s="38" t="s">
        <v>1697</v>
      </c>
      <c r="I46" s="38" t="s">
        <v>1698</v>
      </c>
    </row>
    <row r="47">
      <c r="A47" s="90">
        <v>73.0</v>
      </c>
      <c r="B47" s="90"/>
      <c r="C47" s="91" t="s">
        <v>1699</v>
      </c>
      <c r="D47" s="91" t="s">
        <v>1637</v>
      </c>
      <c r="E47" s="94" t="s">
        <v>1627</v>
      </c>
      <c r="F47" s="91" t="s">
        <v>1504</v>
      </c>
    </row>
    <row r="48">
      <c r="A48" s="90">
        <v>74.0</v>
      </c>
      <c r="B48" s="90"/>
      <c r="C48" s="91" t="s">
        <v>1700</v>
      </c>
      <c r="D48" s="91" t="s">
        <v>1635</v>
      </c>
      <c r="E48" s="94" t="s">
        <v>1627</v>
      </c>
      <c r="F48" s="91" t="s">
        <v>1504</v>
      </c>
    </row>
    <row r="49">
      <c r="A49" s="90">
        <v>75.0</v>
      </c>
      <c r="B49" s="90"/>
      <c r="C49" s="91" t="s">
        <v>1701</v>
      </c>
      <c r="D49" s="91" t="s">
        <v>1657</v>
      </c>
      <c r="E49" s="94" t="s">
        <v>1627</v>
      </c>
      <c r="F49" s="91" t="s">
        <v>1504</v>
      </c>
    </row>
    <row r="50">
      <c r="A50" s="90">
        <v>76.0</v>
      </c>
      <c r="B50" s="90"/>
      <c r="C50" s="91" t="s">
        <v>1702</v>
      </c>
      <c r="D50" s="91" t="s">
        <v>1632</v>
      </c>
      <c r="E50" s="94" t="s">
        <v>1627</v>
      </c>
      <c r="F50" s="91" t="s">
        <v>1504</v>
      </c>
    </row>
    <row r="51">
      <c r="A51" s="90">
        <v>77.0</v>
      </c>
      <c r="B51" s="90"/>
      <c r="C51" s="91" t="s">
        <v>1703</v>
      </c>
      <c r="D51" s="91" t="s">
        <v>1643</v>
      </c>
      <c r="E51" s="94" t="s">
        <v>1627</v>
      </c>
      <c r="F51" s="91" t="s">
        <v>1504</v>
      </c>
    </row>
    <row r="52">
      <c r="A52" s="90">
        <v>78.0</v>
      </c>
      <c r="B52" s="90"/>
      <c r="C52" s="91" t="s">
        <v>1704</v>
      </c>
      <c r="D52" s="91" t="s">
        <v>1705</v>
      </c>
      <c r="E52" s="94" t="s">
        <v>1627</v>
      </c>
      <c r="F52" s="91" t="s">
        <v>1504</v>
      </c>
    </row>
    <row r="53">
      <c r="A53" s="90">
        <v>79.0</v>
      </c>
      <c r="B53" s="90"/>
      <c r="C53" s="91" t="s">
        <v>1706</v>
      </c>
      <c r="D53" s="91" t="s">
        <v>1707</v>
      </c>
      <c r="E53" s="94" t="s">
        <v>1627</v>
      </c>
      <c r="F53" s="91" t="s">
        <v>1504</v>
      </c>
    </row>
    <row r="54">
      <c r="A54" s="90">
        <v>80.0</v>
      </c>
      <c r="B54" s="90"/>
      <c r="C54" s="91" t="s">
        <v>1708</v>
      </c>
      <c r="D54" s="91" t="s">
        <v>1641</v>
      </c>
      <c r="E54" s="94" t="s">
        <v>1627</v>
      </c>
      <c r="F54" s="91" t="s">
        <v>1504</v>
      </c>
    </row>
    <row r="55">
      <c r="A55" s="90">
        <v>81.0</v>
      </c>
      <c r="B55" s="90"/>
      <c r="C55" s="95">
        <v>44568.21802083333</v>
      </c>
      <c r="D55" s="91" t="s">
        <v>1709</v>
      </c>
      <c r="E55" s="94" t="s">
        <v>1627</v>
      </c>
      <c r="F55" s="91" t="s">
        <v>1504</v>
      </c>
    </row>
    <row r="56">
      <c r="A56" s="90">
        <v>82.0</v>
      </c>
      <c r="B56" s="90"/>
      <c r="C56" s="95">
        <v>44658.329363425924</v>
      </c>
      <c r="D56" s="91" t="s">
        <v>1631</v>
      </c>
      <c r="E56" s="94" t="s">
        <v>1627</v>
      </c>
      <c r="F56" s="91" t="s">
        <v>1504</v>
      </c>
    </row>
    <row r="57">
      <c r="A57" s="90">
        <v>83.0</v>
      </c>
      <c r="B57" s="90"/>
      <c r="C57" s="95">
        <v>44658.42623842593</v>
      </c>
      <c r="D57" s="91" t="s">
        <v>1629</v>
      </c>
      <c r="E57" s="94" t="s">
        <v>1627</v>
      </c>
      <c r="F57" s="91" t="s">
        <v>1504</v>
      </c>
    </row>
    <row r="58">
      <c r="A58" s="90">
        <v>84.0</v>
      </c>
      <c r="B58" s="90"/>
      <c r="C58" s="95">
        <v>44658.53806712963</v>
      </c>
      <c r="D58" s="91" t="s">
        <v>1629</v>
      </c>
      <c r="E58" s="94" t="s">
        <v>1627</v>
      </c>
      <c r="F58" s="91" t="s">
        <v>1504</v>
      </c>
    </row>
    <row r="59">
      <c r="A59" s="90">
        <v>85.0</v>
      </c>
      <c r="B59" s="90"/>
      <c r="C59" s="95">
        <v>44688.28616898148</v>
      </c>
      <c r="D59" s="91" t="s">
        <v>1635</v>
      </c>
      <c r="E59" s="94" t="s">
        <v>1627</v>
      </c>
      <c r="F59" s="91" t="s">
        <v>1504</v>
      </c>
    </row>
    <row r="60">
      <c r="A60" s="90">
        <v>86.0</v>
      </c>
      <c r="B60" s="90"/>
      <c r="C60" s="95">
        <v>44688.28650462963</v>
      </c>
      <c r="D60" s="91" t="s">
        <v>1633</v>
      </c>
      <c r="E60" s="94" t="s">
        <v>1627</v>
      </c>
      <c r="F60" s="91" t="s">
        <v>1504</v>
      </c>
    </row>
    <row r="61">
      <c r="A61" s="90">
        <v>87.0</v>
      </c>
      <c r="B61" s="90"/>
      <c r="C61" s="95">
        <v>44688.289606481485</v>
      </c>
      <c r="D61" s="91" t="s">
        <v>1710</v>
      </c>
      <c r="E61" s="94" t="s">
        <v>1627</v>
      </c>
      <c r="F61" s="91" t="s">
        <v>1504</v>
      </c>
    </row>
    <row r="62">
      <c r="A62" s="90">
        <v>88.0</v>
      </c>
      <c r="B62" s="90"/>
      <c r="C62" s="95">
        <v>44688.29157407407</v>
      </c>
      <c r="D62" s="91" t="s">
        <v>1711</v>
      </c>
      <c r="E62" s="94" t="s">
        <v>1627</v>
      </c>
      <c r="F62" s="91" t="s">
        <v>1504</v>
      </c>
    </row>
    <row r="63">
      <c r="A63" s="90">
        <v>89.0</v>
      </c>
      <c r="B63" s="90"/>
      <c r="C63" s="95">
        <v>44688.29224537037</v>
      </c>
      <c r="D63" s="91" t="s">
        <v>1712</v>
      </c>
      <c r="E63" s="94" t="s">
        <v>1627</v>
      </c>
      <c r="F63" s="91" t="s">
        <v>1504</v>
      </c>
    </row>
    <row r="64">
      <c r="A64" s="90">
        <v>90.0</v>
      </c>
      <c r="B64" s="90"/>
      <c r="C64" s="95">
        <v>44719.266747685186</v>
      </c>
      <c r="D64" s="91" t="s">
        <v>1713</v>
      </c>
      <c r="E64" s="94" t="s">
        <v>1627</v>
      </c>
      <c r="F64" s="91" t="s">
        <v>1504</v>
      </c>
    </row>
    <row r="65">
      <c r="A65" s="90">
        <v>91.0</v>
      </c>
      <c r="B65" s="90"/>
      <c r="C65" s="95">
        <v>44719.39847222222</v>
      </c>
      <c r="D65" s="91" t="s">
        <v>1639</v>
      </c>
      <c r="E65" s="94" t="s">
        <v>1627</v>
      </c>
      <c r="F65" s="91" t="s">
        <v>1504</v>
      </c>
    </row>
    <row r="66">
      <c r="A66" s="90">
        <v>92.0</v>
      </c>
      <c r="B66" s="90"/>
      <c r="C66" s="95">
        <v>44749.26634259259</v>
      </c>
      <c r="D66" s="91" t="s">
        <v>1714</v>
      </c>
      <c r="E66" s="93" t="s">
        <v>1505</v>
      </c>
      <c r="F66" s="91" t="s">
        <v>1504</v>
      </c>
      <c r="G66" s="38" t="s">
        <v>1505</v>
      </c>
      <c r="I66" s="96">
        <v>44749.2843287037</v>
      </c>
    </row>
    <row r="67">
      <c r="A67" s="90">
        <v>93.0</v>
      </c>
      <c r="B67" s="90"/>
      <c r="C67" s="95">
        <v>44749.306238425925</v>
      </c>
      <c r="D67" s="91" t="s">
        <v>1652</v>
      </c>
      <c r="E67" s="94" t="s">
        <v>1627</v>
      </c>
      <c r="F67" s="91" t="s">
        <v>1504</v>
      </c>
    </row>
    <row r="68">
      <c r="A68" s="90">
        <v>94.0</v>
      </c>
      <c r="B68" s="90"/>
      <c r="C68" s="95">
        <v>44780.349699074075</v>
      </c>
      <c r="D68" s="91" t="s">
        <v>1713</v>
      </c>
      <c r="E68" s="93" t="s">
        <v>1505</v>
      </c>
      <c r="F68" s="91" t="s">
        <v>1504</v>
      </c>
      <c r="G68" s="38" t="s">
        <v>1505</v>
      </c>
      <c r="I68" s="96">
        <v>44780.38417824074</v>
      </c>
    </row>
    <row r="69">
      <c r="A69" s="90">
        <v>95.0</v>
      </c>
      <c r="B69" s="90"/>
      <c r="C69" s="95">
        <v>44780.37128472222</v>
      </c>
      <c r="D69" s="91" t="s">
        <v>1713</v>
      </c>
      <c r="E69" s="94" t="s">
        <v>1627</v>
      </c>
      <c r="F69" s="91" t="s">
        <v>1504</v>
      </c>
    </row>
    <row r="70">
      <c r="A70" s="90">
        <v>96.0</v>
      </c>
      <c r="B70" s="90"/>
      <c r="C70" s="95">
        <v>44811.39666666667</v>
      </c>
      <c r="D70" s="91" t="s">
        <v>1633</v>
      </c>
      <c r="E70" s="94" t="s">
        <v>1627</v>
      </c>
      <c r="F70" s="91" t="s">
        <v>1504</v>
      </c>
    </row>
    <row r="71">
      <c r="A71" s="90">
        <v>97.0</v>
      </c>
      <c r="B71" s="90"/>
      <c r="C71" s="95">
        <v>44811.84688657407</v>
      </c>
      <c r="D71" s="91" t="s">
        <v>1634</v>
      </c>
      <c r="E71" s="93" t="s">
        <v>1505</v>
      </c>
      <c r="F71" s="91" t="s">
        <v>1504</v>
      </c>
      <c r="G71" s="38" t="s">
        <v>1505</v>
      </c>
      <c r="I71" s="96">
        <v>44872.33027777778</v>
      </c>
    </row>
    <row r="72">
      <c r="A72" s="90">
        <v>98.0</v>
      </c>
      <c r="B72" s="90"/>
      <c r="C72" s="95">
        <v>44872.24873842593</v>
      </c>
      <c r="D72" s="91" t="s">
        <v>1713</v>
      </c>
      <c r="E72" s="94" t="s">
        <v>1627</v>
      </c>
      <c r="F72" s="91" t="s">
        <v>1504</v>
      </c>
    </row>
    <row r="73">
      <c r="A73" s="90">
        <v>99.0</v>
      </c>
      <c r="B73" s="90"/>
      <c r="C73" s="95">
        <v>44872.307291666664</v>
      </c>
      <c r="D73" s="91" t="s">
        <v>1715</v>
      </c>
      <c r="E73" s="93" t="s">
        <v>1505</v>
      </c>
      <c r="F73" s="91" t="s">
        <v>1504</v>
      </c>
      <c r="G73" s="38" t="s">
        <v>1505</v>
      </c>
      <c r="H73" s="38" t="s">
        <v>1716</v>
      </c>
      <c r="I73" s="96">
        <v>44872.3296875</v>
      </c>
    </row>
    <row r="74">
      <c r="A74" s="90">
        <v>100.0</v>
      </c>
      <c r="B74" s="90"/>
      <c r="C74" s="95">
        <v>44872.34814814815</v>
      </c>
      <c r="D74" s="91" t="s">
        <v>1715</v>
      </c>
      <c r="E74" s="94" t="s">
        <v>1627</v>
      </c>
      <c r="F74" s="91" t="s">
        <v>1504</v>
      </c>
    </row>
    <row r="75">
      <c r="A75" s="90">
        <v>101.0</v>
      </c>
      <c r="B75" s="90"/>
      <c r="C75" s="95">
        <v>44872.348275462966</v>
      </c>
      <c r="D75" s="91" t="s">
        <v>1713</v>
      </c>
      <c r="E75" s="94" t="s">
        <v>1627</v>
      </c>
      <c r="F75" s="91" t="s">
        <v>1504</v>
      </c>
    </row>
    <row r="76">
      <c r="A76" s="90">
        <v>102.0</v>
      </c>
      <c r="B76" s="90"/>
      <c r="C76" s="95">
        <v>44872.37666666666</v>
      </c>
      <c r="D76" s="91" t="s">
        <v>1717</v>
      </c>
      <c r="E76" s="93" t="s">
        <v>1505</v>
      </c>
      <c r="F76" s="91" t="s">
        <v>1504</v>
      </c>
      <c r="G76" s="38" t="s">
        <v>1505</v>
      </c>
      <c r="H76" s="38" t="s">
        <v>1718</v>
      </c>
      <c r="I76" s="96">
        <v>44872.45699074074</v>
      </c>
    </row>
    <row r="77">
      <c r="A77" s="90">
        <v>103.0</v>
      </c>
      <c r="B77" s="90"/>
      <c r="C77" s="95">
        <v>44872.51559027778</v>
      </c>
      <c r="D77" s="91" t="s">
        <v>1719</v>
      </c>
      <c r="E77" s="94" t="s">
        <v>1627</v>
      </c>
      <c r="F77" s="91" t="s">
        <v>1504</v>
      </c>
    </row>
    <row r="78">
      <c r="A78" s="90">
        <v>104.0</v>
      </c>
      <c r="B78" s="90"/>
      <c r="C78" s="95">
        <v>44902.35859953704</v>
      </c>
      <c r="D78" s="91" t="s">
        <v>1646</v>
      </c>
      <c r="E78" s="93" t="s">
        <v>1505</v>
      </c>
      <c r="F78" s="91" t="s">
        <v>1504</v>
      </c>
      <c r="G78" s="38" t="s">
        <v>1505</v>
      </c>
      <c r="H78" s="38" t="s">
        <v>1720</v>
      </c>
      <c r="I78" s="96">
        <v>44902.369791666664</v>
      </c>
    </row>
    <row r="79">
      <c r="A79" s="90">
        <v>105.0</v>
      </c>
      <c r="B79" s="90"/>
      <c r="C79" s="95">
        <v>44902.47084490741</v>
      </c>
      <c r="D79" s="91" t="s">
        <v>1721</v>
      </c>
      <c r="E79" s="93" t="s">
        <v>1505</v>
      </c>
      <c r="F79" s="91" t="s">
        <v>1504</v>
      </c>
      <c r="G79" s="38" t="s">
        <v>1505</v>
      </c>
      <c r="I79" s="96">
        <v>44902.471666666665</v>
      </c>
    </row>
    <row r="80">
      <c r="A80" s="90">
        <v>106.0</v>
      </c>
      <c r="B80" s="90"/>
      <c r="C80" s="95">
        <v>44902.491064814814</v>
      </c>
      <c r="D80" s="91" t="s">
        <v>1641</v>
      </c>
      <c r="E80" s="93" t="s">
        <v>1505</v>
      </c>
      <c r="F80" s="91" t="s">
        <v>1504</v>
      </c>
      <c r="G80" s="38" t="s">
        <v>1505</v>
      </c>
      <c r="H80" s="38" t="s">
        <v>1722</v>
      </c>
      <c r="I80" s="96">
        <v>44902.07454861111</v>
      </c>
    </row>
    <row r="81">
      <c r="A81" s="90">
        <v>107.0</v>
      </c>
      <c r="B81" s="90"/>
      <c r="C81" s="95">
        <v>44902.623761574076</v>
      </c>
      <c r="D81" s="91" t="s">
        <v>1713</v>
      </c>
      <c r="E81" s="93" t="s">
        <v>1505</v>
      </c>
      <c r="F81" s="91" t="s">
        <v>1504</v>
      </c>
      <c r="G81" s="38" t="s">
        <v>1505</v>
      </c>
      <c r="H81" s="38" t="s">
        <v>1723</v>
      </c>
      <c r="I81" s="38" t="s">
        <v>1724</v>
      </c>
    </row>
    <row r="82">
      <c r="A82" s="90">
        <v>108.0</v>
      </c>
      <c r="B82" s="90"/>
      <c r="C82" s="91" t="s">
        <v>1725</v>
      </c>
      <c r="D82" s="91" t="s">
        <v>1726</v>
      </c>
      <c r="E82" s="93" t="s">
        <v>1505</v>
      </c>
      <c r="F82" s="91" t="s">
        <v>1504</v>
      </c>
      <c r="G82" s="38" t="s">
        <v>1505</v>
      </c>
      <c r="H82" s="38" t="s">
        <v>1727</v>
      </c>
      <c r="I82" s="38" t="s">
        <v>1728</v>
      </c>
    </row>
    <row r="83">
      <c r="A83" s="90">
        <v>109.0</v>
      </c>
      <c r="B83" s="90"/>
      <c r="C83" s="91" t="s">
        <v>1729</v>
      </c>
      <c r="D83" s="91" t="s">
        <v>1657</v>
      </c>
      <c r="E83" s="94" t="s">
        <v>1627</v>
      </c>
      <c r="F83" s="91" t="s">
        <v>1504</v>
      </c>
    </row>
    <row r="84">
      <c r="A84" s="90">
        <v>110.0</v>
      </c>
      <c r="B84" s="90"/>
      <c r="C84" s="91" t="s">
        <v>1730</v>
      </c>
      <c r="D84" s="91" t="s">
        <v>1731</v>
      </c>
      <c r="E84" s="94" t="s">
        <v>1627</v>
      </c>
      <c r="F84" s="91" t="s">
        <v>1504</v>
      </c>
    </row>
    <row r="85">
      <c r="A85" s="90">
        <v>111.0</v>
      </c>
      <c r="B85" s="90"/>
      <c r="C85" s="91" t="s">
        <v>1732</v>
      </c>
      <c r="D85" s="91" t="s">
        <v>1629</v>
      </c>
      <c r="E85" s="94" t="s">
        <v>1627</v>
      </c>
      <c r="F85" s="91" t="s">
        <v>1504</v>
      </c>
    </row>
    <row r="86">
      <c r="A86" s="90">
        <v>112.0</v>
      </c>
      <c r="B86" s="90"/>
      <c r="C86" s="91" t="s">
        <v>1733</v>
      </c>
      <c r="D86" s="91" t="s">
        <v>1705</v>
      </c>
      <c r="E86" s="93" t="s">
        <v>1505</v>
      </c>
      <c r="F86" s="91" t="s">
        <v>1504</v>
      </c>
      <c r="G86" s="38" t="s">
        <v>1505</v>
      </c>
      <c r="H86" s="38" t="s">
        <v>1734</v>
      </c>
      <c r="I86" s="38" t="s">
        <v>1735</v>
      </c>
    </row>
    <row r="87">
      <c r="A87" s="90">
        <v>113.0</v>
      </c>
      <c r="B87" s="90"/>
      <c r="C87" s="91" t="s">
        <v>1736</v>
      </c>
      <c r="D87" s="91" t="s">
        <v>1632</v>
      </c>
      <c r="E87" s="93" t="s">
        <v>1505</v>
      </c>
      <c r="F87" s="91" t="s">
        <v>1504</v>
      </c>
      <c r="G87" s="38" t="s">
        <v>1505</v>
      </c>
      <c r="H87" s="38" t="s">
        <v>1737</v>
      </c>
      <c r="I87" s="38" t="s">
        <v>1738</v>
      </c>
    </row>
    <row r="88">
      <c r="A88" s="90">
        <v>114.0</v>
      </c>
      <c r="B88" s="90"/>
      <c r="C88" s="91" t="s">
        <v>1739</v>
      </c>
      <c r="D88" s="91" t="s">
        <v>1657</v>
      </c>
      <c r="E88" s="93" t="s">
        <v>1505</v>
      </c>
      <c r="F88" s="91" t="s">
        <v>1504</v>
      </c>
      <c r="G88" s="38" t="s">
        <v>1505</v>
      </c>
      <c r="I88" s="38" t="s">
        <v>1740</v>
      </c>
    </row>
    <row r="89">
      <c r="A89" s="90">
        <v>115.0</v>
      </c>
      <c r="B89" s="90"/>
      <c r="C89" s="91" t="s">
        <v>1741</v>
      </c>
      <c r="D89" s="91" t="s">
        <v>1717</v>
      </c>
      <c r="E89" s="94" t="s">
        <v>1627</v>
      </c>
      <c r="F89" s="91" t="s">
        <v>1504</v>
      </c>
    </row>
    <row r="90">
      <c r="A90" s="90">
        <v>116.0</v>
      </c>
      <c r="B90" s="90"/>
      <c r="C90" s="91" t="s">
        <v>1742</v>
      </c>
      <c r="D90" s="91" t="s">
        <v>1641</v>
      </c>
      <c r="E90" s="93" t="s">
        <v>1505</v>
      </c>
      <c r="F90" s="91" t="s">
        <v>1504</v>
      </c>
      <c r="G90" s="38" t="s">
        <v>1505</v>
      </c>
      <c r="I90" s="38" t="s">
        <v>1743</v>
      </c>
    </row>
    <row r="91">
      <c r="A91" s="90">
        <v>117.0</v>
      </c>
      <c r="B91" s="90"/>
      <c r="C91" s="91" t="s">
        <v>1744</v>
      </c>
      <c r="D91" s="91" t="s">
        <v>1713</v>
      </c>
      <c r="E91" s="94" t="s">
        <v>1627</v>
      </c>
      <c r="F91" s="91" t="s">
        <v>1504</v>
      </c>
    </row>
    <row r="92">
      <c r="A92" s="90">
        <v>118.0</v>
      </c>
      <c r="B92" s="90"/>
      <c r="C92" s="91" t="s">
        <v>1745</v>
      </c>
      <c r="D92" s="91" t="s">
        <v>1717</v>
      </c>
      <c r="E92" s="93" t="s">
        <v>1505</v>
      </c>
      <c r="F92" s="91" t="s">
        <v>1504</v>
      </c>
      <c r="G92" s="38" t="s">
        <v>1505</v>
      </c>
      <c r="H92" s="38" t="s">
        <v>1746</v>
      </c>
      <c r="I92" s="38" t="s">
        <v>1747</v>
      </c>
    </row>
    <row r="93">
      <c r="A93" s="90">
        <v>119.0</v>
      </c>
      <c r="B93" s="90"/>
      <c r="C93" s="91" t="s">
        <v>1748</v>
      </c>
      <c r="D93" s="91" t="s">
        <v>1749</v>
      </c>
      <c r="E93" s="93" t="s">
        <v>1505</v>
      </c>
      <c r="F93" s="91" t="s">
        <v>1504</v>
      </c>
      <c r="G93" s="38" t="s">
        <v>1505</v>
      </c>
      <c r="H93" s="38" t="s">
        <v>1750</v>
      </c>
      <c r="I93" s="38" t="s">
        <v>1751</v>
      </c>
    </row>
    <row r="94">
      <c r="A94" s="90">
        <v>120.0</v>
      </c>
      <c r="B94" s="90"/>
      <c r="C94" s="91" t="s">
        <v>1752</v>
      </c>
      <c r="D94" s="91" t="s">
        <v>1713</v>
      </c>
      <c r="E94" s="93" t="s">
        <v>1505</v>
      </c>
      <c r="F94" s="91" t="s">
        <v>1504</v>
      </c>
      <c r="G94" s="38" t="s">
        <v>1505</v>
      </c>
      <c r="H94" s="38" t="s">
        <v>1753</v>
      </c>
      <c r="I94" s="38" t="s">
        <v>1754</v>
      </c>
    </row>
    <row r="95">
      <c r="A95" s="90">
        <v>121.0</v>
      </c>
      <c r="B95" s="90"/>
      <c r="C95" s="91" t="s">
        <v>1755</v>
      </c>
      <c r="D95" s="91" t="s">
        <v>1756</v>
      </c>
      <c r="E95" s="94" t="s">
        <v>1627</v>
      </c>
      <c r="F95" s="91" t="s">
        <v>1504</v>
      </c>
    </row>
    <row r="96">
      <c r="A96" s="90">
        <v>122.0</v>
      </c>
      <c r="B96" s="90"/>
      <c r="C96" s="91" t="s">
        <v>1757</v>
      </c>
      <c r="D96" s="91" t="s">
        <v>1758</v>
      </c>
      <c r="E96" s="93" t="s">
        <v>1505</v>
      </c>
      <c r="F96" s="91" t="s">
        <v>1504</v>
      </c>
      <c r="G96" s="38" t="s">
        <v>1505</v>
      </c>
      <c r="I96" s="38" t="s">
        <v>1759</v>
      </c>
    </row>
    <row r="97">
      <c r="A97" s="90">
        <v>123.0</v>
      </c>
      <c r="B97" s="90"/>
      <c r="C97" s="91" t="s">
        <v>1760</v>
      </c>
      <c r="D97" s="91" t="s">
        <v>1758</v>
      </c>
      <c r="E97" s="93" t="s">
        <v>1505</v>
      </c>
      <c r="F97" s="91" t="s">
        <v>1504</v>
      </c>
      <c r="G97" s="38" t="s">
        <v>1505</v>
      </c>
      <c r="H97" s="38" t="s">
        <v>1761</v>
      </c>
      <c r="I97" s="38" t="s">
        <v>1762</v>
      </c>
    </row>
    <row r="98">
      <c r="A98" s="90">
        <v>124.0</v>
      </c>
      <c r="B98" s="90"/>
      <c r="C98" s="91" t="s">
        <v>1763</v>
      </c>
      <c r="D98" s="91" t="s">
        <v>1764</v>
      </c>
      <c r="E98" s="94" t="s">
        <v>1627</v>
      </c>
      <c r="F98" s="91" t="s">
        <v>1504</v>
      </c>
    </row>
    <row r="99">
      <c r="A99" s="90">
        <v>125.0</v>
      </c>
      <c r="B99" s="90"/>
      <c r="C99" s="91" t="s">
        <v>1765</v>
      </c>
      <c r="D99" s="91" t="s">
        <v>1713</v>
      </c>
      <c r="E99" s="94" t="s">
        <v>1627</v>
      </c>
      <c r="F99" s="91" t="s">
        <v>1504</v>
      </c>
    </row>
    <row r="100">
      <c r="A100" s="90">
        <v>126.0</v>
      </c>
      <c r="B100" s="90"/>
      <c r="C100" s="91" t="s">
        <v>1766</v>
      </c>
      <c r="D100" s="91" t="s">
        <v>1713</v>
      </c>
      <c r="E100" s="94" t="s">
        <v>1627</v>
      </c>
      <c r="F100" s="91" t="s">
        <v>1504</v>
      </c>
    </row>
    <row r="101">
      <c r="A101" s="90">
        <v>127.0</v>
      </c>
      <c r="B101" s="90"/>
      <c r="C101" s="91" t="s">
        <v>1767</v>
      </c>
      <c r="D101" s="91" t="s">
        <v>1657</v>
      </c>
      <c r="E101" s="94" t="s">
        <v>1627</v>
      </c>
      <c r="F101" s="91" t="s">
        <v>1504</v>
      </c>
    </row>
    <row r="102">
      <c r="A102" s="90">
        <v>128.0</v>
      </c>
      <c r="B102" s="90"/>
      <c r="C102" s="91" t="s">
        <v>1768</v>
      </c>
      <c r="D102" s="91" t="s">
        <v>1713</v>
      </c>
      <c r="E102" s="94" t="s">
        <v>1627</v>
      </c>
      <c r="F102" s="91" t="s">
        <v>1504</v>
      </c>
    </row>
    <row r="103">
      <c r="A103" s="90">
        <v>129.0</v>
      </c>
      <c r="B103" s="90"/>
      <c r="C103" s="91" t="s">
        <v>1769</v>
      </c>
      <c r="D103" s="91" t="s">
        <v>1717</v>
      </c>
      <c r="E103" s="94" t="s">
        <v>1627</v>
      </c>
      <c r="F103" s="91" t="s">
        <v>1504</v>
      </c>
    </row>
    <row r="104">
      <c r="A104" s="90">
        <v>130.0</v>
      </c>
      <c r="B104" s="90"/>
      <c r="C104" s="91" t="s">
        <v>1770</v>
      </c>
      <c r="D104" s="91" t="s">
        <v>1644</v>
      </c>
      <c r="E104" s="94" t="s">
        <v>1627</v>
      </c>
      <c r="F104" s="91" t="s">
        <v>1504</v>
      </c>
    </row>
    <row r="105">
      <c r="A105" s="90">
        <v>131.0</v>
      </c>
      <c r="B105" s="90"/>
      <c r="C105" s="91" t="s">
        <v>1771</v>
      </c>
      <c r="D105" s="91" t="s">
        <v>1719</v>
      </c>
      <c r="E105" s="94" t="s">
        <v>1627</v>
      </c>
      <c r="F105" s="91" t="s">
        <v>1504</v>
      </c>
    </row>
    <row r="106">
      <c r="A106" s="90">
        <v>132.0</v>
      </c>
      <c r="B106" s="90"/>
      <c r="C106" s="95">
        <v>44569.29369212963</v>
      </c>
      <c r="D106" s="97"/>
      <c r="E106" s="94" t="s">
        <v>1627</v>
      </c>
      <c r="F106" s="91" t="s">
        <v>1504</v>
      </c>
    </row>
    <row r="107">
      <c r="A107" s="90">
        <v>133.0</v>
      </c>
      <c r="B107" s="90"/>
      <c r="C107" s="95">
        <v>44569.34422453704</v>
      </c>
      <c r="D107" s="97"/>
      <c r="E107" s="94" t="s">
        <v>1627</v>
      </c>
      <c r="F107" s="91" t="s">
        <v>1504</v>
      </c>
    </row>
    <row r="108">
      <c r="A108" s="90">
        <v>134.0</v>
      </c>
      <c r="B108" s="90"/>
      <c r="C108" s="95">
        <v>44569.35568287037</v>
      </c>
      <c r="D108" s="97"/>
      <c r="E108" s="94" t="s">
        <v>1627</v>
      </c>
      <c r="F108" s="91" t="s">
        <v>1504</v>
      </c>
    </row>
    <row r="109">
      <c r="A109" s="90">
        <v>135.0</v>
      </c>
      <c r="B109" s="90"/>
      <c r="C109" s="95">
        <v>44751.34392361111</v>
      </c>
      <c r="D109" s="97"/>
      <c r="E109" s="92" t="s">
        <v>1621</v>
      </c>
      <c r="F109" s="91" t="s">
        <v>1504</v>
      </c>
      <c r="G109" s="38" t="s">
        <v>1621</v>
      </c>
      <c r="I109" s="96">
        <v>44751.3446412037</v>
      </c>
    </row>
    <row r="110">
      <c r="A110" s="90">
        <v>136.0</v>
      </c>
      <c r="B110" s="90"/>
      <c r="C110" s="95">
        <v>44813.33006944445</v>
      </c>
      <c r="D110" s="97"/>
      <c r="E110" s="93" t="s">
        <v>1505</v>
      </c>
      <c r="F110" s="91" t="s">
        <v>1504</v>
      </c>
      <c r="G110" s="38" t="s">
        <v>1505</v>
      </c>
      <c r="I110" s="96">
        <v>44813.456458333334</v>
      </c>
    </row>
    <row r="111">
      <c r="A111" s="90">
        <v>137.0</v>
      </c>
      <c r="B111" s="90"/>
      <c r="C111" s="95">
        <v>44904.274872685186</v>
      </c>
      <c r="D111" s="97"/>
      <c r="E111" s="94" t="s">
        <v>1627</v>
      </c>
      <c r="F111" s="91" t="s">
        <v>1504</v>
      </c>
    </row>
    <row r="112">
      <c r="A112" s="90">
        <v>138.0</v>
      </c>
      <c r="B112" s="90"/>
      <c r="C112" s="95">
        <v>44904.371828703705</v>
      </c>
      <c r="D112" s="97"/>
      <c r="E112" s="93" t="s">
        <v>1505</v>
      </c>
      <c r="F112" s="91" t="s">
        <v>1504</v>
      </c>
      <c r="G112" s="38" t="s">
        <v>1505</v>
      </c>
      <c r="H112" s="38" t="s">
        <v>1772</v>
      </c>
      <c r="I112" s="96">
        <v>44904.3969212963</v>
      </c>
    </row>
    <row r="113">
      <c r="A113" s="90">
        <v>139.0</v>
      </c>
      <c r="B113" s="90"/>
      <c r="C113" s="91" t="s">
        <v>1773</v>
      </c>
      <c r="D113" s="97"/>
      <c r="E113" s="93" t="s">
        <v>1505</v>
      </c>
      <c r="F113" s="91" t="s">
        <v>1504</v>
      </c>
      <c r="G113" s="38" t="s">
        <v>1505</v>
      </c>
      <c r="I113" s="38" t="s">
        <v>1774</v>
      </c>
    </row>
    <row r="114">
      <c r="A114" s="90">
        <v>140.0</v>
      </c>
      <c r="B114" s="90"/>
      <c r="C114" s="91" t="s">
        <v>1775</v>
      </c>
      <c r="D114" s="97"/>
      <c r="E114" s="93" t="s">
        <v>1505</v>
      </c>
      <c r="F114" s="91" t="s">
        <v>1504</v>
      </c>
      <c r="G114" s="38" t="s">
        <v>1505</v>
      </c>
      <c r="H114" s="38" t="s">
        <v>1776</v>
      </c>
      <c r="I114" s="38" t="s">
        <v>1777</v>
      </c>
    </row>
    <row r="115">
      <c r="A115" s="90">
        <v>141.0</v>
      </c>
      <c r="B115" s="90"/>
      <c r="C115" s="91" t="s">
        <v>1778</v>
      </c>
      <c r="D115" s="97"/>
      <c r="E115" s="93" t="s">
        <v>1505</v>
      </c>
      <c r="F115" s="91" t="s">
        <v>1504</v>
      </c>
      <c r="G115" s="38" t="s">
        <v>1505</v>
      </c>
      <c r="H115" s="38" t="s">
        <v>1779</v>
      </c>
      <c r="I115" s="38" t="s">
        <v>1780</v>
      </c>
    </row>
    <row r="116">
      <c r="A116" s="90">
        <v>142.0</v>
      </c>
      <c r="B116" s="90"/>
      <c r="C116" s="91" t="s">
        <v>1781</v>
      </c>
      <c r="D116" s="97"/>
      <c r="E116" s="93" t="s">
        <v>1505</v>
      </c>
      <c r="F116" s="91" t="s">
        <v>1504</v>
      </c>
      <c r="G116" s="38" t="s">
        <v>1505</v>
      </c>
      <c r="H116" s="38" t="s">
        <v>1782</v>
      </c>
      <c r="I116" s="38" t="s">
        <v>1783</v>
      </c>
    </row>
    <row r="117">
      <c r="A117" s="90">
        <v>143.0</v>
      </c>
      <c r="B117" s="90"/>
      <c r="C117" s="91" t="s">
        <v>1784</v>
      </c>
      <c r="D117" s="97"/>
      <c r="E117" s="93" t="s">
        <v>1505</v>
      </c>
      <c r="F117" s="91" t="s">
        <v>1504</v>
      </c>
      <c r="G117" s="38" t="s">
        <v>1505</v>
      </c>
      <c r="I117" s="38" t="s">
        <v>1785</v>
      </c>
    </row>
    <row r="118">
      <c r="A118" s="90">
        <v>144.0</v>
      </c>
      <c r="B118" s="90"/>
      <c r="C118" s="91" t="s">
        <v>1786</v>
      </c>
      <c r="D118" s="97"/>
      <c r="E118" s="93" t="s">
        <v>1505</v>
      </c>
      <c r="F118" s="91" t="s">
        <v>1504</v>
      </c>
      <c r="G118" s="38" t="s">
        <v>1505</v>
      </c>
      <c r="I118" s="38" t="s">
        <v>1787</v>
      </c>
    </row>
    <row r="119">
      <c r="A119" s="90">
        <v>145.0</v>
      </c>
      <c r="B119" s="90"/>
      <c r="C119" s="91" t="s">
        <v>1788</v>
      </c>
      <c r="D119" s="97"/>
      <c r="E119" s="93" t="s">
        <v>1505</v>
      </c>
      <c r="F119" s="91" t="s">
        <v>1504</v>
      </c>
      <c r="G119" s="38" t="s">
        <v>1505</v>
      </c>
      <c r="I119" s="38" t="s">
        <v>1789</v>
      </c>
    </row>
    <row r="120">
      <c r="A120" s="90">
        <v>146.0</v>
      </c>
      <c r="B120" s="90"/>
      <c r="C120" s="91" t="s">
        <v>1790</v>
      </c>
      <c r="D120" s="97"/>
      <c r="E120" s="93" t="s">
        <v>1505</v>
      </c>
      <c r="F120" s="91" t="s">
        <v>1504</v>
      </c>
      <c r="G120" s="38" t="s">
        <v>1505</v>
      </c>
      <c r="I120" s="38" t="s">
        <v>1791</v>
      </c>
    </row>
    <row r="121">
      <c r="A121" s="90">
        <v>147.0</v>
      </c>
      <c r="B121" s="90"/>
      <c r="C121" s="91" t="s">
        <v>1792</v>
      </c>
      <c r="D121" s="97"/>
      <c r="E121" s="94" t="s">
        <v>1627</v>
      </c>
      <c r="F121" s="91" t="s">
        <v>1504</v>
      </c>
    </row>
    <row r="122">
      <c r="A122" s="90">
        <v>148.0</v>
      </c>
      <c r="B122" s="90"/>
      <c r="C122" s="91" t="s">
        <v>1793</v>
      </c>
      <c r="D122" s="97"/>
      <c r="E122" s="94" t="s">
        <v>1794</v>
      </c>
      <c r="F122" s="91" t="s">
        <v>1504</v>
      </c>
      <c r="G122" s="38" t="s">
        <v>1794</v>
      </c>
      <c r="H122" s="38" t="s">
        <v>1795</v>
      </c>
      <c r="I122" s="38" t="s">
        <v>1796</v>
      </c>
    </row>
    <row r="123">
      <c r="A123" s="90">
        <v>149.0</v>
      </c>
      <c r="B123" s="90"/>
      <c r="C123" s="91" t="s">
        <v>1797</v>
      </c>
      <c r="D123" s="97"/>
      <c r="E123" s="93" t="s">
        <v>1505</v>
      </c>
      <c r="F123" s="91" t="s">
        <v>1504</v>
      </c>
      <c r="G123" s="38" t="s">
        <v>1505</v>
      </c>
      <c r="I123" s="38" t="s">
        <v>1798</v>
      </c>
    </row>
    <row r="124">
      <c r="A124" s="90">
        <v>150.0</v>
      </c>
      <c r="B124" s="90"/>
      <c r="C124" s="91" t="s">
        <v>1799</v>
      </c>
      <c r="D124" s="97"/>
      <c r="E124" s="93" t="s">
        <v>1505</v>
      </c>
      <c r="F124" s="91" t="s">
        <v>1504</v>
      </c>
      <c r="G124" s="38" t="s">
        <v>1505</v>
      </c>
      <c r="I124" s="38" t="s">
        <v>1800</v>
      </c>
    </row>
    <row r="125">
      <c r="A125" s="90">
        <v>151.0</v>
      </c>
      <c r="B125" s="90">
        <v>151.0</v>
      </c>
      <c r="C125" s="91" t="s">
        <v>1801</v>
      </c>
      <c r="D125" s="97"/>
      <c r="E125" s="93" t="s">
        <v>1505</v>
      </c>
      <c r="F125" s="91" t="s">
        <v>1504</v>
      </c>
      <c r="G125" s="38" t="s">
        <v>1505</v>
      </c>
      <c r="H125" s="38" t="s">
        <v>1802</v>
      </c>
      <c r="I125" s="38" t="s">
        <v>1803</v>
      </c>
    </row>
    <row r="126">
      <c r="A126" s="90">
        <v>152.0</v>
      </c>
      <c r="B126" s="90">
        <v>152.0</v>
      </c>
      <c r="C126" s="91" t="s">
        <v>1804</v>
      </c>
      <c r="D126" s="97"/>
      <c r="E126" s="93" t="s">
        <v>1505</v>
      </c>
      <c r="F126" s="91" t="s">
        <v>1504</v>
      </c>
      <c r="G126" s="38" t="s">
        <v>1505</v>
      </c>
      <c r="I126" s="38" t="s">
        <v>1805</v>
      </c>
    </row>
    <row r="127">
      <c r="A127" s="90">
        <v>153.0</v>
      </c>
      <c r="B127" s="90">
        <v>153.0</v>
      </c>
      <c r="C127" s="91" t="s">
        <v>1806</v>
      </c>
      <c r="D127" s="97"/>
      <c r="E127" s="93" t="s">
        <v>1505</v>
      </c>
      <c r="F127" s="91" t="s">
        <v>1504</v>
      </c>
      <c r="G127" s="38" t="s">
        <v>1505</v>
      </c>
      <c r="H127" s="38" t="s">
        <v>1807</v>
      </c>
      <c r="I127" s="38" t="s">
        <v>1808</v>
      </c>
    </row>
    <row r="128">
      <c r="A128" s="90">
        <v>154.0</v>
      </c>
      <c r="B128" s="90">
        <v>154.0</v>
      </c>
      <c r="C128" s="91" t="s">
        <v>1809</v>
      </c>
      <c r="D128" s="97"/>
      <c r="E128" s="93" t="s">
        <v>1505</v>
      </c>
      <c r="F128" s="91" t="s">
        <v>1504</v>
      </c>
      <c r="G128" s="38" t="s">
        <v>1505</v>
      </c>
      <c r="H128" s="38" t="s">
        <v>1810</v>
      </c>
      <c r="I128" s="38" t="s">
        <v>1811</v>
      </c>
    </row>
    <row r="129">
      <c r="A129" s="90">
        <v>155.0</v>
      </c>
      <c r="B129" s="90">
        <v>155.0</v>
      </c>
      <c r="C129" s="91" t="s">
        <v>1812</v>
      </c>
      <c r="D129" s="97"/>
      <c r="E129" s="93" t="s">
        <v>1505</v>
      </c>
      <c r="F129" s="91" t="s">
        <v>1504</v>
      </c>
      <c r="G129" s="38" t="s">
        <v>1505</v>
      </c>
      <c r="I129" s="38" t="s">
        <v>1813</v>
      </c>
    </row>
    <row r="130">
      <c r="A130" s="90">
        <v>156.0</v>
      </c>
      <c r="B130" s="90">
        <v>156.0</v>
      </c>
      <c r="C130" s="91" t="s">
        <v>1814</v>
      </c>
      <c r="D130" s="97"/>
      <c r="E130" s="93" t="s">
        <v>1505</v>
      </c>
      <c r="F130" s="91" t="s">
        <v>1504</v>
      </c>
      <c r="G130" s="38" t="s">
        <v>1505</v>
      </c>
      <c r="I130" s="38" t="s">
        <v>1815</v>
      </c>
    </row>
    <row r="131">
      <c r="A131" s="90">
        <v>157.0</v>
      </c>
      <c r="B131" s="90">
        <v>157.0</v>
      </c>
      <c r="C131" s="91" t="s">
        <v>1816</v>
      </c>
      <c r="D131" s="97"/>
      <c r="E131" s="93" t="s">
        <v>1505</v>
      </c>
      <c r="F131" s="91" t="s">
        <v>1504</v>
      </c>
      <c r="G131" s="38" t="s">
        <v>1505</v>
      </c>
      <c r="I131" s="38" t="s">
        <v>1817</v>
      </c>
    </row>
    <row r="132">
      <c r="A132" s="90">
        <v>158.0</v>
      </c>
      <c r="B132" s="90">
        <v>158.0</v>
      </c>
      <c r="C132" s="91" t="s">
        <v>1818</v>
      </c>
      <c r="D132" s="97"/>
      <c r="E132" s="93" t="s">
        <v>1505</v>
      </c>
      <c r="F132" s="91" t="s">
        <v>1504</v>
      </c>
      <c r="G132" s="38" t="s">
        <v>1505</v>
      </c>
      <c r="I132" s="38" t="s">
        <v>1819</v>
      </c>
    </row>
    <row r="133">
      <c r="A133" s="90">
        <v>159.0</v>
      </c>
      <c r="B133" s="90">
        <v>159.0</v>
      </c>
      <c r="C133" s="91" t="s">
        <v>1820</v>
      </c>
      <c r="D133" s="97"/>
      <c r="E133" s="93" t="s">
        <v>1505</v>
      </c>
      <c r="F133" s="91" t="s">
        <v>1504</v>
      </c>
      <c r="G133" s="38" t="s">
        <v>1505</v>
      </c>
      <c r="I133" s="38" t="s">
        <v>1821</v>
      </c>
    </row>
    <row r="134">
      <c r="A134" s="90">
        <v>160.0</v>
      </c>
      <c r="B134" s="90">
        <v>160.0</v>
      </c>
      <c r="C134" s="91" t="s">
        <v>1822</v>
      </c>
      <c r="D134" s="97"/>
      <c r="E134" s="93" t="s">
        <v>1505</v>
      </c>
      <c r="F134" s="91" t="s">
        <v>1504</v>
      </c>
      <c r="G134" s="38" t="s">
        <v>1505</v>
      </c>
      <c r="I134" s="38" t="s">
        <v>1823</v>
      </c>
    </row>
    <row r="135">
      <c r="A135" s="90">
        <v>161.0</v>
      </c>
      <c r="B135" s="90">
        <v>161.0</v>
      </c>
      <c r="C135" s="91" t="s">
        <v>1824</v>
      </c>
      <c r="D135" s="97"/>
      <c r="E135" s="93" t="s">
        <v>1505</v>
      </c>
      <c r="F135" s="91" t="s">
        <v>1504</v>
      </c>
      <c r="G135" s="38" t="s">
        <v>1505</v>
      </c>
      <c r="I135" s="38" t="s">
        <v>1825</v>
      </c>
    </row>
    <row r="136">
      <c r="A136" s="90">
        <v>162.0</v>
      </c>
      <c r="B136" s="90">
        <v>162.0</v>
      </c>
      <c r="C136" s="91" t="s">
        <v>1826</v>
      </c>
      <c r="D136" s="97"/>
      <c r="E136" s="93" t="s">
        <v>1505</v>
      </c>
      <c r="F136" s="91" t="s">
        <v>1504</v>
      </c>
      <c r="G136" s="38" t="s">
        <v>1505</v>
      </c>
      <c r="H136" s="38" t="s">
        <v>1827</v>
      </c>
      <c r="I136" s="38" t="s">
        <v>1828</v>
      </c>
    </row>
    <row r="137">
      <c r="A137" s="90">
        <v>163.0</v>
      </c>
      <c r="B137" s="90">
        <v>163.0</v>
      </c>
      <c r="C137" s="91" t="s">
        <v>1829</v>
      </c>
      <c r="D137" s="97"/>
      <c r="E137" s="93" t="s">
        <v>1505</v>
      </c>
      <c r="F137" s="91" t="s">
        <v>1504</v>
      </c>
      <c r="G137" s="38" t="s">
        <v>1505</v>
      </c>
      <c r="H137" s="38" t="s">
        <v>1830</v>
      </c>
      <c r="I137" s="38" t="s">
        <v>1831</v>
      </c>
    </row>
    <row r="138">
      <c r="A138" s="90">
        <v>164.0</v>
      </c>
      <c r="B138" s="90">
        <v>164.0</v>
      </c>
      <c r="C138" s="91" t="s">
        <v>1832</v>
      </c>
      <c r="D138" s="97"/>
      <c r="E138" s="93" t="s">
        <v>1505</v>
      </c>
      <c r="F138" s="91" t="s">
        <v>1504</v>
      </c>
      <c r="G138" s="38" t="s">
        <v>1505</v>
      </c>
      <c r="I138" s="38" t="s">
        <v>1833</v>
      </c>
    </row>
    <row r="139">
      <c r="A139" s="90">
        <v>165.0</v>
      </c>
      <c r="B139" s="90">
        <v>165.0</v>
      </c>
      <c r="C139" s="91" t="s">
        <v>1834</v>
      </c>
      <c r="D139" s="97"/>
      <c r="E139" s="93" t="s">
        <v>1505</v>
      </c>
      <c r="F139" s="91" t="s">
        <v>1504</v>
      </c>
      <c r="G139" s="38" t="s">
        <v>1505</v>
      </c>
      <c r="I139" s="38" t="s">
        <v>1835</v>
      </c>
    </row>
    <row r="140">
      <c r="A140" s="90">
        <v>166.0</v>
      </c>
      <c r="B140" s="90">
        <v>166.0</v>
      </c>
      <c r="C140" s="91" t="s">
        <v>1836</v>
      </c>
      <c r="D140" s="97"/>
      <c r="E140" s="93" t="s">
        <v>1505</v>
      </c>
      <c r="F140" s="91" t="s">
        <v>1504</v>
      </c>
      <c r="G140" s="38" t="s">
        <v>1505</v>
      </c>
      <c r="H140" s="38" t="s">
        <v>1837</v>
      </c>
      <c r="I140" s="38" t="s">
        <v>1838</v>
      </c>
    </row>
    <row r="141">
      <c r="A141" s="90">
        <v>167.0</v>
      </c>
      <c r="B141" s="90">
        <v>167.0</v>
      </c>
      <c r="C141" s="91" t="s">
        <v>1839</v>
      </c>
      <c r="D141" s="97"/>
      <c r="E141" s="94" t="s">
        <v>1627</v>
      </c>
      <c r="F141" s="91" t="s">
        <v>1504</v>
      </c>
    </row>
    <row r="142">
      <c r="A142" s="90">
        <v>168.0</v>
      </c>
      <c r="B142" s="90">
        <v>168.0</v>
      </c>
      <c r="C142" s="91" t="s">
        <v>1840</v>
      </c>
      <c r="D142" s="97"/>
      <c r="E142" s="93" t="s">
        <v>1505</v>
      </c>
      <c r="F142" s="91" t="s">
        <v>1504</v>
      </c>
      <c r="G142" s="38" t="s">
        <v>1505</v>
      </c>
      <c r="I142" s="38" t="s">
        <v>1841</v>
      </c>
    </row>
    <row r="143">
      <c r="A143" s="90">
        <v>169.0</v>
      </c>
      <c r="B143" s="90">
        <v>169.0</v>
      </c>
      <c r="C143" s="91" t="s">
        <v>1842</v>
      </c>
      <c r="D143" s="97"/>
      <c r="E143" s="93" t="s">
        <v>1505</v>
      </c>
      <c r="F143" s="91" t="s">
        <v>1504</v>
      </c>
      <c r="G143" s="38" t="s">
        <v>1505</v>
      </c>
      <c r="H143" s="38" t="s">
        <v>1843</v>
      </c>
      <c r="I143" s="38" t="s">
        <v>1844</v>
      </c>
    </row>
    <row r="144">
      <c r="A144" s="90">
        <v>170.0</v>
      </c>
      <c r="B144" s="90">
        <v>170.0</v>
      </c>
      <c r="C144" s="91" t="s">
        <v>1845</v>
      </c>
      <c r="D144" s="97"/>
      <c r="E144" s="93" t="s">
        <v>1505</v>
      </c>
      <c r="F144" s="91" t="s">
        <v>1504</v>
      </c>
      <c r="G144" s="38" t="s">
        <v>1505</v>
      </c>
      <c r="I144" s="38" t="s">
        <v>1846</v>
      </c>
    </row>
    <row r="145">
      <c r="A145" s="90">
        <v>171.0</v>
      </c>
      <c r="B145" s="90">
        <v>171.0</v>
      </c>
      <c r="C145" s="91" t="s">
        <v>1847</v>
      </c>
      <c r="D145" s="97"/>
      <c r="E145" s="93" t="s">
        <v>1505</v>
      </c>
      <c r="F145" s="91" t="s">
        <v>1504</v>
      </c>
      <c r="G145" s="38" t="s">
        <v>1505</v>
      </c>
      <c r="I145" s="38" t="s">
        <v>1848</v>
      </c>
    </row>
    <row r="146">
      <c r="A146" s="90">
        <v>172.0</v>
      </c>
      <c r="B146" s="90">
        <v>172.0</v>
      </c>
      <c r="C146" s="91" t="s">
        <v>1849</v>
      </c>
      <c r="D146" s="97"/>
      <c r="E146" s="93" t="s">
        <v>1505</v>
      </c>
      <c r="F146" s="91" t="s">
        <v>1504</v>
      </c>
      <c r="G146" s="38" t="s">
        <v>1505</v>
      </c>
      <c r="H146" s="38" t="s">
        <v>1850</v>
      </c>
      <c r="I146" s="38" t="s">
        <v>1851</v>
      </c>
    </row>
    <row r="147">
      <c r="A147" s="90">
        <v>173.0</v>
      </c>
      <c r="B147" s="90">
        <v>173.0</v>
      </c>
      <c r="C147" s="91" t="s">
        <v>1852</v>
      </c>
      <c r="D147" s="97"/>
      <c r="E147" s="93" t="s">
        <v>1505</v>
      </c>
      <c r="F147" s="91" t="s">
        <v>1504</v>
      </c>
      <c r="G147" s="38" t="s">
        <v>1505</v>
      </c>
      <c r="I147" s="38" t="s">
        <v>1853</v>
      </c>
    </row>
    <row r="148">
      <c r="A148" s="90">
        <v>174.0</v>
      </c>
      <c r="B148" s="90">
        <v>174.0</v>
      </c>
      <c r="C148" s="91" t="s">
        <v>1854</v>
      </c>
      <c r="D148" s="97"/>
      <c r="E148" s="93" t="s">
        <v>1505</v>
      </c>
      <c r="F148" s="91" t="s">
        <v>1504</v>
      </c>
      <c r="G148" s="38" t="s">
        <v>1505</v>
      </c>
      <c r="I148" s="38" t="s">
        <v>1855</v>
      </c>
    </row>
    <row r="149">
      <c r="A149" s="90">
        <v>175.0</v>
      </c>
      <c r="B149" s="90">
        <v>175.0</v>
      </c>
      <c r="C149" s="91" t="s">
        <v>1856</v>
      </c>
      <c r="D149" s="97"/>
      <c r="E149" s="93" t="s">
        <v>1505</v>
      </c>
      <c r="F149" s="91" t="s">
        <v>1504</v>
      </c>
      <c r="G149" s="38" t="s">
        <v>1505</v>
      </c>
      <c r="H149" s="38" t="s">
        <v>1857</v>
      </c>
      <c r="I149" s="38" t="s">
        <v>1858</v>
      </c>
    </row>
    <row r="150">
      <c r="A150" s="90">
        <v>176.0</v>
      </c>
      <c r="B150" s="90">
        <v>176.0</v>
      </c>
      <c r="C150" s="91" t="s">
        <v>1859</v>
      </c>
      <c r="D150" s="97"/>
      <c r="E150" s="93" t="s">
        <v>1505</v>
      </c>
      <c r="F150" s="91" t="s">
        <v>1504</v>
      </c>
      <c r="G150" s="38" t="s">
        <v>1505</v>
      </c>
      <c r="I150" s="38" t="s">
        <v>1860</v>
      </c>
    </row>
    <row r="151">
      <c r="A151" s="90">
        <v>177.0</v>
      </c>
      <c r="B151" s="90">
        <v>177.0</v>
      </c>
      <c r="C151" s="91" t="s">
        <v>1861</v>
      </c>
      <c r="D151" s="97"/>
      <c r="E151" s="93" t="s">
        <v>1505</v>
      </c>
      <c r="F151" s="91" t="s">
        <v>1504</v>
      </c>
      <c r="G151" s="38" t="s">
        <v>1505</v>
      </c>
      <c r="I151" s="38" t="s">
        <v>1862</v>
      </c>
    </row>
    <row r="152">
      <c r="A152" s="90">
        <v>178.0</v>
      </c>
      <c r="B152" s="90">
        <v>178.0</v>
      </c>
      <c r="C152" s="91" t="s">
        <v>1863</v>
      </c>
      <c r="D152" s="97"/>
      <c r="E152" s="93" t="s">
        <v>1505</v>
      </c>
      <c r="F152" s="91" t="s">
        <v>1504</v>
      </c>
      <c r="G152" s="38" t="s">
        <v>1505</v>
      </c>
      <c r="H152" s="38" t="s">
        <v>1864</v>
      </c>
      <c r="I152" s="38" t="s">
        <v>1865</v>
      </c>
    </row>
    <row r="153">
      <c r="A153" s="90">
        <v>179.0</v>
      </c>
      <c r="B153" s="90">
        <v>179.0</v>
      </c>
      <c r="C153" s="91" t="s">
        <v>1866</v>
      </c>
      <c r="D153" s="97"/>
      <c r="E153" s="93" t="s">
        <v>1505</v>
      </c>
      <c r="F153" s="91" t="s">
        <v>1504</v>
      </c>
      <c r="G153" s="38" t="s">
        <v>1505</v>
      </c>
      <c r="I153" s="38" t="s">
        <v>1867</v>
      </c>
    </row>
    <row r="154">
      <c r="A154" s="90">
        <v>180.0</v>
      </c>
      <c r="B154" s="90">
        <v>180.0</v>
      </c>
      <c r="C154" s="91" t="s">
        <v>1868</v>
      </c>
      <c r="D154" s="97"/>
      <c r="E154" s="93" t="s">
        <v>1505</v>
      </c>
      <c r="F154" s="91" t="s">
        <v>1504</v>
      </c>
      <c r="G154" s="38" t="s">
        <v>1505</v>
      </c>
      <c r="I154" s="38" t="s">
        <v>1869</v>
      </c>
    </row>
    <row r="155">
      <c r="A155" s="90">
        <v>181.0</v>
      </c>
      <c r="B155" s="90">
        <v>181.0</v>
      </c>
      <c r="C155" s="91" t="s">
        <v>1870</v>
      </c>
      <c r="D155" s="97"/>
      <c r="E155" s="93" t="s">
        <v>1505</v>
      </c>
      <c r="F155" s="91" t="s">
        <v>1504</v>
      </c>
      <c r="G155" s="38" t="s">
        <v>1505</v>
      </c>
      <c r="I155" s="38" t="s">
        <v>1871</v>
      </c>
    </row>
    <row r="156">
      <c r="A156" s="90">
        <v>182.0</v>
      </c>
      <c r="B156" s="90">
        <v>182.0</v>
      </c>
      <c r="C156" s="91" t="s">
        <v>1872</v>
      </c>
      <c r="D156" s="97"/>
      <c r="E156" s="93" t="s">
        <v>1505</v>
      </c>
      <c r="F156" s="91" t="s">
        <v>1504</v>
      </c>
      <c r="G156" s="38" t="s">
        <v>1505</v>
      </c>
      <c r="H156" s="38" t="s">
        <v>1837</v>
      </c>
      <c r="I156" s="38" t="s">
        <v>1873</v>
      </c>
    </row>
    <row r="157">
      <c r="A157" s="90">
        <v>183.0</v>
      </c>
      <c r="B157" s="90">
        <v>183.0</v>
      </c>
      <c r="C157" s="91" t="s">
        <v>1874</v>
      </c>
      <c r="D157" s="97"/>
      <c r="E157" s="94" t="s">
        <v>1627</v>
      </c>
      <c r="F157" s="91" t="s">
        <v>1504</v>
      </c>
    </row>
    <row r="158">
      <c r="A158" s="90">
        <v>184.0</v>
      </c>
      <c r="B158" s="90">
        <v>184.0</v>
      </c>
      <c r="C158" s="95">
        <v>44630.30962962963</v>
      </c>
      <c r="D158" s="97"/>
      <c r="E158" s="93" t="s">
        <v>1505</v>
      </c>
      <c r="F158" s="91" t="s">
        <v>1504</v>
      </c>
      <c r="G158" s="38" t="s">
        <v>1505</v>
      </c>
      <c r="I158" s="96">
        <v>44630.31309027778</v>
      </c>
    </row>
    <row r="159">
      <c r="A159" s="90">
        <v>185.0</v>
      </c>
      <c r="B159" s="90">
        <v>185.0</v>
      </c>
      <c r="C159" s="95">
        <v>44630.36646990741</v>
      </c>
      <c r="D159" s="97"/>
      <c r="E159" s="93" t="s">
        <v>1505</v>
      </c>
      <c r="F159" s="91" t="s">
        <v>1504</v>
      </c>
      <c r="G159" s="38" t="s">
        <v>1505</v>
      </c>
      <c r="I159" s="96">
        <v>44630.4062962963</v>
      </c>
    </row>
    <row r="160">
      <c r="A160" s="90">
        <v>186.0</v>
      </c>
      <c r="B160" s="90">
        <v>186.0</v>
      </c>
      <c r="C160" s="95">
        <v>44630.41273148148</v>
      </c>
      <c r="D160" s="97"/>
      <c r="E160" s="93" t="s">
        <v>1505</v>
      </c>
      <c r="F160" s="91" t="s">
        <v>1504</v>
      </c>
      <c r="G160" s="38" t="s">
        <v>1505</v>
      </c>
      <c r="I160" s="96">
        <v>44630.471504629626</v>
      </c>
    </row>
    <row r="161">
      <c r="A161" s="90">
        <v>187.0</v>
      </c>
      <c r="B161" s="90">
        <v>187.0</v>
      </c>
      <c r="C161" s="95">
        <v>44691.25461805556</v>
      </c>
      <c r="D161" s="97"/>
      <c r="E161" s="93" t="s">
        <v>1505</v>
      </c>
      <c r="F161" s="91" t="s">
        <v>1504</v>
      </c>
      <c r="G161" s="38" t="s">
        <v>1505</v>
      </c>
      <c r="H161" s="38" t="s">
        <v>1857</v>
      </c>
      <c r="I161" s="96">
        <v>44691.28238425926</v>
      </c>
    </row>
    <row r="162">
      <c r="A162" s="90">
        <v>188.0</v>
      </c>
      <c r="B162" s="90">
        <v>188.0</v>
      </c>
      <c r="C162" s="95">
        <v>44691.35221064815</v>
      </c>
      <c r="D162" s="97"/>
      <c r="E162" s="94" t="s">
        <v>1627</v>
      </c>
      <c r="F162" s="91" t="s">
        <v>1504</v>
      </c>
    </row>
    <row r="163">
      <c r="A163" s="90">
        <v>189.0</v>
      </c>
      <c r="B163" s="90">
        <v>189.0</v>
      </c>
      <c r="C163" s="95">
        <v>44691.356203703705</v>
      </c>
      <c r="D163" s="97"/>
      <c r="E163" s="94" t="s">
        <v>1627</v>
      </c>
      <c r="F163" s="91" t="s">
        <v>1504</v>
      </c>
    </row>
    <row r="164">
      <c r="A164" s="90">
        <v>190.0</v>
      </c>
      <c r="B164" s="90">
        <v>190.0</v>
      </c>
      <c r="C164" s="95">
        <v>44691.38122685185</v>
      </c>
      <c r="D164" s="97"/>
      <c r="E164" s="94" t="s">
        <v>1627</v>
      </c>
      <c r="F164" s="91" t="s">
        <v>1504</v>
      </c>
    </row>
    <row r="165">
      <c r="A165" s="90">
        <v>191.0</v>
      </c>
      <c r="B165" s="90">
        <v>191.0</v>
      </c>
      <c r="C165" s="95">
        <v>44722.38003472222</v>
      </c>
      <c r="D165" s="97"/>
      <c r="E165" s="94" t="s">
        <v>1627</v>
      </c>
      <c r="F165" s="91" t="s">
        <v>1504</v>
      </c>
    </row>
    <row r="166">
      <c r="A166" s="90">
        <v>192.0</v>
      </c>
      <c r="B166" s="90">
        <v>192.0</v>
      </c>
      <c r="C166" s="98">
        <v>44844.34179398148</v>
      </c>
      <c r="D166" s="97"/>
      <c r="E166" s="94" t="s">
        <v>1627</v>
      </c>
      <c r="F166" s="91" t="s">
        <v>1504</v>
      </c>
    </row>
    <row r="167">
      <c r="A167" s="90">
        <v>193.0</v>
      </c>
      <c r="B167" s="90">
        <v>193.0</v>
      </c>
      <c r="C167" s="98">
        <v>44844.34443287037</v>
      </c>
      <c r="D167" s="97"/>
      <c r="E167" s="94" t="s">
        <v>1627</v>
      </c>
      <c r="F167" s="91" t="s">
        <v>1504</v>
      </c>
    </row>
    <row r="168">
      <c r="A168" s="90">
        <v>194.0</v>
      </c>
      <c r="B168" s="90">
        <v>194.0</v>
      </c>
      <c r="C168" s="98">
        <v>44844.448541666665</v>
      </c>
      <c r="D168" s="97"/>
      <c r="E168" s="93" t="s">
        <v>1505</v>
      </c>
      <c r="F168" s="91" t="s">
        <v>1504</v>
      </c>
      <c r="G168" s="38" t="s">
        <v>1505</v>
      </c>
      <c r="H168" s="38" t="s">
        <v>1875</v>
      </c>
      <c r="I168" s="99">
        <v>44844.46457175926</v>
      </c>
    </row>
    <row r="169">
      <c r="A169" s="90">
        <v>195.0</v>
      </c>
      <c r="B169" s="90">
        <v>195.0</v>
      </c>
      <c r="C169" s="98">
        <v>44875.38111111111</v>
      </c>
      <c r="D169" s="97"/>
      <c r="E169" s="93" t="s">
        <v>1505</v>
      </c>
      <c r="F169" s="91" t="s">
        <v>1504</v>
      </c>
      <c r="G169" s="38" t="s">
        <v>1505</v>
      </c>
      <c r="H169" s="38" t="s">
        <v>1837</v>
      </c>
      <c r="I169" s="99">
        <v>44875.443460648145</v>
      </c>
    </row>
    <row r="170">
      <c r="A170" s="90">
        <v>196.0</v>
      </c>
      <c r="B170" s="90">
        <v>196.0</v>
      </c>
      <c r="C170" s="98">
        <v>44875.43179398148</v>
      </c>
      <c r="D170" s="97"/>
      <c r="E170" s="93" t="s">
        <v>1505</v>
      </c>
      <c r="F170" s="91" t="s">
        <v>1504</v>
      </c>
      <c r="G170" s="38" t="s">
        <v>1505</v>
      </c>
      <c r="I170" s="99">
        <v>44875.443032407406</v>
      </c>
    </row>
    <row r="171">
      <c r="A171" s="90">
        <v>197.0</v>
      </c>
      <c r="B171" s="90">
        <v>197.0</v>
      </c>
      <c r="C171" s="98">
        <v>44875.436377314814</v>
      </c>
      <c r="D171" s="97"/>
      <c r="E171" s="93" t="s">
        <v>1505</v>
      </c>
      <c r="F171" s="91" t="s">
        <v>1504</v>
      </c>
      <c r="G171" s="38" t="s">
        <v>1505</v>
      </c>
      <c r="H171" s="38" t="s">
        <v>1837</v>
      </c>
      <c r="I171" s="99">
        <v>44875.4428587963</v>
      </c>
    </row>
    <row r="172">
      <c r="A172" s="90">
        <v>198.0</v>
      </c>
      <c r="B172" s="90">
        <v>198.0</v>
      </c>
      <c r="C172" s="98">
        <v>44875.523935185185</v>
      </c>
      <c r="D172" s="97"/>
      <c r="E172" s="93" t="s">
        <v>1505</v>
      </c>
      <c r="F172" s="91" t="s">
        <v>1504</v>
      </c>
      <c r="G172" s="38" t="s">
        <v>1505</v>
      </c>
      <c r="I172" s="99">
        <v>44875.53262731482</v>
      </c>
    </row>
    <row r="173">
      <c r="A173" s="90">
        <v>199.0</v>
      </c>
      <c r="B173" s="90">
        <v>199.0</v>
      </c>
      <c r="C173" s="98">
        <v>44875.53197916667</v>
      </c>
      <c r="D173" s="97"/>
      <c r="E173" s="94" t="s">
        <v>1627</v>
      </c>
      <c r="F173" s="91" t="s">
        <v>1504</v>
      </c>
    </row>
    <row r="174">
      <c r="A174" s="90">
        <v>200.0</v>
      </c>
      <c r="B174" s="90">
        <v>200.0</v>
      </c>
      <c r="C174" s="98">
        <v>44905.29199074074</v>
      </c>
      <c r="D174" s="97"/>
      <c r="E174" s="93" t="s">
        <v>1505</v>
      </c>
      <c r="F174" s="91" t="s">
        <v>1504</v>
      </c>
      <c r="G174" s="38" t="s">
        <v>1505</v>
      </c>
      <c r="H174" s="38" t="s">
        <v>1837</v>
      </c>
      <c r="I174" s="99">
        <v>44905.29486111111</v>
      </c>
    </row>
    <row r="175">
      <c r="A175" s="90">
        <v>201.0</v>
      </c>
      <c r="B175" s="90">
        <v>201.0</v>
      </c>
      <c r="C175" s="98">
        <v>44905.58587962963</v>
      </c>
      <c r="D175" s="97"/>
      <c r="E175" s="93" t="s">
        <v>1505</v>
      </c>
      <c r="F175" s="91" t="s">
        <v>1504</v>
      </c>
      <c r="G175" s="38" t="s">
        <v>1505</v>
      </c>
      <c r="H175" s="38" t="s">
        <v>1876</v>
      </c>
      <c r="I175" s="99">
        <v>44905.094976851855</v>
      </c>
    </row>
    <row r="176">
      <c r="A176" s="90">
        <v>202.0</v>
      </c>
      <c r="B176" s="90">
        <v>202.0</v>
      </c>
      <c r="C176" s="91" t="s">
        <v>1877</v>
      </c>
      <c r="D176" s="97"/>
      <c r="E176" s="93" t="s">
        <v>1505</v>
      </c>
      <c r="F176" s="91" t="s">
        <v>1504</v>
      </c>
      <c r="G176" s="38" t="s">
        <v>1505</v>
      </c>
      <c r="H176" s="38" t="s">
        <v>1878</v>
      </c>
      <c r="I176" s="38" t="s">
        <v>1879</v>
      </c>
    </row>
    <row r="177">
      <c r="A177" s="90">
        <v>203.0</v>
      </c>
      <c r="B177" s="90">
        <v>203.0</v>
      </c>
      <c r="C177" s="91" t="s">
        <v>1880</v>
      </c>
      <c r="D177" s="97"/>
      <c r="E177" s="93" t="s">
        <v>1505</v>
      </c>
      <c r="F177" s="91" t="s">
        <v>1504</v>
      </c>
      <c r="G177" s="38" t="s">
        <v>1505</v>
      </c>
      <c r="I177" s="38" t="s">
        <v>1881</v>
      </c>
    </row>
    <row r="178">
      <c r="A178" s="90">
        <v>204.0</v>
      </c>
      <c r="B178" s="90">
        <v>204.0</v>
      </c>
      <c r="C178" s="91" t="s">
        <v>1882</v>
      </c>
      <c r="D178" s="97"/>
      <c r="E178" s="93" t="s">
        <v>1505</v>
      </c>
      <c r="F178" s="91" t="s">
        <v>1504</v>
      </c>
      <c r="G178" s="38" t="s">
        <v>1505</v>
      </c>
      <c r="I178" s="38" t="s">
        <v>1883</v>
      </c>
    </row>
    <row r="179">
      <c r="A179" s="90">
        <v>205.0</v>
      </c>
      <c r="B179" s="90">
        <v>205.0</v>
      </c>
      <c r="C179" s="91" t="s">
        <v>1884</v>
      </c>
      <c r="D179" s="97"/>
      <c r="E179" s="94" t="s">
        <v>1627</v>
      </c>
      <c r="F179" s="91" t="s">
        <v>1504</v>
      </c>
    </row>
    <row r="180">
      <c r="A180" s="90">
        <v>206.0</v>
      </c>
      <c r="B180" s="90">
        <v>206.0</v>
      </c>
      <c r="C180" s="91" t="s">
        <v>1885</v>
      </c>
      <c r="D180" s="97"/>
      <c r="E180" s="93" t="s">
        <v>1505</v>
      </c>
      <c r="F180" s="91" t="s">
        <v>1504</v>
      </c>
      <c r="G180" s="38" t="s">
        <v>1505</v>
      </c>
      <c r="I180" s="38" t="s">
        <v>1886</v>
      </c>
    </row>
    <row r="181">
      <c r="A181" s="90">
        <v>207.0</v>
      </c>
      <c r="B181" s="90">
        <v>207.0</v>
      </c>
      <c r="C181" s="91" t="s">
        <v>1887</v>
      </c>
      <c r="D181" s="97"/>
      <c r="E181" s="94" t="s">
        <v>1627</v>
      </c>
      <c r="F181" s="91" t="s">
        <v>1504</v>
      </c>
    </row>
    <row r="182">
      <c r="A182" s="90">
        <v>208.0</v>
      </c>
      <c r="B182" s="90">
        <v>208.0</v>
      </c>
      <c r="C182" s="91" t="s">
        <v>1888</v>
      </c>
      <c r="D182" s="97"/>
      <c r="E182" s="93" t="s">
        <v>1505</v>
      </c>
      <c r="F182" s="91" t="s">
        <v>1504</v>
      </c>
      <c r="G182" s="38" t="s">
        <v>1505</v>
      </c>
      <c r="I182" s="38" t="s">
        <v>1889</v>
      </c>
    </row>
    <row r="183">
      <c r="A183" s="90">
        <v>209.0</v>
      </c>
      <c r="B183" s="90">
        <v>209.0</v>
      </c>
      <c r="C183" s="91" t="s">
        <v>1890</v>
      </c>
      <c r="D183" s="97"/>
      <c r="E183" s="93" t="s">
        <v>1505</v>
      </c>
      <c r="F183" s="91" t="s">
        <v>1504</v>
      </c>
      <c r="G183" s="38" t="s">
        <v>1505</v>
      </c>
      <c r="I183" s="38" t="s">
        <v>1891</v>
      </c>
    </row>
    <row r="184">
      <c r="A184" s="90">
        <v>210.0</v>
      </c>
      <c r="B184" s="90">
        <v>210.0</v>
      </c>
      <c r="C184" s="91" t="s">
        <v>1892</v>
      </c>
      <c r="D184" s="97"/>
      <c r="E184" s="93" t="s">
        <v>1505</v>
      </c>
      <c r="F184" s="91" t="s">
        <v>1504</v>
      </c>
      <c r="G184" s="38" t="s">
        <v>1505</v>
      </c>
      <c r="I184" s="38" t="s">
        <v>1893</v>
      </c>
    </row>
    <row r="185">
      <c r="A185" s="90">
        <v>211.0</v>
      </c>
      <c r="B185" s="90">
        <v>211.0</v>
      </c>
      <c r="C185" s="91" t="s">
        <v>1894</v>
      </c>
      <c r="D185" s="97"/>
      <c r="E185" s="94" t="s">
        <v>1627</v>
      </c>
      <c r="F185" s="91" t="s">
        <v>1504</v>
      </c>
    </row>
    <row r="186">
      <c r="A186" s="90">
        <v>212.0</v>
      </c>
      <c r="B186" s="90">
        <v>212.0</v>
      </c>
      <c r="C186" s="91" t="s">
        <v>1895</v>
      </c>
      <c r="D186" s="97"/>
      <c r="E186" s="93" t="s">
        <v>1505</v>
      </c>
      <c r="F186" s="91" t="s">
        <v>1504</v>
      </c>
      <c r="G186" s="38" t="s">
        <v>1505</v>
      </c>
      <c r="H186" s="38" t="s">
        <v>1896</v>
      </c>
      <c r="I186" s="38" t="s">
        <v>1897</v>
      </c>
    </row>
    <row r="187">
      <c r="A187" s="90">
        <v>213.0</v>
      </c>
      <c r="B187" s="90">
        <v>213.0</v>
      </c>
      <c r="C187" s="91" t="s">
        <v>1898</v>
      </c>
      <c r="D187" s="97"/>
      <c r="E187" s="93" t="s">
        <v>1505</v>
      </c>
      <c r="F187" s="91" t="s">
        <v>1504</v>
      </c>
      <c r="G187" s="38" t="s">
        <v>1505</v>
      </c>
      <c r="I187" s="38" t="s">
        <v>1899</v>
      </c>
    </row>
    <row r="188">
      <c r="A188" s="90">
        <v>214.0</v>
      </c>
      <c r="B188" s="90">
        <v>214.0</v>
      </c>
      <c r="C188" s="91" t="s">
        <v>1900</v>
      </c>
      <c r="D188" s="97"/>
      <c r="E188" s="93" t="s">
        <v>1505</v>
      </c>
      <c r="F188" s="91" t="s">
        <v>1504</v>
      </c>
      <c r="G188" s="38" t="s">
        <v>1505</v>
      </c>
      <c r="I188" s="38" t="s">
        <v>1901</v>
      </c>
    </row>
    <row r="189">
      <c r="A189" s="90">
        <v>215.0</v>
      </c>
      <c r="B189" s="90">
        <v>215.0</v>
      </c>
      <c r="C189" s="91" t="s">
        <v>1902</v>
      </c>
      <c r="D189" s="97"/>
      <c r="E189" s="93" t="s">
        <v>1505</v>
      </c>
      <c r="F189" s="91" t="s">
        <v>1504</v>
      </c>
      <c r="G189" s="38" t="s">
        <v>1505</v>
      </c>
      <c r="I189" s="38" t="s">
        <v>1903</v>
      </c>
    </row>
    <row r="190">
      <c r="A190" s="90">
        <v>216.0</v>
      </c>
      <c r="B190" s="90">
        <v>216.0</v>
      </c>
      <c r="C190" s="91" t="s">
        <v>1904</v>
      </c>
      <c r="D190" s="97"/>
      <c r="E190" s="92" t="s">
        <v>1621</v>
      </c>
      <c r="F190" s="91" t="s">
        <v>1504</v>
      </c>
      <c r="G190" s="38" t="s">
        <v>1621</v>
      </c>
      <c r="I190" s="38" t="s">
        <v>1905</v>
      </c>
    </row>
    <row r="191">
      <c r="A191" s="90">
        <v>217.0</v>
      </c>
      <c r="B191" s="90">
        <v>217.0</v>
      </c>
      <c r="C191" s="91" t="s">
        <v>1906</v>
      </c>
      <c r="D191" s="97"/>
      <c r="E191" s="93" t="s">
        <v>1505</v>
      </c>
      <c r="F191" s="91" t="s">
        <v>1504</v>
      </c>
      <c r="G191" s="38" t="s">
        <v>1505</v>
      </c>
      <c r="I191" s="38" t="s">
        <v>1907</v>
      </c>
    </row>
    <row r="192">
      <c r="A192" s="90">
        <v>218.0</v>
      </c>
      <c r="B192" s="90">
        <v>218.0</v>
      </c>
      <c r="C192" s="91" t="s">
        <v>1908</v>
      </c>
      <c r="D192" s="97"/>
      <c r="E192" s="93" t="s">
        <v>1505</v>
      </c>
      <c r="F192" s="91" t="s">
        <v>1504</v>
      </c>
      <c r="G192" s="38" t="s">
        <v>1505</v>
      </c>
      <c r="I192" s="38" t="s">
        <v>1909</v>
      </c>
    </row>
    <row r="193">
      <c r="A193" s="90">
        <v>219.0</v>
      </c>
      <c r="B193" s="90">
        <v>219.0</v>
      </c>
      <c r="C193" s="91" t="s">
        <v>1910</v>
      </c>
      <c r="D193" s="97"/>
      <c r="E193" s="94" t="s">
        <v>1627</v>
      </c>
      <c r="F193" s="91" t="s">
        <v>1504</v>
      </c>
    </row>
    <row r="194">
      <c r="A194" s="90">
        <v>220.0</v>
      </c>
      <c r="B194" s="90">
        <v>220.0</v>
      </c>
      <c r="C194" s="91" t="s">
        <v>1911</v>
      </c>
      <c r="D194" s="97"/>
      <c r="E194" s="94" t="s">
        <v>1627</v>
      </c>
      <c r="F194" s="91" t="s">
        <v>1504</v>
      </c>
    </row>
    <row r="195">
      <c r="A195" s="90">
        <v>221.0</v>
      </c>
      <c r="B195" s="90">
        <v>221.0</v>
      </c>
      <c r="C195" s="91" t="s">
        <v>1912</v>
      </c>
      <c r="D195" s="97"/>
      <c r="E195" s="94" t="s">
        <v>1627</v>
      </c>
      <c r="F195" s="91" t="s">
        <v>1504</v>
      </c>
    </row>
    <row r="196">
      <c r="A196" s="90">
        <v>222.0</v>
      </c>
      <c r="B196" s="90">
        <v>222.0</v>
      </c>
      <c r="C196" s="91" t="s">
        <v>1913</v>
      </c>
      <c r="D196" s="97"/>
      <c r="E196" s="94" t="s">
        <v>1627</v>
      </c>
      <c r="F196" s="91" t="s">
        <v>1504</v>
      </c>
    </row>
    <row r="197">
      <c r="A197" s="90">
        <v>223.0</v>
      </c>
      <c r="B197" s="90">
        <v>223.0</v>
      </c>
      <c r="C197" s="91" t="s">
        <v>1914</v>
      </c>
      <c r="D197" s="97"/>
      <c r="E197" s="94" t="s">
        <v>1627</v>
      </c>
      <c r="F197" s="91" t="s">
        <v>1504</v>
      </c>
    </row>
    <row r="198">
      <c r="A198" s="90">
        <v>224.0</v>
      </c>
      <c r="B198" s="90">
        <v>224.0</v>
      </c>
      <c r="C198" s="91" t="s">
        <v>1915</v>
      </c>
      <c r="D198" s="97"/>
      <c r="E198" s="93" t="s">
        <v>1505</v>
      </c>
      <c r="F198" s="91" t="s">
        <v>1504</v>
      </c>
      <c r="G198" s="38" t="s">
        <v>1505</v>
      </c>
      <c r="I198" s="38" t="s">
        <v>1916</v>
      </c>
    </row>
    <row r="199">
      <c r="A199" s="90">
        <v>225.0</v>
      </c>
      <c r="B199" s="90">
        <v>225.0</v>
      </c>
      <c r="C199" s="91" t="s">
        <v>1917</v>
      </c>
      <c r="D199" s="97"/>
      <c r="E199" s="92" t="s">
        <v>1621</v>
      </c>
      <c r="F199" s="91" t="s">
        <v>1504</v>
      </c>
      <c r="G199" s="38" t="s">
        <v>1621</v>
      </c>
      <c r="H199" s="38" t="s">
        <v>1918</v>
      </c>
      <c r="I199" s="38" t="s">
        <v>1919</v>
      </c>
    </row>
    <row r="200">
      <c r="A200" s="90">
        <v>226.0</v>
      </c>
      <c r="B200" s="90">
        <v>226.0</v>
      </c>
      <c r="C200" s="91" t="s">
        <v>1920</v>
      </c>
      <c r="D200" s="97"/>
      <c r="E200" s="92" t="s">
        <v>1621</v>
      </c>
      <c r="F200" s="91" t="s">
        <v>1504</v>
      </c>
      <c r="G200" s="38" t="s">
        <v>1621</v>
      </c>
      <c r="H200" s="38" t="s">
        <v>1621</v>
      </c>
      <c r="I200" s="38" t="s">
        <v>1921</v>
      </c>
    </row>
    <row r="201">
      <c r="A201" s="90">
        <v>227.0</v>
      </c>
      <c r="B201" s="90">
        <v>227.0</v>
      </c>
      <c r="C201" s="91" t="s">
        <v>1922</v>
      </c>
      <c r="D201" s="97"/>
      <c r="E201" s="94" t="s">
        <v>1627</v>
      </c>
      <c r="F201" s="91" t="s">
        <v>1504</v>
      </c>
    </row>
    <row r="202">
      <c r="A202" s="90">
        <v>228.0</v>
      </c>
      <c r="B202" s="90">
        <v>228.0</v>
      </c>
      <c r="C202" s="91" t="s">
        <v>1923</v>
      </c>
      <c r="D202" s="97"/>
      <c r="E202" s="94" t="s">
        <v>1627</v>
      </c>
      <c r="F202" s="91" t="s">
        <v>1504</v>
      </c>
    </row>
    <row r="203">
      <c r="A203" s="90">
        <v>229.0</v>
      </c>
      <c r="B203" s="90">
        <v>229.0</v>
      </c>
      <c r="C203" s="91" t="s">
        <v>1924</v>
      </c>
      <c r="D203" s="97"/>
      <c r="E203" s="93" t="s">
        <v>1505</v>
      </c>
      <c r="F203" s="91" t="s">
        <v>1504</v>
      </c>
      <c r="G203" s="38" t="s">
        <v>1505</v>
      </c>
      <c r="H203" s="38" t="s">
        <v>1925</v>
      </c>
      <c r="I203" s="38" t="s">
        <v>1926</v>
      </c>
    </row>
    <row r="204">
      <c r="A204" s="90">
        <v>230.0</v>
      </c>
      <c r="B204" s="90">
        <v>230.0</v>
      </c>
      <c r="C204" s="95">
        <v>44572.306909722225</v>
      </c>
      <c r="D204" s="97"/>
      <c r="E204" s="94" t="s">
        <v>1627</v>
      </c>
      <c r="F204" s="91" t="s">
        <v>1504</v>
      </c>
    </row>
    <row r="205">
      <c r="A205" s="90">
        <v>231.0</v>
      </c>
      <c r="B205" s="90">
        <v>231.0</v>
      </c>
      <c r="C205" s="95">
        <v>44572.34125</v>
      </c>
      <c r="D205" s="97"/>
      <c r="E205" s="92" t="s">
        <v>1621</v>
      </c>
      <c r="F205" s="91" t="s">
        <v>1504</v>
      </c>
      <c r="G205" s="38" t="s">
        <v>1621</v>
      </c>
      <c r="H205" s="38" t="s">
        <v>1927</v>
      </c>
      <c r="I205" s="96">
        <v>44572.347453703704</v>
      </c>
    </row>
    <row r="206">
      <c r="A206" s="90">
        <v>232.0</v>
      </c>
      <c r="B206" s="90">
        <v>232.0</v>
      </c>
      <c r="C206" s="95">
        <v>44572.54777777778</v>
      </c>
      <c r="D206" s="97"/>
      <c r="E206" s="93" t="s">
        <v>1505</v>
      </c>
      <c r="F206" s="91" t="s">
        <v>1504</v>
      </c>
      <c r="G206" s="38" t="s">
        <v>1505</v>
      </c>
      <c r="H206" s="38" t="s">
        <v>1928</v>
      </c>
      <c r="I206" s="96">
        <v>44572.048738425925</v>
      </c>
    </row>
    <row r="207">
      <c r="A207" s="90">
        <v>233.0</v>
      </c>
      <c r="B207" s="90">
        <v>233.0</v>
      </c>
      <c r="C207" s="95">
        <v>44603.33820601852</v>
      </c>
      <c r="D207" s="97"/>
      <c r="E207" s="93" t="s">
        <v>1505</v>
      </c>
      <c r="F207" s="91" t="s">
        <v>1504</v>
      </c>
      <c r="G207" s="38" t="s">
        <v>1505</v>
      </c>
      <c r="I207" s="96">
        <v>44603.3387037037</v>
      </c>
    </row>
    <row r="208">
      <c r="A208" s="90">
        <v>234.0</v>
      </c>
      <c r="B208" s="90">
        <v>234.0</v>
      </c>
      <c r="C208" s="95">
        <v>44631.22729166667</v>
      </c>
      <c r="D208" s="97"/>
      <c r="E208" s="93" t="s">
        <v>1505</v>
      </c>
      <c r="F208" s="91" t="s">
        <v>1504</v>
      </c>
      <c r="G208" s="38" t="s">
        <v>1505</v>
      </c>
      <c r="H208" s="38" t="s">
        <v>1929</v>
      </c>
      <c r="I208" s="96">
        <v>44631.256631944445</v>
      </c>
    </row>
    <row r="209">
      <c r="A209" s="90">
        <v>235.0</v>
      </c>
      <c r="B209" s="90">
        <v>235.0</v>
      </c>
      <c r="C209" s="95">
        <v>44784.28916666667</v>
      </c>
      <c r="D209" s="97"/>
      <c r="E209" s="93" t="s">
        <v>1505</v>
      </c>
      <c r="F209" s="91" t="s">
        <v>1504</v>
      </c>
      <c r="G209" s="38" t="s">
        <v>1505</v>
      </c>
      <c r="I209" s="96">
        <v>44784.30917824074</v>
      </c>
    </row>
    <row r="210">
      <c r="A210" s="90">
        <v>236.0</v>
      </c>
      <c r="B210" s="90">
        <v>236.0</v>
      </c>
      <c r="C210" s="95">
        <v>44784.293958333335</v>
      </c>
      <c r="D210" s="97"/>
      <c r="E210" s="93" t="s">
        <v>1505</v>
      </c>
      <c r="F210" s="91" t="s">
        <v>1504</v>
      </c>
      <c r="G210" s="38" t="s">
        <v>1505</v>
      </c>
      <c r="I210" s="96">
        <v>44784.30934027778</v>
      </c>
    </row>
    <row r="211">
      <c r="A211" s="90">
        <v>237.0</v>
      </c>
      <c r="B211" s="90">
        <v>237.0</v>
      </c>
      <c r="C211" s="95">
        <v>44784.325324074074</v>
      </c>
      <c r="D211" s="97"/>
      <c r="E211" s="94" t="s">
        <v>1627</v>
      </c>
      <c r="F211" s="91" t="s">
        <v>1504</v>
      </c>
    </row>
    <row r="212">
      <c r="A212" s="90">
        <v>238.0</v>
      </c>
      <c r="B212" s="90">
        <v>238.0</v>
      </c>
      <c r="C212" s="95">
        <v>44784.358923611115</v>
      </c>
      <c r="D212" s="97"/>
      <c r="E212" s="94" t="s">
        <v>1627</v>
      </c>
      <c r="F212" s="91" t="s">
        <v>1504</v>
      </c>
    </row>
    <row r="213">
      <c r="A213" s="90">
        <v>239.0</v>
      </c>
      <c r="B213" s="90">
        <v>239.0</v>
      </c>
      <c r="C213" s="95">
        <v>44784.39053240741</v>
      </c>
      <c r="D213" s="97"/>
      <c r="E213" s="94" t="s">
        <v>1627</v>
      </c>
      <c r="F213" s="91" t="s">
        <v>1504</v>
      </c>
    </row>
    <row r="214">
      <c r="A214" s="90">
        <v>240.0</v>
      </c>
      <c r="B214" s="90">
        <v>240.0</v>
      </c>
      <c r="C214" s="95">
        <v>44784.46108796296</v>
      </c>
      <c r="D214" s="97"/>
      <c r="E214" s="94" t="s">
        <v>1627</v>
      </c>
      <c r="F214" s="91" t="s">
        <v>1504</v>
      </c>
    </row>
    <row r="215">
      <c r="A215" s="90">
        <v>241.0</v>
      </c>
      <c r="B215" s="90">
        <v>241.0</v>
      </c>
      <c r="C215" s="95">
        <v>44815.207719907405</v>
      </c>
      <c r="D215" s="97"/>
      <c r="E215" s="93" t="s">
        <v>1505</v>
      </c>
      <c r="F215" s="91" t="s">
        <v>1504</v>
      </c>
      <c r="G215" s="38" t="s">
        <v>1505</v>
      </c>
      <c r="H215" s="38" t="s">
        <v>284</v>
      </c>
      <c r="I215" s="96">
        <v>44815.21362268519</v>
      </c>
    </row>
    <row r="216">
      <c r="A216" s="90">
        <v>242.0</v>
      </c>
      <c r="B216" s="90">
        <v>242.0</v>
      </c>
      <c r="C216" s="95">
        <v>44815.42292824074</v>
      </c>
      <c r="D216" s="97"/>
      <c r="E216" s="94" t="s">
        <v>1627</v>
      </c>
      <c r="F216" s="91" t="s">
        <v>1504</v>
      </c>
    </row>
    <row r="217">
      <c r="A217" s="90">
        <v>243.0</v>
      </c>
      <c r="B217" s="90">
        <v>243.0</v>
      </c>
      <c r="C217" s="98">
        <v>44845.275509259256</v>
      </c>
      <c r="D217" s="97"/>
      <c r="E217" s="93" t="s">
        <v>1505</v>
      </c>
      <c r="F217" s="91" t="s">
        <v>1504</v>
      </c>
      <c r="G217" s="38" t="s">
        <v>1505</v>
      </c>
      <c r="I217" s="99">
        <v>44845.27616898148</v>
      </c>
    </row>
    <row r="218">
      <c r="A218" s="90">
        <v>244.0</v>
      </c>
      <c r="B218" s="90">
        <v>244.0</v>
      </c>
      <c r="C218" s="98">
        <v>44876.47388888889</v>
      </c>
      <c r="D218" s="97"/>
      <c r="E218" s="93" t="s">
        <v>1505</v>
      </c>
      <c r="F218" s="91" t="s">
        <v>1504</v>
      </c>
      <c r="G218" s="38" t="s">
        <v>1505</v>
      </c>
      <c r="H218" s="38" t="s">
        <v>1930</v>
      </c>
      <c r="I218" s="99">
        <v>44876.15689814815</v>
      </c>
    </row>
    <row r="219">
      <c r="A219" s="90">
        <v>245.0</v>
      </c>
      <c r="B219" s="90">
        <v>245.0</v>
      </c>
      <c r="C219" s="98">
        <v>44876.708819444444</v>
      </c>
      <c r="D219" s="97"/>
      <c r="E219" s="94" t="s">
        <v>1627</v>
      </c>
      <c r="F219" s="91" t="s">
        <v>1504</v>
      </c>
    </row>
    <row r="220">
      <c r="A220" s="90">
        <v>246.0</v>
      </c>
      <c r="B220" s="90">
        <v>246.0</v>
      </c>
      <c r="C220" s="91" t="s">
        <v>1931</v>
      </c>
      <c r="D220" s="97"/>
      <c r="E220" s="93" t="s">
        <v>1505</v>
      </c>
      <c r="F220" s="91" t="s">
        <v>1504</v>
      </c>
      <c r="G220" s="38" t="s">
        <v>1505</v>
      </c>
      <c r="H220" s="38" t="s">
        <v>1932</v>
      </c>
      <c r="I220" s="38" t="s">
        <v>1933</v>
      </c>
    </row>
    <row r="221">
      <c r="A221" s="90">
        <v>247.0</v>
      </c>
      <c r="B221" s="90">
        <v>247.0</v>
      </c>
      <c r="C221" s="91" t="s">
        <v>1934</v>
      </c>
      <c r="D221" s="97"/>
      <c r="E221" s="94" t="s">
        <v>1627</v>
      </c>
      <c r="F221" s="91" t="s">
        <v>1504</v>
      </c>
    </row>
    <row r="222">
      <c r="A222" s="90">
        <v>248.0</v>
      </c>
      <c r="B222" s="90">
        <v>248.0</v>
      </c>
      <c r="C222" s="91" t="s">
        <v>1935</v>
      </c>
      <c r="D222" s="97"/>
      <c r="E222" s="94" t="s">
        <v>1627</v>
      </c>
      <c r="F222" s="91" t="s">
        <v>1504</v>
      </c>
    </row>
    <row r="223">
      <c r="A223" s="90">
        <v>249.0</v>
      </c>
      <c r="B223" s="90">
        <v>249.0</v>
      </c>
      <c r="C223" s="91" t="s">
        <v>1936</v>
      </c>
      <c r="D223" s="97"/>
      <c r="E223" s="94" t="s">
        <v>1627</v>
      </c>
      <c r="F223" s="91" t="s">
        <v>1504</v>
      </c>
    </row>
    <row r="224">
      <c r="A224" s="90">
        <v>250.0</v>
      </c>
      <c r="B224" s="90">
        <v>250.0</v>
      </c>
      <c r="C224" s="91" t="s">
        <v>1937</v>
      </c>
      <c r="D224" s="97"/>
      <c r="E224" s="94" t="s">
        <v>1627</v>
      </c>
      <c r="F224" s="91" t="s">
        <v>1504</v>
      </c>
    </row>
    <row r="225">
      <c r="A225" s="90">
        <v>251.0</v>
      </c>
      <c r="B225" s="90">
        <v>251.0</v>
      </c>
      <c r="C225" s="91" t="s">
        <v>1938</v>
      </c>
      <c r="D225" s="97"/>
      <c r="E225" s="94" t="s">
        <v>1627</v>
      </c>
      <c r="F225" s="91" t="s">
        <v>1504</v>
      </c>
    </row>
    <row r="226">
      <c r="A226" s="90">
        <v>252.0</v>
      </c>
      <c r="B226" s="90">
        <v>252.0</v>
      </c>
      <c r="C226" s="91" t="s">
        <v>1939</v>
      </c>
      <c r="D226" s="97"/>
      <c r="E226" s="94" t="s">
        <v>1627</v>
      </c>
      <c r="F226" s="91" t="s">
        <v>1504</v>
      </c>
    </row>
    <row r="227">
      <c r="A227" s="90">
        <v>253.0</v>
      </c>
      <c r="B227" s="90">
        <v>253.0</v>
      </c>
      <c r="C227" s="91" t="s">
        <v>1940</v>
      </c>
      <c r="D227" s="97"/>
      <c r="E227" s="93" t="s">
        <v>1505</v>
      </c>
      <c r="F227" s="91" t="s">
        <v>1504</v>
      </c>
      <c r="G227" s="38" t="s">
        <v>1505</v>
      </c>
      <c r="I227" s="38" t="s">
        <v>1941</v>
      </c>
    </row>
    <row r="228">
      <c r="A228" s="90">
        <v>254.0</v>
      </c>
      <c r="B228" s="90">
        <v>254.0</v>
      </c>
      <c r="C228" s="91" t="s">
        <v>1942</v>
      </c>
      <c r="D228" s="97"/>
      <c r="E228" s="93" t="s">
        <v>1505</v>
      </c>
      <c r="F228" s="91" t="s">
        <v>1504</v>
      </c>
      <c r="G228" s="38" t="s">
        <v>1505</v>
      </c>
      <c r="I228" s="38" t="s">
        <v>1943</v>
      </c>
    </row>
    <row r="229">
      <c r="A229" s="90">
        <v>255.0</v>
      </c>
      <c r="B229" s="90">
        <v>255.0</v>
      </c>
      <c r="C229" s="91" t="s">
        <v>1944</v>
      </c>
      <c r="D229" s="97"/>
      <c r="E229" s="93" t="s">
        <v>1505</v>
      </c>
      <c r="F229" s="91" t="s">
        <v>1504</v>
      </c>
      <c r="G229" s="38" t="s">
        <v>1505</v>
      </c>
      <c r="I229" s="38" t="s">
        <v>1945</v>
      </c>
    </row>
    <row r="230">
      <c r="A230" s="90">
        <v>256.0</v>
      </c>
      <c r="B230" s="90">
        <v>256.0</v>
      </c>
      <c r="C230" s="91" t="s">
        <v>1946</v>
      </c>
      <c r="D230" s="97"/>
      <c r="E230" s="94" t="s">
        <v>1627</v>
      </c>
      <c r="F230" s="91" t="s">
        <v>1504</v>
      </c>
    </row>
    <row r="231">
      <c r="A231" s="90">
        <v>257.0</v>
      </c>
      <c r="B231" s="90">
        <v>257.0</v>
      </c>
      <c r="C231" s="91" t="s">
        <v>1947</v>
      </c>
      <c r="D231" s="97"/>
      <c r="E231" s="94" t="s">
        <v>1627</v>
      </c>
      <c r="F231" s="91" t="s">
        <v>1504</v>
      </c>
    </row>
    <row r="232">
      <c r="A232" s="90">
        <v>258.0</v>
      </c>
      <c r="B232" s="90">
        <v>258.0</v>
      </c>
      <c r="C232" s="91" t="s">
        <v>1948</v>
      </c>
      <c r="D232" s="97"/>
      <c r="E232" s="94" t="s">
        <v>1627</v>
      </c>
      <c r="F232" s="91" t="s">
        <v>1504</v>
      </c>
    </row>
    <row r="233">
      <c r="A233" s="90">
        <v>259.0</v>
      </c>
      <c r="B233" s="90">
        <v>259.0</v>
      </c>
      <c r="C233" s="91" t="s">
        <v>1949</v>
      </c>
      <c r="D233" s="97"/>
      <c r="E233" s="93" t="s">
        <v>1505</v>
      </c>
      <c r="F233" s="91" t="s">
        <v>1504</v>
      </c>
      <c r="G233" s="38" t="s">
        <v>1505</v>
      </c>
      <c r="I233" s="38" t="s">
        <v>1950</v>
      </c>
    </row>
    <row r="234">
      <c r="A234" s="90">
        <v>260.0</v>
      </c>
      <c r="B234" s="90">
        <v>260.0</v>
      </c>
      <c r="C234" s="91" t="s">
        <v>1951</v>
      </c>
      <c r="D234" s="97"/>
      <c r="E234" s="93" t="s">
        <v>1505</v>
      </c>
      <c r="F234" s="91" t="s">
        <v>1504</v>
      </c>
      <c r="G234" s="38" t="s">
        <v>1505</v>
      </c>
      <c r="I234" s="38" t="s">
        <v>1952</v>
      </c>
    </row>
    <row r="235">
      <c r="A235" s="90">
        <v>261.0</v>
      </c>
      <c r="B235" s="90">
        <v>261.0</v>
      </c>
      <c r="C235" s="91" t="s">
        <v>1953</v>
      </c>
      <c r="D235" s="97"/>
      <c r="E235" s="94" t="s">
        <v>1627</v>
      </c>
      <c r="F235" s="91" t="s">
        <v>1504</v>
      </c>
    </row>
    <row r="236">
      <c r="A236" s="90">
        <v>262.0</v>
      </c>
      <c r="B236" s="90">
        <v>262.0</v>
      </c>
      <c r="C236" s="91" t="s">
        <v>1954</v>
      </c>
      <c r="D236" s="97"/>
      <c r="E236" s="93" t="s">
        <v>1505</v>
      </c>
      <c r="F236" s="91" t="s">
        <v>1504</v>
      </c>
      <c r="G236" s="38" t="s">
        <v>1505</v>
      </c>
      <c r="I236" s="38" t="s">
        <v>1955</v>
      </c>
    </row>
    <row r="237">
      <c r="A237" s="90">
        <v>263.0</v>
      </c>
      <c r="B237" s="90">
        <v>263.0</v>
      </c>
      <c r="C237" s="91" t="s">
        <v>1956</v>
      </c>
      <c r="D237" s="97"/>
      <c r="E237" s="94" t="s">
        <v>1627</v>
      </c>
      <c r="F237" s="91" t="s">
        <v>1504</v>
      </c>
    </row>
    <row r="238">
      <c r="A238" s="90">
        <v>264.0</v>
      </c>
      <c r="B238" s="90">
        <v>264.0</v>
      </c>
      <c r="C238" s="91" t="s">
        <v>1957</v>
      </c>
      <c r="D238" s="97"/>
      <c r="E238" s="93" t="s">
        <v>1505</v>
      </c>
      <c r="F238" s="91" t="s">
        <v>1504</v>
      </c>
      <c r="G238" s="38" t="s">
        <v>1505</v>
      </c>
      <c r="I238" s="38" t="s">
        <v>1958</v>
      </c>
    </row>
    <row r="239">
      <c r="A239" s="90">
        <v>265.0</v>
      </c>
      <c r="B239" s="90">
        <v>265.0</v>
      </c>
      <c r="C239" s="91" t="s">
        <v>1959</v>
      </c>
      <c r="D239" s="97"/>
      <c r="E239" s="93" t="s">
        <v>1505</v>
      </c>
      <c r="F239" s="91" t="s">
        <v>1504</v>
      </c>
      <c r="G239" s="38" t="s">
        <v>1505</v>
      </c>
      <c r="I239" s="38" t="s">
        <v>1960</v>
      </c>
    </row>
    <row r="240">
      <c r="A240" s="90">
        <v>266.0</v>
      </c>
      <c r="B240" s="90">
        <v>266.0</v>
      </c>
      <c r="C240" s="91" t="s">
        <v>1961</v>
      </c>
      <c r="D240" s="97"/>
      <c r="E240" s="93" t="s">
        <v>1505</v>
      </c>
      <c r="F240" s="91" t="s">
        <v>1504</v>
      </c>
      <c r="G240" s="38" t="s">
        <v>1505</v>
      </c>
      <c r="I240" s="38" t="s">
        <v>1962</v>
      </c>
    </row>
    <row r="241">
      <c r="A241" s="90">
        <v>267.0</v>
      </c>
      <c r="B241" s="90">
        <v>267.0</v>
      </c>
      <c r="C241" s="91" t="s">
        <v>1963</v>
      </c>
      <c r="D241" s="97"/>
      <c r="E241" s="93" t="s">
        <v>1505</v>
      </c>
      <c r="F241" s="91" t="s">
        <v>1504</v>
      </c>
      <c r="G241" s="38" t="s">
        <v>1505</v>
      </c>
      <c r="I241" s="38" t="s">
        <v>1964</v>
      </c>
    </row>
    <row r="242">
      <c r="A242" s="90">
        <v>268.0</v>
      </c>
      <c r="B242" s="90">
        <v>268.0</v>
      </c>
      <c r="C242" s="91" t="s">
        <v>1965</v>
      </c>
      <c r="D242" s="97"/>
      <c r="E242" s="94" t="s">
        <v>1627</v>
      </c>
      <c r="F242" s="91" t="s">
        <v>1504</v>
      </c>
    </row>
    <row r="243">
      <c r="A243" s="90">
        <v>269.0</v>
      </c>
      <c r="B243" s="90">
        <v>269.0</v>
      </c>
      <c r="C243" s="91" t="s">
        <v>1966</v>
      </c>
      <c r="D243" s="97"/>
      <c r="E243" s="93" t="s">
        <v>1505</v>
      </c>
      <c r="F243" s="91" t="s">
        <v>1504</v>
      </c>
      <c r="G243" s="38" t="s">
        <v>1505</v>
      </c>
      <c r="I243" s="38" t="s">
        <v>1967</v>
      </c>
    </row>
    <row r="244">
      <c r="A244" s="90">
        <v>270.0</v>
      </c>
      <c r="B244" s="90">
        <v>270.0</v>
      </c>
      <c r="C244" s="91" t="s">
        <v>1968</v>
      </c>
      <c r="D244" s="97"/>
      <c r="E244" s="94" t="s">
        <v>1627</v>
      </c>
      <c r="F244" s="91" t="s">
        <v>1504</v>
      </c>
    </row>
    <row r="245">
      <c r="A245" s="90">
        <v>271.0</v>
      </c>
      <c r="B245" s="90">
        <v>271.0</v>
      </c>
      <c r="C245" s="91" t="s">
        <v>1969</v>
      </c>
      <c r="D245" s="97"/>
      <c r="E245" s="94" t="s">
        <v>1627</v>
      </c>
      <c r="F245" s="91" t="s">
        <v>1504</v>
      </c>
    </row>
    <row r="246">
      <c r="A246" s="90">
        <v>272.0</v>
      </c>
      <c r="B246" s="90">
        <v>272.0</v>
      </c>
      <c r="C246" s="91" t="s">
        <v>1970</v>
      </c>
      <c r="D246" s="97"/>
      <c r="E246" s="94" t="s">
        <v>1627</v>
      </c>
      <c r="F246" s="91" t="s">
        <v>1504</v>
      </c>
    </row>
    <row r="247">
      <c r="A247" s="90">
        <v>273.0</v>
      </c>
      <c r="B247" s="90">
        <v>273.0</v>
      </c>
      <c r="C247" s="91" t="s">
        <v>1971</v>
      </c>
      <c r="D247" s="97"/>
      <c r="E247" s="93" t="s">
        <v>1505</v>
      </c>
      <c r="F247" s="91" t="s">
        <v>1504</v>
      </c>
      <c r="G247" s="38" t="s">
        <v>1505</v>
      </c>
      <c r="I247" s="38" t="s">
        <v>1972</v>
      </c>
    </row>
    <row r="248">
      <c r="A248" s="90">
        <v>274.0</v>
      </c>
      <c r="B248" s="90">
        <v>274.0</v>
      </c>
      <c r="C248" s="91" t="s">
        <v>1973</v>
      </c>
      <c r="D248" s="97"/>
      <c r="E248" s="93" t="s">
        <v>1505</v>
      </c>
      <c r="F248" s="91" t="s">
        <v>1504</v>
      </c>
      <c r="G248" s="38" t="s">
        <v>1505</v>
      </c>
      <c r="I248" s="38" t="s">
        <v>1974</v>
      </c>
    </row>
    <row r="249">
      <c r="A249" s="90">
        <v>275.0</v>
      </c>
      <c r="B249" s="90">
        <v>275.0</v>
      </c>
      <c r="C249" s="95">
        <v>44573.43883101852</v>
      </c>
      <c r="D249" s="97"/>
      <c r="E249" s="94" t="s">
        <v>1627</v>
      </c>
      <c r="F249" s="91" t="s">
        <v>1504</v>
      </c>
    </row>
    <row r="250">
      <c r="A250" s="90">
        <v>276.0</v>
      </c>
      <c r="B250" s="90">
        <v>276.0</v>
      </c>
      <c r="C250" s="95">
        <v>44573.43921296296</v>
      </c>
      <c r="D250" s="91" t="s">
        <v>1643</v>
      </c>
      <c r="E250" s="94" t="s">
        <v>1627</v>
      </c>
      <c r="F250" s="91" t="s">
        <v>1504</v>
      </c>
    </row>
    <row r="251">
      <c r="A251" s="90">
        <v>277.0</v>
      </c>
      <c r="B251" s="90">
        <v>277.0</v>
      </c>
      <c r="C251" s="95">
        <v>44573.482511574075</v>
      </c>
      <c r="D251" s="97"/>
      <c r="E251" s="94" t="s">
        <v>1627</v>
      </c>
      <c r="F251" s="91" t="s">
        <v>1504</v>
      </c>
    </row>
    <row r="252">
      <c r="A252" s="90">
        <v>278.0</v>
      </c>
      <c r="B252" s="90">
        <v>278.0</v>
      </c>
      <c r="C252" s="95">
        <v>44573.60559027778</v>
      </c>
      <c r="D252" s="97"/>
      <c r="E252" s="94" t="s">
        <v>1627</v>
      </c>
      <c r="F252" s="91" t="s">
        <v>1504</v>
      </c>
    </row>
    <row r="253">
      <c r="A253" s="90">
        <v>279.0</v>
      </c>
      <c r="B253" s="90">
        <v>279.0</v>
      </c>
      <c r="C253" s="95">
        <v>44604.37652777778</v>
      </c>
      <c r="D253" s="97"/>
      <c r="E253" s="94" t="s">
        <v>1627</v>
      </c>
      <c r="F253" s="91" t="s">
        <v>1504</v>
      </c>
    </row>
    <row r="254">
      <c r="A254" s="90">
        <v>280.0</v>
      </c>
      <c r="B254" s="90">
        <v>280.0</v>
      </c>
      <c r="C254" s="95">
        <v>44604.38895833334</v>
      </c>
      <c r="D254" s="97"/>
      <c r="E254" s="94" t="s">
        <v>1627</v>
      </c>
      <c r="F254" s="91" t="s">
        <v>1504</v>
      </c>
    </row>
    <row r="255">
      <c r="A255" s="90">
        <v>281.0</v>
      </c>
      <c r="B255" s="90">
        <v>281.0</v>
      </c>
      <c r="C255" s="95">
        <v>44604.41887731481</v>
      </c>
      <c r="D255" s="91" t="s">
        <v>1657</v>
      </c>
      <c r="E255" s="93" t="s">
        <v>1505</v>
      </c>
      <c r="F255" s="91" t="s">
        <v>1504</v>
      </c>
      <c r="G255" s="38" t="s">
        <v>1505</v>
      </c>
      <c r="I255" s="96">
        <v>44604.10579861111</v>
      </c>
    </row>
    <row r="256">
      <c r="A256" s="90">
        <v>282.0</v>
      </c>
      <c r="B256" s="90">
        <v>282.0</v>
      </c>
      <c r="C256" s="95">
        <v>44693.20711805556</v>
      </c>
      <c r="D256" s="91" t="s">
        <v>1975</v>
      </c>
      <c r="E256" s="94" t="s">
        <v>1627</v>
      </c>
      <c r="F256" s="91" t="s">
        <v>1504</v>
      </c>
    </row>
    <row r="257">
      <c r="A257" s="90">
        <v>283.0</v>
      </c>
      <c r="B257" s="90">
        <v>283.0</v>
      </c>
      <c r="C257" s="95">
        <v>44693.27135416667</v>
      </c>
      <c r="D257" s="91" t="s">
        <v>1976</v>
      </c>
      <c r="E257" s="93" t="s">
        <v>1505</v>
      </c>
      <c r="F257" s="91" t="s">
        <v>1504</v>
      </c>
      <c r="G257" s="38" t="s">
        <v>1505</v>
      </c>
      <c r="I257" s="96">
        <v>44693.272256944445</v>
      </c>
    </row>
    <row r="258">
      <c r="A258" s="90">
        <v>284.0</v>
      </c>
      <c r="B258" s="90">
        <v>284.0</v>
      </c>
      <c r="C258" s="95">
        <v>44693.37480324074</v>
      </c>
      <c r="D258" s="97"/>
      <c r="E258" s="92" t="s">
        <v>1621</v>
      </c>
      <c r="F258" s="91" t="s">
        <v>1504</v>
      </c>
      <c r="G258" s="38" t="s">
        <v>1621</v>
      </c>
      <c r="I258" s="96">
        <v>44693.40950231482</v>
      </c>
    </row>
    <row r="259">
      <c r="A259" s="90">
        <v>285.0</v>
      </c>
      <c r="B259" s="90">
        <v>285.0</v>
      </c>
      <c r="C259" s="95">
        <v>44693.40435185185</v>
      </c>
      <c r="D259" s="97"/>
      <c r="E259" s="93" t="s">
        <v>1505</v>
      </c>
      <c r="F259" s="91" t="s">
        <v>1504</v>
      </c>
      <c r="G259" s="38" t="s">
        <v>1505</v>
      </c>
      <c r="I259" s="96">
        <v>44693.40967592593</v>
      </c>
    </row>
    <row r="260">
      <c r="A260" s="90">
        <v>286.0</v>
      </c>
      <c r="B260" s="90">
        <v>286.0</v>
      </c>
      <c r="C260" s="95">
        <v>44693.61230324074</v>
      </c>
      <c r="D260" s="97"/>
      <c r="E260" s="94" t="s">
        <v>1794</v>
      </c>
      <c r="F260" s="91" t="s">
        <v>1504</v>
      </c>
      <c r="G260" s="38" t="s">
        <v>1794</v>
      </c>
      <c r="H260" s="38" t="s">
        <v>1977</v>
      </c>
      <c r="I260" s="96">
        <v>44693.11837962963</v>
      </c>
    </row>
    <row r="261">
      <c r="A261" s="90">
        <v>287.0</v>
      </c>
      <c r="B261" s="90">
        <v>287.0</v>
      </c>
      <c r="C261" s="95">
        <v>44724.31418981482</v>
      </c>
      <c r="D261" s="97"/>
      <c r="E261" s="93" t="s">
        <v>1505</v>
      </c>
      <c r="F261" s="91" t="s">
        <v>1504</v>
      </c>
      <c r="G261" s="38" t="s">
        <v>1505</v>
      </c>
      <c r="I261" s="96">
        <v>44724.36775462963</v>
      </c>
    </row>
    <row r="262">
      <c r="A262" s="90">
        <v>288.0</v>
      </c>
      <c r="B262" s="90">
        <v>288.0</v>
      </c>
      <c r="C262" s="95">
        <v>44724.3347337963</v>
      </c>
      <c r="D262" s="91" t="s">
        <v>1978</v>
      </c>
      <c r="E262" s="93" t="s">
        <v>1505</v>
      </c>
      <c r="F262" s="91" t="s">
        <v>1504</v>
      </c>
      <c r="G262" s="38" t="s">
        <v>1505</v>
      </c>
      <c r="I262" s="96">
        <v>44724.33765046296</v>
      </c>
    </row>
    <row r="263">
      <c r="A263" s="90">
        <v>289.0</v>
      </c>
      <c r="B263" s="90">
        <v>289.0</v>
      </c>
      <c r="C263" s="95">
        <v>44724.369363425925</v>
      </c>
      <c r="D263" s="91" t="s">
        <v>1979</v>
      </c>
      <c r="E263" s="94" t="s">
        <v>1627</v>
      </c>
      <c r="F263" s="91" t="s">
        <v>1504</v>
      </c>
    </row>
    <row r="264">
      <c r="A264" s="90">
        <v>290.0</v>
      </c>
      <c r="B264" s="90">
        <v>290.0</v>
      </c>
      <c r="C264" s="95">
        <v>44724.38599537037</v>
      </c>
      <c r="D264" s="91" t="s">
        <v>1980</v>
      </c>
      <c r="E264" s="94" t="s">
        <v>1627</v>
      </c>
      <c r="F264" s="91" t="s">
        <v>1504</v>
      </c>
    </row>
    <row r="265">
      <c r="A265" s="90">
        <v>291.0</v>
      </c>
      <c r="B265" s="90">
        <v>291.0</v>
      </c>
      <c r="C265" s="95">
        <v>44754.30636574074</v>
      </c>
      <c r="D265" s="91" t="s">
        <v>1657</v>
      </c>
      <c r="E265" s="94" t="s">
        <v>1627</v>
      </c>
      <c r="F265" s="91" t="s">
        <v>1504</v>
      </c>
    </row>
    <row r="266">
      <c r="A266" s="90">
        <v>292.0</v>
      </c>
      <c r="B266" s="90">
        <v>292.0</v>
      </c>
      <c r="C266" s="95">
        <v>44754.38693287037</v>
      </c>
      <c r="D266" s="97"/>
      <c r="E266" s="94" t="s">
        <v>1627</v>
      </c>
      <c r="F266" s="91" t="s">
        <v>1504</v>
      </c>
    </row>
    <row r="267">
      <c r="A267" s="90">
        <v>293.0</v>
      </c>
      <c r="B267" s="90">
        <v>293.0</v>
      </c>
      <c r="C267" s="95">
        <v>44754.52630787037</v>
      </c>
      <c r="D267" s="97"/>
      <c r="E267" s="94" t="s">
        <v>1627</v>
      </c>
      <c r="F267" s="91" t="s">
        <v>1504</v>
      </c>
    </row>
    <row r="268">
      <c r="A268" s="90">
        <v>294.0</v>
      </c>
      <c r="B268" s="90">
        <v>294.0</v>
      </c>
      <c r="C268" s="95">
        <v>44785.30638888889</v>
      </c>
      <c r="D268" s="91" t="s">
        <v>1657</v>
      </c>
      <c r="E268" s="93" t="s">
        <v>1505</v>
      </c>
      <c r="F268" s="91" t="s">
        <v>1504</v>
      </c>
      <c r="G268" s="38" t="s">
        <v>1505</v>
      </c>
      <c r="I268" s="96">
        <v>44785.376655092594</v>
      </c>
    </row>
    <row r="269">
      <c r="A269" s="90">
        <v>295.0</v>
      </c>
      <c r="B269" s="90">
        <v>295.0</v>
      </c>
      <c r="C269" s="95">
        <v>44785.44211805556</v>
      </c>
      <c r="D269" s="91" t="s">
        <v>1657</v>
      </c>
      <c r="E269" s="92" t="s">
        <v>1621</v>
      </c>
      <c r="F269" s="91" t="s">
        <v>1504</v>
      </c>
      <c r="G269" s="38" t="s">
        <v>1621</v>
      </c>
      <c r="I269" s="96">
        <v>44785.45270833333</v>
      </c>
    </row>
    <row r="270">
      <c r="A270" s="90">
        <v>296.0</v>
      </c>
      <c r="B270" s="90">
        <v>296.0</v>
      </c>
      <c r="C270" s="95">
        <v>44785.483136574076</v>
      </c>
      <c r="D270" s="97"/>
      <c r="E270" s="94" t="s">
        <v>1627</v>
      </c>
      <c r="F270" s="91" t="s">
        <v>1504</v>
      </c>
    </row>
    <row r="271">
      <c r="A271" s="90">
        <v>297.0</v>
      </c>
      <c r="B271" s="90">
        <v>297.0</v>
      </c>
      <c r="C271" s="95">
        <v>44816.306435185186</v>
      </c>
      <c r="D271" s="91" t="s">
        <v>1657</v>
      </c>
      <c r="E271" s="93" t="s">
        <v>1505</v>
      </c>
      <c r="F271" s="91" t="s">
        <v>1504</v>
      </c>
      <c r="G271" s="38" t="s">
        <v>1505</v>
      </c>
      <c r="I271" s="96">
        <v>44816.37226851852</v>
      </c>
    </row>
    <row r="272">
      <c r="A272" s="90">
        <v>298.0</v>
      </c>
      <c r="B272" s="90">
        <v>298.0</v>
      </c>
      <c r="C272" s="95">
        <v>44816.51715277778</v>
      </c>
      <c r="D272" s="97"/>
      <c r="E272" s="94" t="s">
        <v>1627</v>
      </c>
      <c r="F272" s="91" t="s">
        <v>1504</v>
      </c>
    </row>
    <row r="273">
      <c r="A273" s="90">
        <v>299.0</v>
      </c>
      <c r="B273" s="90">
        <v>299.0</v>
      </c>
      <c r="C273" s="98">
        <v>44907.3237037037</v>
      </c>
      <c r="D273" s="91" t="s">
        <v>1657</v>
      </c>
      <c r="E273" s="93" t="s">
        <v>1505</v>
      </c>
      <c r="F273" s="91" t="s">
        <v>1504</v>
      </c>
      <c r="G273" s="38" t="s">
        <v>1505</v>
      </c>
      <c r="I273" s="99">
        <v>44907.337175925924</v>
      </c>
    </row>
    <row r="274">
      <c r="A274" s="90">
        <v>300.0</v>
      </c>
      <c r="B274" s="90">
        <v>300.0</v>
      </c>
      <c r="C274" s="98">
        <v>44907.325057870374</v>
      </c>
      <c r="D274" s="91" t="s">
        <v>1657</v>
      </c>
      <c r="E274" s="92" t="s">
        <v>1621</v>
      </c>
      <c r="F274" s="91" t="s">
        <v>1504</v>
      </c>
      <c r="G274" s="38" t="s">
        <v>1621</v>
      </c>
      <c r="I274" s="99">
        <v>44907.339166666665</v>
      </c>
    </row>
    <row r="275">
      <c r="A275" s="90">
        <v>301.0</v>
      </c>
      <c r="B275" s="90">
        <v>301.0</v>
      </c>
      <c r="C275" s="98">
        <v>44907.42630787037</v>
      </c>
      <c r="D275" s="97"/>
      <c r="E275" s="94" t="s">
        <v>1627</v>
      </c>
      <c r="F275" s="91" t="s">
        <v>1504</v>
      </c>
    </row>
    <row r="276">
      <c r="A276" s="90">
        <v>302.0</v>
      </c>
      <c r="B276" s="90">
        <v>302.0</v>
      </c>
      <c r="C276" s="91" t="s">
        <v>1981</v>
      </c>
      <c r="D276" s="97"/>
      <c r="E276" s="94" t="s">
        <v>1627</v>
      </c>
      <c r="F276" s="91" t="s">
        <v>1504</v>
      </c>
    </row>
    <row r="277">
      <c r="A277" s="90">
        <v>303.0</v>
      </c>
      <c r="B277" s="90">
        <v>303.0</v>
      </c>
      <c r="C277" s="91" t="s">
        <v>1982</v>
      </c>
      <c r="D277" s="97"/>
      <c r="E277" s="94" t="s">
        <v>1627</v>
      </c>
      <c r="F277" s="91" t="s">
        <v>1504</v>
      </c>
    </row>
    <row r="278">
      <c r="A278" s="90">
        <v>304.0</v>
      </c>
      <c r="B278" s="90">
        <v>304.0</v>
      </c>
      <c r="C278" s="91" t="s">
        <v>1983</v>
      </c>
      <c r="D278" s="97"/>
      <c r="E278" s="94" t="s">
        <v>1627</v>
      </c>
      <c r="F278" s="91" t="s">
        <v>1504</v>
      </c>
    </row>
    <row r="279">
      <c r="A279" s="90">
        <v>305.0</v>
      </c>
      <c r="B279" s="90">
        <v>305.0</v>
      </c>
      <c r="C279" s="91" t="s">
        <v>1984</v>
      </c>
      <c r="D279" s="91" t="s">
        <v>1657</v>
      </c>
      <c r="E279" s="93" t="s">
        <v>1505</v>
      </c>
      <c r="F279" s="91" t="s">
        <v>1504</v>
      </c>
      <c r="G279" s="38" t="s">
        <v>1505</v>
      </c>
      <c r="I279" s="38" t="s">
        <v>1985</v>
      </c>
    </row>
    <row r="280">
      <c r="A280" s="90">
        <v>306.0</v>
      </c>
      <c r="B280" s="90">
        <v>306.0</v>
      </c>
      <c r="C280" s="91" t="s">
        <v>1986</v>
      </c>
      <c r="D280" s="91" t="s">
        <v>1975</v>
      </c>
      <c r="E280" s="94" t="s">
        <v>1627</v>
      </c>
      <c r="F280" s="91" t="s">
        <v>1504</v>
      </c>
    </row>
    <row r="281">
      <c r="A281" s="90">
        <v>307.0</v>
      </c>
      <c r="B281" s="90">
        <v>307.0</v>
      </c>
      <c r="C281" s="91" t="s">
        <v>1987</v>
      </c>
      <c r="D281" s="91" t="s">
        <v>1988</v>
      </c>
      <c r="E281" s="94" t="s">
        <v>1627</v>
      </c>
      <c r="F281" s="91" t="s">
        <v>1504</v>
      </c>
    </row>
    <row r="282">
      <c r="A282" s="90">
        <v>308.0</v>
      </c>
      <c r="B282" s="90">
        <v>308.0</v>
      </c>
      <c r="C282" s="91" t="s">
        <v>1989</v>
      </c>
      <c r="D282" s="91" t="s">
        <v>1990</v>
      </c>
      <c r="E282" s="94" t="s">
        <v>1627</v>
      </c>
      <c r="F282" s="91" t="s">
        <v>1504</v>
      </c>
    </row>
    <row r="283">
      <c r="A283" s="90">
        <v>309.0</v>
      </c>
      <c r="B283" s="90">
        <v>309.0</v>
      </c>
      <c r="C283" s="91" t="s">
        <v>1991</v>
      </c>
      <c r="D283" s="91" t="s">
        <v>1713</v>
      </c>
      <c r="E283" s="94" t="s">
        <v>1627</v>
      </c>
      <c r="F283" s="91" t="s">
        <v>1504</v>
      </c>
    </row>
    <row r="284">
      <c r="A284" s="90">
        <v>310.0</v>
      </c>
      <c r="B284" s="90">
        <v>310.0</v>
      </c>
      <c r="C284" s="91" t="s">
        <v>1992</v>
      </c>
      <c r="D284" s="97"/>
      <c r="E284" s="93" t="s">
        <v>1505</v>
      </c>
      <c r="F284" s="91" t="s">
        <v>1504</v>
      </c>
      <c r="G284" s="38" t="s">
        <v>1505</v>
      </c>
      <c r="I284" s="38" t="s">
        <v>1993</v>
      </c>
    </row>
    <row r="285">
      <c r="A285" s="90">
        <v>311.0</v>
      </c>
      <c r="B285" s="90">
        <v>311.0</v>
      </c>
      <c r="C285" s="91" t="s">
        <v>1994</v>
      </c>
      <c r="D285" s="91" t="s">
        <v>1995</v>
      </c>
      <c r="E285" s="94" t="s">
        <v>1627</v>
      </c>
      <c r="F285" s="91" t="s">
        <v>1504</v>
      </c>
    </row>
    <row r="286">
      <c r="A286" s="90">
        <v>312.0</v>
      </c>
      <c r="B286" s="90">
        <v>312.0</v>
      </c>
      <c r="C286" s="91" t="s">
        <v>1996</v>
      </c>
      <c r="D286" s="91" t="s">
        <v>1997</v>
      </c>
      <c r="E286" s="94" t="s">
        <v>1627</v>
      </c>
      <c r="F286" s="91" t="s">
        <v>1504</v>
      </c>
    </row>
    <row r="287">
      <c r="A287" s="90">
        <v>313.0</v>
      </c>
      <c r="B287" s="90">
        <v>313.0</v>
      </c>
      <c r="C287" s="91" t="s">
        <v>1998</v>
      </c>
      <c r="D287" s="97"/>
      <c r="E287" s="94" t="s">
        <v>1627</v>
      </c>
      <c r="F287" s="91" t="s">
        <v>1504</v>
      </c>
    </row>
    <row r="288">
      <c r="A288" s="90">
        <v>314.0</v>
      </c>
      <c r="B288" s="90">
        <v>314.0</v>
      </c>
      <c r="C288" s="91" t="s">
        <v>1999</v>
      </c>
      <c r="D288" s="97"/>
      <c r="E288" s="93" t="s">
        <v>1505</v>
      </c>
      <c r="F288" s="91" t="s">
        <v>1504</v>
      </c>
      <c r="G288" s="38" t="s">
        <v>1505</v>
      </c>
      <c r="H288" s="38" t="s">
        <v>2000</v>
      </c>
      <c r="I288" s="96">
        <v>45047.3412962963</v>
      </c>
    </row>
    <row r="289">
      <c r="A289" s="90">
        <v>315.0</v>
      </c>
      <c r="B289" s="90">
        <v>315.0</v>
      </c>
      <c r="C289" s="95">
        <v>44958.2987037037</v>
      </c>
      <c r="D289" s="97"/>
      <c r="E289" s="94" t="s">
        <v>1627</v>
      </c>
      <c r="F289" s="91" t="s">
        <v>1504</v>
      </c>
    </row>
    <row r="290">
      <c r="A290" s="90">
        <v>316.0</v>
      </c>
      <c r="B290" s="90">
        <v>316.0</v>
      </c>
      <c r="C290" s="95">
        <v>44958.29986111111</v>
      </c>
      <c r="D290" s="97"/>
      <c r="E290" s="93" t="s">
        <v>1505</v>
      </c>
      <c r="F290" s="91" t="s">
        <v>1504</v>
      </c>
      <c r="G290" s="38" t="s">
        <v>1505</v>
      </c>
      <c r="I290" s="96">
        <v>44958.304768518516</v>
      </c>
    </row>
    <row r="291">
      <c r="A291" s="90">
        <v>317.0</v>
      </c>
      <c r="B291" s="90">
        <v>317.0</v>
      </c>
      <c r="C291" s="95">
        <v>44958.315405092595</v>
      </c>
      <c r="D291" s="97"/>
      <c r="E291" s="94" t="s">
        <v>1627</v>
      </c>
      <c r="F291" s="91" t="s">
        <v>1504</v>
      </c>
    </row>
    <row r="292">
      <c r="A292" s="90">
        <v>318.0</v>
      </c>
      <c r="B292" s="90">
        <v>318.0</v>
      </c>
      <c r="C292" s="95">
        <v>44958.316608796296</v>
      </c>
      <c r="D292" s="97"/>
      <c r="E292" s="94" t="s">
        <v>1627</v>
      </c>
      <c r="F292" s="91" t="s">
        <v>1504</v>
      </c>
    </row>
    <row r="293">
      <c r="A293" s="90">
        <v>319.0</v>
      </c>
      <c r="B293" s="90">
        <v>319.0</v>
      </c>
      <c r="C293" s="95">
        <v>44986.288148148145</v>
      </c>
      <c r="D293" s="97"/>
      <c r="E293" s="94" t="s">
        <v>1627</v>
      </c>
      <c r="F293" s="91" t="s">
        <v>1504</v>
      </c>
    </row>
    <row r="294">
      <c r="A294" s="90">
        <v>320.0</v>
      </c>
      <c r="B294" s="90">
        <v>320.0</v>
      </c>
      <c r="C294" s="95">
        <v>44986.40642361111</v>
      </c>
      <c r="D294" s="97"/>
      <c r="E294" s="94" t="s">
        <v>1627</v>
      </c>
      <c r="F294" s="91" t="s">
        <v>1504</v>
      </c>
    </row>
    <row r="295">
      <c r="A295" s="90">
        <v>321.0</v>
      </c>
      <c r="B295" s="90">
        <v>321.0</v>
      </c>
      <c r="C295" s="95">
        <v>44986.414131944446</v>
      </c>
      <c r="D295" s="97"/>
      <c r="E295" s="94" t="s">
        <v>1627</v>
      </c>
      <c r="F295" s="91" t="s">
        <v>1504</v>
      </c>
    </row>
    <row r="296">
      <c r="A296" s="90">
        <v>322.0</v>
      </c>
      <c r="B296" s="90">
        <v>322.0</v>
      </c>
      <c r="C296" s="95">
        <v>45017.25332175926</v>
      </c>
      <c r="D296" s="97"/>
      <c r="E296" s="93" t="s">
        <v>1505</v>
      </c>
      <c r="F296" s="91" t="s">
        <v>1504</v>
      </c>
      <c r="G296" s="38" t="s">
        <v>1505</v>
      </c>
      <c r="I296" s="96">
        <v>45017.29369212963</v>
      </c>
    </row>
    <row r="297">
      <c r="A297" s="90">
        <v>323.0</v>
      </c>
      <c r="B297" s="90">
        <v>323.0</v>
      </c>
      <c r="C297" s="95">
        <v>45017.28505787037</v>
      </c>
      <c r="D297" s="97"/>
      <c r="E297" s="93" t="s">
        <v>1505</v>
      </c>
      <c r="F297" s="91" t="s">
        <v>1504</v>
      </c>
      <c r="G297" s="38" t="s">
        <v>1505</v>
      </c>
      <c r="I297" s="96">
        <v>45017.2944212963</v>
      </c>
    </row>
    <row r="298">
      <c r="A298" s="90">
        <v>324.0</v>
      </c>
      <c r="B298" s="90">
        <v>324.0</v>
      </c>
      <c r="C298" s="95">
        <v>45017.28942129629</v>
      </c>
      <c r="D298" s="97"/>
      <c r="E298" s="93" t="s">
        <v>1505</v>
      </c>
      <c r="F298" s="91" t="s">
        <v>1504</v>
      </c>
      <c r="G298" s="38" t="s">
        <v>1505</v>
      </c>
      <c r="I298" s="96">
        <v>45017.294583333336</v>
      </c>
    </row>
    <row r="299">
      <c r="A299" s="90">
        <v>325.0</v>
      </c>
      <c r="B299" s="90">
        <v>325.0</v>
      </c>
      <c r="C299" s="95">
        <v>45047.516284722224</v>
      </c>
      <c r="D299" s="97"/>
      <c r="E299" s="94" t="s">
        <v>1627</v>
      </c>
      <c r="F299" s="91" t="s">
        <v>1504</v>
      </c>
    </row>
    <row r="300">
      <c r="A300" s="90">
        <v>326.0</v>
      </c>
      <c r="B300" s="90">
        <v>326.0</v>
      </c>
      <c r="C300" s="95">
        <v>45200.310277777775</v>
      </c>
      <c r="D300" s="97"/>
      <c r="E300" s="93" t="s">
        <v>1505</v>
      </c>
      <c r="F300" s="91" t="s">
        <v>1504</v>
      </c>
      <c r="G300" s="38" t="s">
        <v>1505</v>
      </c>
      <c r="I300" s="96">
        <v>45200.315613425926</v>
      </c>
    </row>
    <row r="301">
      <c r="A301" s="90">
        <v>327.0</v>
      </c>
      <c r="B301" s="90">
        <v>327.0</v>
      </c>
      <c r="C301" s="95">
        <v>45200.344375</v>
      </c>
      <c r="D301" s="97"/>
      <c r="E301" s="94" t="s">
        <v>1627</v>
      </c>
      <c r="F301" s="91" t="s">
        <v>1504</v>
      </c>
    </row>
    <row r="302">
      <c r="A302" s="90">
        <v>328.0</v>
      </c>
      <c r="B302" s="90">
        <v>328.0</v>
      </c>
      <c r="C302" s="95">
        <v>45200.46163194445</v>
      </c>
      <c r="D302" s="97"/>
      <c r="E302" s="94" t="s">
        <v>1627</v>
      </c>
      <c r="F302" s="91" t="s">
        <v>1504</v>
      </c>
    </row>
    <row r="303">
      <c r="A303" s="90">
        <v>329.0</v>
      </c>
      <c r="B303" s="90">
        <v>329.0</v>
      </c>
      <c r="C303" s="95">
        <v>45231.34704861111</v>
      </c>
      <c r="D303" s="97"/>
      <c r="E303" s="93" t="s">
        <v>1505</v>
      </c>
      <c r="F303" s="91" t="s">
        <v>1504</v>
      </c>
      <c r="G303" s="38" t="s">
        <v>1505</v>
      </c>
      <c r="I303" s="96">
        <v>45231.529652777775</v>
      </c>
    </row>
    <row r="304">
      <c r="A304" s="90">
        <v>330.0</v>
      </c>
      <c r="B304" s="90">
        <v>330.0</v>
      </c>
      <c r="C304" s="95">
        <v>45231.347349537034</v>
      </c>
      <c r="D304" s="97"/>
      <c r="E304" s="94" t="s">
        <v>1627</v>
      </c>
      <c r="F304" s="91" t="s">
        <v>1504</v>
      </c>
    </row>
    <row r="305">
      <c r="A305" s="90">
        <v>331.0</v>
      </c>
      <c r="B305" s="90">
        <v>331.0</v>
      </c>
      <c r="C305" s="95">
        <v>45231.6171875</v>
      </c>
      <c r="D305" s="97"/>
      <c r="E305" s="93" t="s">
        <v>1505</v>
      </c>
      <c r="F305" s="91" t="s">
        <v>1504</v>
      </c>
      <c r="G305" s="38" t="s">
        <v>1505</v>
      </c>
      <c r="I305" s="96">
        <v>45231.12400462963</v>
      </c>
    </row>
    <row r="306">
      <c r="A306" s="90">
        <v>332.0</v>
      </c>
      <c r="B306" s="90">
        <v>332.0</v>
      </c>
      <c r="C306" s="95">
        <v>45261.303773148145</v>
      </c>
      <c r="D306" s="97"/>
      <c r="E306" s="93" t="s">
        <v>1505</v>
      </c>
      <c r="F306" s="91" t="s">
        <v>1504</v>
      </c>
      <c r="G306" s="38" t="s">
        <v>1505</v>
      </c>
      <c r="I306" s="96">
        <v>45261.315416666665</v>
      </c>
    </row>
    <row r="307">
      <c r="A307" s="90">
        <v>333.0</v>
      </c>
      <c r="B307" s="90">
        <v>333.0</v>
      </c>
      <c r="C307" s="95">
        <v>45261.43174768519</v>
      </c>
      <c r="D307" s="97"/>
      <c r="E307" s="94" t="s">
        <v>1627</v>
      </c>
      <c r="F307" s="91" t="s">
        <v>1504</v>
      </c>
    </row>
    <row r="308">
      <c r="A308" s="90">
        <v>334.0</v>
      </c>
      <c r="B308" s="90">
        <v>334.0</v>
      </c>
      <c r="C308" s="95">
        <v>45261.55825231481</v>
      </c>
      <c r="D308" s="97"/>
      <c r="E308" s="93" t="s">
        <v>1505</v>
      </c>
      <c r="F308" s="91" t="s">
        <v>1504</v>
      </c>
      <c r="G308" s="38" t="s">
        <v>1505</v>
      </c>
      <c r="I308" s="96">
        <v>45261.06049768518</v>
      </c>
    </row>
    <row r="309">
      <c r="A309" s="90">
        <v>335.0</v>
      </c>
      <c r="B309" s="90">
        <v>335.0</v>
      </c>
      <c r="C309" s="95">
        <v>45261.60329861111</v>
      </c>
      <c r="D309" s="97"/>
      <c r="E309" s="94" t="s">
        <v>1627</v>
      </c>
      <c r="F309" s="91" t="s">
        <v>1504</v>
      </c>
    </row>
    <row r="310">
      <c r="A310" s="90">
        <v>336.0</v>
      </c>
      <c r="B310" s="90">
        <v>336.0</v>
      </c>
      <c r="C310" s="91" t="s">
        <v>2001</v>
      </c>
      <c r="D310" s="97"/>
      <c r="E310" s="93" t="s">
        <v>1505</v>
      </c>
      <c r="F310" s="91" t="s">
        <v>1504</v>
      </c>
      <c r="G310" s="38" t="s">
        <v>1505</v>
      </c>
      <c r="I310" s="38" t="s">
        <v>2002</v>
      </c>
    </row>
    <row r="311">
      <c r="A311" s="90">
        <v>337.0</v>
      </c>
      <c r="B311" s="90">
        <v>337.0</v>
      </c>
      <c r="C311" s="91" t="s">
        <v>2003</v>
      </c>
      <c r="D311" s="97"/>
      <c r="E311" s="94" t="s">
        <v>1627</v>
      </c>
      <c r="F311" s="91" t="s">
        <v>1504</v>
      </c>
    </row>
    <row r="312">
      <c r="A312" s="90">
        <v>338.0</v>
      </c>
      <c r="B312" s="90">
        <v>338.0</v>
      </c>
      <c r="C312" s="91" t="s">
        <v>2004</v>
      </c>
      <c r="D312" s="97"/>
      <c r="E312" s="94" t="s">
        <v>1627</v>
      </c>
      <c r="F312" s="91" t="s">
        <v>1504</v>
      </c>
    </row>
    <row r="313">
      <c r="A313" s="90">
        <v>339.0</v>
      </c>
      <c r="B313" s="90">
        <v>339.0</v>
      </c>
      <c r="C313" s="91" t="s">
        <v>2005</v>
      </c>
      <c r="D313" s="97"/>
      <c r="E313" s="93" t="s">
        <v>1505</v>
      </c>
      <c r="F313" s="91" t="s">
        <v>1504</v>
      </c>
      <c r="G313" s="38" t="s">
        <v>1505</v>
      </c>
      <c r="I313" s="38" t="s">
        <v>2006</v>
      </c>
    </row>
    <row r="314">
      <c r="A314" s="90">
        <v>340.0</v>
      </c>
      <c r="B314" s="90">
        <v>340.0</v>
      </c>
      <c r="C314" s="91" t="s">
        <v>2007</v>
      </c>
      <c r="D314" s="97"/>
      <c r="E314" s="94" t="s">
        <v>1627</v>
      </c>
      <c r="F314" s="91" t="s">
        <v>1504</v>
      </c>
    </row>
    <row r="315">
      <c r="A315" s="90">
        <v>341.0</v>
      </c>
      <c r="B315" s="90">
        <v>341.0</v>
      </c>
      <c r="C315" s="91" t="s">
        <v>2008</v>
      </c>
      <c r="D315" s="97"/>
      <c r="E315" s="94" t="s">
        <v>1627</v>
      </c>
      <c r="F315" s="91" t="s">
        <v>1504</v>
      </c>
    </row>
    <row r="316">
      <c r="A316" s="90">
        <v>342.0</v>
      </c>
      <c r="B316" s="90">
        <v>342.0</v>
      </c>
      <c r="C316" s="91" t="s">
        <v>2009</v>
      </c>
      <c r="D316" s="97"/>
      <c r="E316" s="94" t="s">
        <v>1627</v>
      </c>
      <c r="F316" s="91" t="s">
        <v>1504</v>
      </c>
    </row>
    <row r="317">
      <c r="A317" s="90">
        <v>343.0</v>
      </c>
      <c r="B317" s="90">
        <v>343.0</v>
      </c>
      <c r="C317" s="91" t="s">
        <v>2010</v>
      </c>
      <c r="D317" s="97"/>
      <c r="E317" s="93" t="s">
        <v>1505</v>
      </c>
      <c r="F317" s="91" t="s">
        <v>1504</v>
      </c>
      <c r="G317" s="38" t="s">
        <v>1505</v>
      </c>
      <c r="I317" s="38" t="s">
        <v>2011</v>
      </c>
    </row>
    <row r="318">
      <c r="A318" s="90">
        <v>344.0</v>
      </c>
      <c r="B318" s="90">
        <v>344.0</v>
      </c>
      <c r="C318" s="91" t="s">
        <v>2012</v>
      </c>
      <c r="D318" s="97"/>
      <c r="E318" s="93" t="s">
        <v>1505</v>
      </c>
      <c r="F318" s="91" t="s">
        <v>1504</v>
      </c>
      <c r="G318" s="38" t="s">
        <v>1505</v>
      </c>
      <c r="I318" s="38" t="s">
        <v>2013</v>
      </c>
    </row>
    <row r="319">
      <c r="A319" s="90">
        <v>345.0</v>
      </c>
      <c r="B319" s="90">
        <v>345.0</v>
      </c>
      <c r="C319" s="91" t="s">
        <v>2014</v>
      </c>
      <c r="D319" s="97"/>
      <c r="E319" s="93" t="s">
        <v>1505</v>
      </c>
      <c r="F319" s="91" t="s">
        <v>1504</v>
      </c>
      <c r="G319" s="38" t="s">
        <v>1505</v>
      </c>
      <c r="I319" s="38" t="s">
        <v>2015</v>
      </c>
    </row>
    <row r="320">
      <c r="A320" s="90">
        <v>346.0</v>
      </c>
      <c r="B320" s="90">
        <v>346.0</v>
      </c>
      <c r="C320" s="91" t="s">
        <v>2016</v>
      </c>
      <c r="D320" s="97"/>
      <c r="E320" s="93" t="s">
        <v>1505</v>
      </c>
      <c r="F320" s="91" t="s">
        <v>1504</v>
      </c>
      <c r="G320" s="38" t="s">
        <v>1505</v>
      </c>
      <c r="I320" s="38" t="s">
        <v>2017</v>
      </c>
    </row>
    <row r="321">
      <c r="A321" s="90">
        <v>347.0</v>
      </c>
      <c r="B321" s="90">
        <v>347.0</v>
      </c>
      <c r="C321" s="91" t="s">
        <v>2018</v>
      </c>
      <c r="D321" s="97"/>
      <c r="E321" s="93" t="s">
        <v>1505</v>
      </c>
      <c r="F321" s="91" t="s">
        <v>1504</v>
      </c>
      <c r="G321" s="38" t="s">
        <v>1505</v>
      </c>
      <c r="I321" s="38" t="s">
        <v>2019</v>
      </c>
    </row>
    <row r="322">
      <c r="A322" s="90">
        <v>348.0</v>
      </c>
      <c r="B322" s="90">
        <v>348.0</v>
      </c>
      <c r="C322" s="95">
        <v>44928.36918981482</v>
      </c>
      <c r="D322" s="97"/>
      <c r="E322" s="94" t="s">
        <v>1627</v>
      </c>
      <c r="F322" s="91" t="s">
        <v>1504</v>
      </c>
    </row>
    <row r="323">
      <c r="A323" s="90">
        <v>349.0</v>
      </c>
      <c r="B323" s="90">
        <v>349.0</v>
      </c>
      <c r="C323" s="95">
        <v>44959.31886574074</v>
      </c>
      <c r="D323" s="97"/>
      <c r="E323" s="94" t="s">
        <v>1627</v>
      </c>
      <c r="F323" s="91" t="s">
        <v>1504</v>
      </c>
    </row>
    <row r="324">
      <c r="A324" s="90">
        <v>350.0</v>
      </c>
      <c r="B324" s="90">
        <v>350.0</v>
      </c>
      <c r="C324" s="95">
        <v>45079.287881944445</v>
      </c>
      <c r="D324" s="97"/>
      <c r="E324" s="94" t="s">
        <v>1627</v>
      </c>
      <c r="F324" s="91" t="s">
        <v>1504</v>
      </c>
    </row>
    <row r="325">
      <c r="A325" s="90">
        <v>351.0</v>
      </c>
      <c r="B325" s="90">
        <v>351.0</v>
      </c>
      <c r="C325" s="95">
        <v>45079.295694444445</v>
      </c>
      <c r="D325" s="97"/>
      <c r="E325" s="94" t="s">
        <v>1627</v>
      </c>
      <c r="F325" s="91" t="s">
        <v>1504</v>
      </c>
    </row>
    <row r="326">
      <c r="A326" s="90">
        <v>352.0</v>
      </c>
      <c r="B326" s="90">
        <v>352.0</v>
      </c>
      <c r="C326" s="95">
        <v>45079.29640046296</v>
      </c>
      <c r="D326" s="97"/>
      <c r="E326" s="94" t="s">
        <v>1627</v>
      </c>
      <c r="F326" s="91" t="s">
        <v>1504</v>
      </c>
    </row>
    <row r="327">
      <c r="A327" s="90">
        <v>353.0</v>
      </c>
      <c r="B327" s="90">
        <v>353.0</v>
      </c>
      <c r="C327" s="95">
        <v>45171.26415509259</v>
      </c>
      <c r="D327" s="97"/>
      <c r="E327" s="94" t="s">
        <v>1627</v>
      </c>
      <c r="F327" s="91" t="s">
        <v>1504</v>
      </c>
    </row>
    <row r="328">
      <c r="A328" s="90">
        <v>354.0</v>
      </c>
      <c r="B328" s="90">
        <v>354.0</v>
      </c>
      <c r="C328" s="95">
        <v>45201.367106481484</v>
      </c>
      <c r="D328" s="97"/>
      <c r="E328" s="94" t="s">
        <v>1627</v>
      </c>
      <c r="F328" s="91" t="s">
        <v>1504</v>
      </c>
    </row>
    <row r="329">
      <c r="A329" s="90">
        <v>355.0</v>
      </c>
      <c r="B329" s="90">
        <v>355.0</v>
      </c>
      <c r="C329" s="95">
        <v>45201.558912037035</v>
      </c>
      <c r="D329" s="97"/>
      <c r="E329" s="94" t="s">
        <v>1627</v>
      </c>
      <c r="F329" s="91" t="s">
        <v>1504</v>
      </c>
    </row>
    <row r="330">
      <c r="A330" s="90">
        <v>356.0</v>
      </c>
      <c r="B330" s="90">
        <v>356.0</v>
      </c>
      <c r="C330" s="91" t="s">
        <v>2020</v>
      </c>
      <c r="D330" s="97"/>
      <c r="E330" s="94" t="s">
        <v>1627</v>
      </c>
      <c r="F330" s="91" t="s">
        <v>1504</v>
      </c>
    </row>
    <row r="331">
      <c r="A331" s="90">
        <v>357.0</v>
      </c>
      <c r="B331" s="90">
        <v>357.0</v>
      </c>
      <c r="C331" s="91" t="s">
        <v>2021</v>
      </c>
      <c r="D331" s="97"/>
      <c r="E331" s="93" t="s">
        <v>1505</v>
      </c>
      <c r="F331" s="91" t="s">
        <v>1504</v>
      </c>
      <c r="G331" s="38" t="s">
        <v>1505</v>
      </c>
      <c r="I331" s="38" t="s">
        <v>2022</v>
      </c>
    </row>
    <row r="332">
      <c r="A332" s="90">
        <v>358.0</v>
      </c>
      <c r="B332" s="90">
        <v>358.0</v>
      </c>
      <c r="C332" s="91" t="s">
        <v>2023</v>
      </c>
      <c r="D332" s="97"/>
      <c r="E332" s="94" t="s">
        <v>1627</v>
      </c>
      <c r="F332" s="91" t="s">
        <v>1504</v>
      </c>
    </row>
    <row r="333">
      <c r="A333" s="90">
        <v>359.0</v>
      </c>
      <c r="B333" s="90">
        <v>359.0</v>
      </c>
      <c r="C333" s="91" t="s">
        <v>2024</v>
      </c>
      <c r="D333" s="97"/>
      <c r="E333" s="93" t="s">
        <v>1505</v>
      </c>
      <c r="F333" s="91" t="s">
        <v>1504</v>
      </c>
      <c r="G333" s="38" t="s">
        <v>1505</v>
      </c>
      <c r="I333" s="38" t="s">
        <v>2025</v>
      </c>
    </row>
    <row r="334">
      <c r="A334" s="90">
        <v>360.0</v>
      </c>
      <c r="B334" s="90">
        <v>360.0</v>
      </c>
      <c r="C334" s="91" t="s">
        <v>2026</v>
      </c>
      <c r="D334" s="97"/>
      <c r="E334" s="93" t="s">
        <v>1505</v>
      </c>
      <c r="F334" s="91" t="s">
        <v>1504</v>
      </c>
      <c r="G334" s="38" t="s">
        <v>1505</v>
      </c>
      <c r="I334" s="38" t="s">
        <v>2027</v>
      </c>
    </row>
    <row r="335">
      <c r="A335" s="90">
        <v>361.0</v>
      </c>
      <c r="B335" s="90">
        <v>361.0</v>
      </c>
      <c r="C335" s="91" t="s">
        <v>2028</v>
      </c>
      <c r="D335" s="97"/>
      <c r="E335" s="94" t="s">
        <v>1627</v>
      </c>
      <c r="F335" s="91" t="s">
        <v>1504</v>
      </c>
    </row>
    <row r="336">
      <c r="A336" s="90">
        <v>362.0</v>
      </c>
      <c r="B336" s="90">
        <v>362.0</v>
      </c>
      <c r="C336" s="91" t="s">
        <v>2029</v>
      </c>
      <c r="D336" s="97"/>
      <c r="E336" s="94" t="s">
        <v>1627</v>
      </c>
      <c r="F336" s="91" t="s">
        <v>1504</v>
      </c>
    </row>
    <row r="337">
      <c r="A337" s="90">
        <v>363.0</v>
      </c>
      <c r="B337" s="90">
        <v>363.0</v>
      </c>
      <c r="C337" s="91" t="s">
        <v>2030</v>
      </c>
      <c r="D337" s="97"/>
      <c r="E337" s="94" t="s">
        <v>1627</v>
      </c>
      <c r="F337" s="91" t="s">
        <v>1504</v>
      </c>
    </row>
    <row r="338">
      <c r="A338" s="90">
        <v>364.0</v>
      </c>
      <c r="B338" s="90">
        <v>364.0</v>
      </c>
      <c r="C338" s="91" t="s">
        <v>2031</v>
      </c>
      <c r="D338" s="97"/>
      <c r="E338" s="93" t="s">
        <v>1505</v>
      </c>
      <c r="F338" s="91" t="s">
        <v>1504</v>
      </c>
      <c r="G338" s="38" t="s">
        <v>1505</v>
      </c>
      <c r="I338" s="38" t="s">
        <v>2032</v>
      </c>
    </row>
    <row r="339">
      <c r="A339" s="90">
        <v>365.0</v>
      </c>
      <c r="B339" s="90">
        <v>365.0</v>
      </c>
      <c r="C339" s="91" t="s">
        <v>2033</v>
      </c>
      <c r="D339" s="97"/>
      <c r="E339" s="93" t="s">
        <v>1505</v>
      </c>
      <c r="F339" s="91" t="s">
        <v>1504</v>
      </c>
      <c r="G339" s="38" t="s">
        <v>1505</v>
      </c>
      <c r="I339" s="38" t="s">
        <v>2034</v>
      </c>
    </row>
    <row r="340">
      <c r="A340" s="90">
        <v>366.0</v>
      </c>
      <c r="B340" s="90">
        <v>366.0</v>
      </c>
      <c r="C340" s="91" t="s">
        <v>2035</v>
      </c>
      <c r="D340" s="97"/>
      <c r="E340" s="94" t="s">
        <v>1627</v>
      </c>
      <c r="F340" s="91" t="s">
        <v>1504</v>
      </c>
    </row>
    <row r="341">
      <c r="A341" s="90">
        <v>367.0</v>
      </c>
      <c r="B341" s="90">
        <v>367.0</v>
      </c>
      <c r="C341" s="91" t="s">
        <v>2036</v>
      </c>
      <c r="D341" s="97"/>
      <c r="E341" s="94" t="s">
        <v>1627</v>
      </c>
      <c r="F341" s="91" t="s">
        <v>1504</v>
      </c>
    </row>
    <row r="342">
      <c r="A342" s="90">
        <v>368.0</v>
      </c>
      <c r="B342" s="90">
        <v>368.0</v>
      </c>
      <c r="C342" s="91" t="s">
        <v>2037</v>
      </c>
      <c r="D342" s="97"/>
      <c r="E342" s="94" t="s">
        <v>1627</v>
      </c>
      <c r="F342" s="91" t="s">
        <v>1504</v>
      </c>
    </row>
    <row r="343">
      <c r="A343" s="90">
        <v>369.0</v>
      </c>
      <c r="B343" s="90">
        <v>369.0</v>
      </c>
      <c r="C343" s="95">
        <v>44988.342777777776</v>
      </c>
      <c r="D343" s="97"/>
      <c r="E343" s="94" t="s">
        <v>1627</v>
      </c>
      <c r="F343" s="91" t="s">
        <v>1504</v>
      </c>
    </row>
    <row r="344">
      <c r="A344" s="90">
        <v>370.0</v>
      </c>
      <c r="B344" s="90">
        <v>370.0</v>
      </c>
      <c r="C344" s="95">
        <v>45080.33673611111</v>
      </c>
      <c r="D344" s="97"/>
      <c r="E344" s="94" t="s">
        <v>1627</v>
      </c>
      <c r="F344" s="91" t="s">
        <v>1504</v>
      </c>
    </row>
    <row r="345">
      <c r="A345" s="90">
        <v>371.0</v>
      </c>
      <c r="B345" s="90">
        <v>371.0</v>
      </c>
      <c r="C345" s="95">
        <v>45080.388645833336</v>
      </c>
      <c r="D345" s="97"/>
      <c r="E345" s="94" t="s">
        <v>1627</v>
      </c>
      <c r="F345" s="91" t="s">
        <v>1504</v>
      </c>
    </row>
    <row r="346">
      <c r="A346" s="90">
        <v>372.0</v>
      </c>
      <c r="B346" s="90">
        <v>372.0</v>
      </c>
      <c r="C346" s="95">
        <v>45080.56831018518</v>
      </c>
      <c r="D346" s="97"/>
      <c r="E346" s="94" t="s">
        <v>1627</v>
      </c>
      <c r="F346" s="91" t="s">
        <v>1504</v>
      </c>
    </row>
    <row r="347">
      <c r="A347" s="90">
        <v>373.0</v>
      </c>
      <c r="B347" s="90">
        <v>373.0</v>
      </c>
      <c r="C347" s="95">
        <v>45110.33619212963</v>
      </c>
      <c r="D347" s="97"/>
      <c r="E347" s="94" t="s">
        <v>1627</v>
      </c>
      <c r="F347" s="91" t="s">
        <v>1504</v>
      </c>
    </row>
    <row r="348">
      <c r="A348" s="90">
        <v>374.0</v>
      </c>
      <c r="B348" s="90">
        <v>374.0</v>
      </c>
      <c r="C348" s="95">
        <v>45110.3603125</v>
      </c>
      <c r="D348" s="97"/>
      <c r="E348" s="94" t="s">
        <v>1627</v>
      </c>
      <c r="F348" s="91" t="s">
        <v>1504</v>
      </c>
    </row>
    <row r="349">
      <c r="A349" s="90">
        <v>375.0</v>
      </c>
      <c r="B349" s="90">
        <v>375.0</v>
      </c>
      <c r="C349" s="95">
        <v>45110.4194212963</v>
      </c>
      <c r="D349" s="97"/>
      <c r="E349" s="94" t="s">
        <v>1627</v>
      </c>
      <c r="F349" s="91" t="s">
        <v>1504</v>
      </c>
    </row>
    <row r="350">
      <c r="A350" s="90">
        <v>376.0</v>
      </c>
      <c r="B350" s="90">
        <v>376.0</v>
      </c>
      <c r="C350" s="91" t="s">
        <v>2038</v>
      </c>
      <c r="D350" s="97"/>
      <c r="E350" s="94" t="s">
        <v>1627</v>
      </c>
      <c r="F350" s="91" t="s">
        <v>1504</v>
      </c>
    </row>
    <row r="351">
      <c r="A351" s="90">
        <v>377.0</v>
      </c>
      <c r="B351" s="90">
        <v>377.0</v>
      </c>
      <c r="C351" s="91" t="s">
        <v>2039</v>
      </c>
      <c r="D351" s="97"/>
      <c r="E351" s="94" t="s">
        <v>1627</v>
      </c>
      <c r="F351" s="91" t="s">
        <v>1504</v>
      </c>
    </row>
    <row r="352">
      <c r="A352" s="90">
        <v>378.0</v>
      </c>
      <c r="B352" s="90">
        <v>378.0</v>
      </c>
      <c r="C352" s="91" t="s">
        <v>2040</v>
      </c>
      <c r="D352" s="97"/>
      <c r="E352" s="94" t="s">
        <v>1627</v>
      </c>
      <c r="F352" s="91" t="s">
        <v>1504</v>
      </c>
    </row>
    <row r="353">
      <c r="A353" s="90">
        <v>379.0</v>
      </c>
      <c r="B353" s="90">
        <v>379.0</v>
      </c>
      <c r="C353" s="91" t="s">
        <v>2041</v>
      </c>
      <c r="D353" s="97"/>
      <c r="E353" s="94" t="s">
        <v>1627</v>
      </c>
      <c r="F353" s="91" t="s">
        <v>1504</v>
      </c>
    </row>
    <row r="354">
      <c r="A354" s="90">
        <v>380.0</v>
      </c>
      <c r="B354" s="90">
        <v>380.0</v>
      </c>
      <c r="C354" s="91" t="s">
        <v>2042</v>
      </c>
      <c r="D354" s="97"/>
      <c r="E354" s="94" t="s">
        <v>1627</v>
      </c>
      <c r="F354" s="91" t="s">
        <v>1504</v>
      </c>
    </row>
    <row r="355">
      <c r="A355" s="90">
        <v>381.0</v>
      </c>
      <c r="B355" s="90">
        <v>381.0</v>
      </c>
      <c r="C355" s="91" t="s">
        <v>2043</v>
      </c>
      <c r="D355" s="97"/>
      <c r="E355" s="94" t="s">
        <v>1627</v>
      </c>
      <c r="F355" s="91" t="s">
        <v>1504</v>
      </c>
    </row>
    <row r="356">
      <c r="A356" s="90">
        <v>382.0</v>
      </c>
      <c r="B356" s="90">
        <v>382.0</v>
      </c>
      <c r="C356" s="91" t="s">
        <v>2044</v>
      </c>
      <c r="D356" s="97"/>
      <c r="E356" s="92" t="s">
        <v>1621</v>
      </c>
      <c r="F356" s="91" t="s">
        <v>1504</v>
      </c>
      <c r="G356" s="38" t="s">
        <v>1621</v>
      </c>
      <c r="I356" s="38" t="s">
        <v>2045</v>
      </c>
    </row>
    <row r="357">
      <c r="A357" s="90">
        <v>383.0</v>
      </c>
      <c r="B357" s="90">
        <v>383.0</v>
      </c>
      <c r="C357" s="91" t="s">
        <v>2046</v>
      </c>
      <c r="D357" s="97"/>
      <c r="E357" s="94" t="s">
        <v>1627</v>
      </c>
      <c r="F357" s="91" t="s">
        <v>1504</v>
      </c>
    </row>
    <row r="358">
      <c r="A358" s="90">
        <v>384.0</v>
      </c>
      <c r="B358" s="90">
        <v>384.0</v>
      </c>
      <c r="C358" s="91" t="s">
        <v>2047</v>
      </c>
      <c r="D358" s="97"/>
      <c r="E358" s="94" t="s">
        <v>1627</v>
      </c>
      <c r="F358" s="91" t="s">
        <v>1504</v>
      </c>
    </row>
    <row r="359">
      <c r="A359" s="90">
        <v>385.0</v>
      </c>
      <c r="B359" s="90">
        <v>385.0</v>
      </c>
      <c r="C359" s="91" t="s">
        <v>2048</v>
      </c>
      <c r="D359" s="97"/>
      <c r="E359" s="94" t="s">
        <v>1627</v>
      </c>
      <c r="F359" s="91" t="s">
        <v>1504</v>
      </c>
    </row>
    <row r="360">
      <c r="A360" s="90">
        <v>386.0</v>
      </c>
      <c r="B360" s="90">
        <v>386.0</v>
      </c>
      <c r="C360" s="91" t="s">
        <v>2049</v>
      </c>
      <c r="D360" s="97"/>
      <c r="E360" s="94" t="s">
        <v>1627</v>
      </c>
      <c r="F360" s="91" t="s">
        <v>1504</v>
      </c>
    </row>
    <row r="361">
      <c r="A361" s="90">
        <v>387.0</v>
      </c>
      <c r="B361" s="90">
        <v>387.0</v>
      </c>
      <c r="C361" s="91" t="s">
        <v>2050</v>
      </c>
      <c r="D361" s="97"/>
      <c r="E361" s="93" t="s">
        <v>1505</v>
      </c>
      <c r="F361" s="91" t="s">
        <v>1504</v>
      </c>
      <c r="G361" s="38" t="s">
        <v>1505</v>
      </c>
      <c r="H361" s="38" t="s">
        <v>2051</v>
      </c>
      <c r="I361" s="38" t="s">
        <v>2052</v>
      </c>
    </row>
    <row r="362">
      <c r="A362" s="90">
        <v>388.0</v>
      </c>
      <c r="B362" s="90">
        <v>388.0</v>
      </c>
      <c r="C362" s="91" t="s">
        <v>2053</v>
      </c>
      <c r="D362" s="97"/>
      <c r="E362" s="93" t="s">
        <v>1505</v>
      </c>
      <c r="F362" s="91" t="s">
        <v>1504</v>
      </c>
      <c r="G362" s="38" t="s">
        <v>1505</v>
      </c>
      <c r="I362" s="38" t="s">
        <v>2054</v>
      </c>
    </row>
    <row r="363">
      <c r="A363" s="90">
        <v>389.0</v>
      </c>
      <c r="B363" s="90">
        <v>389.0</v>
      </c>
      <c r="C363" s="91" t="s">
        <v>2055</v>
      </c>
      <c r="D363" s="97"/>
      <c r="E363" s="94" t="s">
        <v>1627</v>
      </c>
      <c r="F363" s="91" t="s">
        <v>1504</v>
      </c>
    </row>
    <row r="364">
      <c r="A364" s="90">
        <v>390.0</v>
      </c>
      <c r="B364" s="90">
        <v>390.0</v>
      </c>
      <c r="C364" s="91" t="s">
        <v>2056</v>
      </c>
      <c r="D364" s="97"/>
      <c r="E364" s="93" t="s">
        <v>1505</v>
      </c>
      <c r="F364" s="91" t="s">
        <v>1504</v>
      </c>
      <c r="G364" s="38" t="s">
        <v>1505</v>
      </c>
      <c r="I364" s="38" t="s">
        <v>2057</v>
      </c>
    </row>
    <row r="365">
      <c r="A365" s="90">
        <v>391.0</v>
      </c>
      <c r="B365" s="90">
        <v>391.0</v>
      </c>
      <c r="C365" s="95">
        <v>44989.285833333335</v>
      </c>
      <c r="D365" s="97"/>
      <c r="E365" s="93" t="s">
        <v>1505</v>
      </c>
      <c r="F365" s="91" t="s">
        <v>1504</v>
      </c>
      <c r="G365" s="38" t="s">
        <v>1505</v>
      </c>
      <c r="I365" s="96">
        <v>44989.28780092593</v>
      </c>
    </row>
    <row r="366">
      <c r="A366" s="90">
        <v>392.0</v>
      </c>
      <c r="B366" s="90">
        <v>392.0</v>
      </c>
      <c r="C366" s="95">
        <v>44989.40704861111</v>
      </c>
      <c r="D366" s="97"/>
      <c r="E366" s="94" t="s">
        <v>1627</v>
      </c>
      <c r="F366" s="91" t="s">
        <v>1504</v>
      </c>
    </row>
    <row r="367">
      <c r="A367" s="90">
        <v>393.0</v>
      </c>
      <c r="B367" s="90">
        <v>393.0</v>
      </c>
      <c r="C367" s="95">
        <v>45020.37372685185</v>
      </c>
      <c r="D367" s="97"/>
      <c r="E367" s="94" t="s">
        <v>1627</v>
      </c>
      <c r="F367" s="91" t="s">
        <v>1504</v>
      </c>
    </row>
    <row r="368">
      <c r="A368" s="90">
        <v>394.0</v>
      </c>
      <c r="B368" s="90">
        <v>394.0</v>
      </c>
      <c r="C368" s="95">
        <v>45020.53023148148</v>
      </c>
      <c r="D368" s="97"/>
      <c r="E368" s="94" t="s">
        <v>1627</v>
      </c>
      <c r="F368" s="91" t="s">
        <v>1504</v>
      </c>
    </row>
    <row r="369">
      <c r="A369" s="90">
        <v>395.0</v>
      </c>
      <c r="B369" s="90">
        <v>395.0</v>
      </c>
      <c r="C369" s="95">
        <v>45020.556608796294</v>
      </c>
      <c r="D369" s="97"/>
      <c r="E369" s="94" t="s">
        <v>1627</v>
      </c>
      <c r="F369" s="91" t="s">
        <v>1504</v>
      </c>
    </row>
    <row r="370">
      <c r="A370" s="90">
        <v>396.0</v>
      </c>
      <c r="B370" s="90">
        <v>396.0</v>
      </c>
      <c r="C370" s="95">
        <v>45020.694756944446</v>
      </c>
      <c r="D370" s="97"/>
      <c r="E370" s="93" t="s">
        <v>1505</v>
      </c>
      <c r="F370" s="91" t="s">
        <v>1504</v>
      </c>
      <c r="G370" s="38" t="s">
        <v>1505</v>
      </c>
      <c r="I370" s="96">
        <v>45020.206238425926</v>
      </c>
    </row>
    <row r="371">
      <c r="A371" s="90">
        <v>397.0</v>
      </c>
      <c r="B371" s="90">
        <v>397.0</v>
      </c>
      <c r="C371" s="95">
        <v>45081.29986111111</v>
      </c>
      <c r="D371" s="97"/>
      <c r="E371" s="94" t="s">
        <v>1627</v>
      </c>
      <c r="F371" s="91" t="s">
        <v>1504</v>
      </c>
    </row>
    <row r="372">
      <c r="A372" s="90">
        <v>398.0</v>
      </c>
      <c r="B372" s="90">
        <v>398.0</v>
      </c>
      <c r="C372" s="95">
        <v>45081.33540509259</v>
      </c>
      <c r="D372" s="97"/>
      <c r="E372" s="93" t="s">
        <v>1505</v>
      </c>
      <c r="F372" s="91" t="s">
        <v>1504</v>
      </c>
      <c r="G372" s="38" t="s">
        <v>1505</v>
      </c>
      <c r="I372" s="96">
        <v>45081.428506944445</v>
      </c>
    </row>
    <row r="373">
      <c r="A373" s="90">
        <v>399.0</v>
      </c>
      <c r="B373" s="90">
        <v>399.0</v>
      </c>
      <c r="C373" s="95">
        <v>45081.576365740744</v>
      </c>
      <c r="D373" s="97"/>
      <c r="E373" s="94" t="s">
        <v>1627</v>
      </c>
      <c r="F373" s="91" t="s">
        <v>1504</v>
      </c>
    </row>
    <row r="374">
      <c r="A374" s="90">
        <v>400.0</v>
      </c>
      <c r="B374" s="90">
        <v>400.0</v>
      </c>
      <c r="C374" s="95">
        <v>45234.26215277778</v>
      </c>
      <c r="D374" s="97"/>
      <c r="E374" s="93" t="s">
        <v>1505</v>
      </c>
      <c r="F374" s="91" t="s">
        <v>1504</v>
      </c>
      <c r="G374" s="38" t="s">
        <v>1505</v>
      </c>
      <c r="I374" s="96">
        <v>45234.26528935185</v>
      </c>
    </row>
    <row r="375">
      <c r="A375" s="90">
        <v>401.0</v>
      </c>
      <c r="B375" s="90">
        <v>401.0</v>
      </c>
      <c r="C375" s="95">
        <v>45234.315567129626</v>
      </c>
      <c r="D375" s="97"/>
      <c r="E375" s="93" t="s">
        <v>1505</v>
      </c>
      <c r="F375" s="91" t="s">
        <v>1504</v>
      </c>
      <c r="G375" s="38" t="s">
        <v>1505</v>
      </c>
      <c r="I375" s="96">
        <v>45234.330416666664</v>
      </c>
    </row>
    <row r="376">
      <c r="A376" s="90">
        <v>402.0</v>
      </c>
      <c r="B376" s="90">
        <v>402.0</v>
      </c>
      <c r="C376" s="95">
        <v>45234.39824074074</v>
      </c>
      <c r="D376" s="97"/>
      <c r="E376" s="93" t="s">
        <v>1505</v>
      </c>
      <c r="F376" s="91" t="s">
        <v>1504</v>
      </c>
      <c r="G376" s="38" t="s">
        <v>1505</v>
      </c>
      <c r="I376" s="96">
        <v>45234.41337962963</v>
      </c>
    </row>
    <row r="377">
      <c r="A377" s="90">
        <v>403.0</v>
      </c>
      <c r="B377" s="90">
        <v>403.0</v>
      </c>
      <c r="C377" s="95">
        <v>45234.558287037034</v>
      </c>
      <c r="D377" s="97"/>
      <c r="E377" s="94" t="s">
        <v>1627</v>
      </c>
      <c r="F377" s="91" t="s">
        <v>1504</v>
      </c>
    </row>
    <row r="378">
      <c r="A378" s="90">
        <v>404.0</v>
      </c>
      <c r="B378" s="90">
        <v>404.0</v>
      </c>
      <c r="C378" s="95">
        <v>45264.53423611111</v>
      </c>
      <c r="D378" s="97"/>
      <c r="E378" s="93" t="s">
        <v>1505</v>
      </c>
      <c r="F378" s="91" t="s">
        <v>1504</v>
      </c>
      <c r="G378" s="38" t="s">
        <v>1505</v>
      </c>
      <c r="I378" s="96">
        <v>45264.53653935185</v>
      </c>
    </row>
    <row r="379">
      <c r="A379" s="90">
        <v>405.0</v>
      </c>
      <c r="B379" s="90">
        <v>405.0</v>
      </c>
      <c r="C379" s="91" t="s">
        <v>2058</v>
      </c>
      <c r="D379" s="97"/>
      <c r="E379" s="93" t="s">
        <v>1505</v>
      </c>
      <c r="F379" s="91" t="s">
        <v>1504</v>
      </c>
      <c r="G379" s="38" t="s">
        <v>1505</v>
      </c>
      <c r="I379" s="38" t="s">
        <v>2059</v>
      </c>
    </row>
    <row r="380">
      <c r="A380" s="90">
        <v>406.0</v>
      </c>
      <c r="B380" s="90">
        <v>406.0</v>
      </c>
      <c r="C380" s="91" t="s">
        <v>2060</v>
      </c>
      <c r="D380" s="97"/>
      <c r="E380" s="93" t="s">
        <v>1505</v>
      </c>
      <c r="F380" s="91" t="s">
        <v>1504</v>
      </c>
      <c r="G380" s="38" t="s">
        <v>1505</v>
      </c>
      <c r="I380" s="38" t="s">
        <v>2061</v>
      </c>
    </row>
    <row r="381">
      <c r="A381" s="90">
        <v>407.0</v>
      </c>
      <c r="B381" s="90">
        <v>407.0</v>
      </c>
      <c r="C381" s="91" t="s">
        <v>2062</v>
      </c>
      <c r="D381" s="97"/>
      <c r="E381" s="94" t="s">
        <v>1627</v>
      </c>
      <c r="F381" s="91" t="s">
        <v>1504</v>
      </c>
    </row>
    <row r="382">
      <c r="A382" s="90">
        <v>408.0</v>
      </c>
      <c r="B382" s="90">
        <v>408.0</v>
      </c>
      <c r="C382" s="91" t="s">
        <v>2063</v>
      </c>
      <c r="D382" s="97"/>
      <c r="E382" s="94" t="s">
        <v>1627</v>
      </c>
      <c r="F382" s="91" t="s">
        <v>1504</v>
      </c>
    </row>
    <row r="383">
      <c r="A383" s="90">
        <v>409.0</v>
      </c>
      <c r="B383" s="90">
        <v>409.0</v>
      </c>
      <c r="C383" s="91" t="s">
        <v>2064</v>
      </c>
      <c r="D383" s="97"/>
      <c r="E383" s="93" t="s">
        <v>1505</v>
      </c>
      <c r="F383" s="91" t="s">
        <v>1504</v>
      </c>
      <c r="G383" s="38" t="s">
        <v>1505</v>
      </c>
      <c r="H383" s="38" t="s">
        <v>2065</v>
      </c>
      <c r="I383" s="38" t="s">
        <v>2066</v>
      </c>
    </row>
    <row r="384">
      <c r="A384" s="90">
        <v>410.0</v>
      </c>
      <c r="B384" s="90">
        <v>410.0</v>
      </c>
      <c r="C384" s="91" t="s">
        <v>2067</v>
      </c>
      <c r="D384" s="97"/>
      <c r="E384" s="93" t="s">
        <v>1505</v>
      </c>
      <c r="F384" s="91" t="s">
        <v>1504</v>
      </c>
      <c r="G384" s="38" t="s">
        <v>1505</v>
      </c>
      <c r="I384" s="38" t="s">
        <v>2068</v>
      </c>
    </row>
    <row r="385">
      <c r="A385" s="90">
        <v>411.0</v>
      </c>
      <c r="B385" s="90">
        <v>411.0</v>
      </c>
      <c r="C385" s="91" t="s">
        <v>2069</v>
      </c>
      <c r="D385" s="97"/>
      <c r="E385" s="94" t="s">
        <v>1627</v>
      </c>
      <c r="F385" s="91" t="s">
        <v>1504</v>
      </c>
    </row>
    <row r="386">
      <c r="A386" s="90">
        <v>412.0</v>
      </c>
      <c r="B386" s="90">
        <v>412.0</v>
      </c>
      <c r="C386" s="91" t="s">
        <v>2070</v>
      </c>
      <c r="D386" s="97"/>
      <c r="E386" s="94" t="s">
        <v>1627</v>
      </c>
      <c r="F386" s="91" t="s">
        <v>1504</v>
      </c>
    </row>
    <row r="387">
      <c r="A387" s="90">
        <v>413.0</v>
      </c>
      <c r="B387" s="90">
        <v>413.0</v>
      </c>
      <c r="C387" s="91" t="s">
        <v>2071</v>
      </c>
      <c r="D387" s="97"/>
      <c r="E387" s="93" t="s">
        <v>1505</v>
      </c>
      <c r="F387" s="91" t="s">
        <v>1504</v>
      </c>
      <c r="G387" s="38" t="s">
        <v>1505</v>
      </c>
      <c r="I387" s="38" t="s">
        <v>2072</v>
      </c>
    </row>
    <row r="388">
      <c r="A388" s="90">
        <v>414.0</v>
      </c>
      <c r="B388" s="90">
        <v>414.0</v>
      </c>
      <c r="C388" s="91" t="s">
        <v>2073</v>
      </c>
      <c r="D388" s="97"/>
      <c r="E388" s="93" t="s">
        <v>1505</v>
      </c>
      <c r="F388" s="91" t="s">
        <v>1504</v>
      </c>
      <c r="G388" s="38" t="s">
        <v>1505</v>
      </c>
      <c r="I388" s="38" t="s">
        <v>2074</v>
      </c>
    </row>
    <row r="389">
      <c r="A389" s="90">
        <v>415.0</v>
      </c>
      <c r="B389" s="90">
        <v>415.0</v>
      </c>
      <c r="C389" s="91" t="s">
        <v>2075</v>
      </c>
      <c r="D389" s="97"/>
      <c r="E389" s="94" t="s">
        <v>1627</v>
      </c>
      <c r="F389" s="91" t="s">
        <v>1504</v>
      </c>
    </row>
    <row r="390">
      <c r="A390" s="90">
        <v>416.0</v>
      </c>
      <c r="B390" s="90">
        <v>416.0</v>
      </c>
      <c r="C390" s="91" t="s">
        <v>2076</v>
      </c>
      <c r="D390" s="97"/>
      <c r="E390" s="94" t="s">
        <v>1627</v>
      </c>
      <c r="F390" s="91" t="s">
        <v>1504</v>
      </c>
    </row>
    <row r="391">
      <c r="A391" s="90">
        <v>417.0</v>
      </c>
      <c r="B391" s="90">
        <v>417.0</v>
      </c>
      <c r="C391" s="91" t="s">
        <v>2077</v>
      </c>
      <c r="D391" s="97"/>
      <c r="E391" s="94" t="s">
        <v>1627</v>
      </c>
      <c r="F391" s="91" t="s">
        <v>1504</v>
      </c>
    </row>
    <row r="392">
      <c r="A392" s="90">
        <v>418.0</v>
      </c>
      <c r="B392" s="90">
        <v>418.0</v>
      </c>
      <c r="C392" s="91" t="s">
        <v>2078</v>
      </c>
      <c r="D392" s="97"/>
      <c r="E392" s="94" t="s">
        <v>1627</v>
      </c>
      <c r="F392" s="91" t="s">
        <v>1504</v>
      </c>
    </row>
    <row r="393">
      <c r="A393" s="90">
        <v>419.0</v>
      </c>
      <c r="B393" s="90">
        <v>419.0</v>
      </c>
      <c r="C393" s="91" t="s">
        <v>2079</v>
      </c>
      <c r="D393" s="97"/>
      <c r="E393" s="93" t="s">
        <v>1505</v>
      </c>
      <c r="F393" s="91" t="s">
        <v>1504</v>
      </c>
      <c r="G393" s="38" t="s">
        <v>1505</v>
      </c>
      <c r="I393" s="38" t="s">
        <v>2080</v>
      </c>
    </row>
    <row r="394">
      <c r="A394" s="90">
        <v>420.0</v>
      </c>
      <c r="B394" s="90">
        <v>420.0</v>
      </c>
      <c r="C394" s="95">
        <v>44962.340520833335</v>
      </c>
      <c r="D394" s="97"/>
      <c r="E394" s="94" t="s">
        <v>1627</v>
      </c>
      <c r="F394" s="91" t="s">
        <v>1504</v>
      </c>
    </row>
    <row r="395">
      <c r="A395" s="90">
        <v>421.0</v>
      </c>
      <c r="B395" s="90">
        <v>421.0</v>
      </c>
      <c r="C395" s="95">
        <v>44962.413148148145</v>
      </c>
      <c r="D395" s="97"/>
      <c r="E395" s="94" t="s">
        <v>1627</v>
      </c>
      <c r="F395" s="91" t="s">
        <v>1504</v>
      </c>
    </row>
    <row r="396">
      <c r="A396" s="90">
        <v>422.0</v>
      </c>
      <c r="B396" s="90">
        <v>422.0</v>
      </c>
      <c r="C396" s="95">
        <v>44990.26991898148</v>
      </c>
      <c r="D396" s="97"/>
      <c r="E396" s="93" t="s">
        <v>1505</v>
      </c>
      <c r="F396" s="91" t="s">
        <v>1504</v>
      </c>
      <c r="G396" s="38" t="s">
        <v>1505</v>
      </c>
      <c r="I396" s="96">
        <v>44990.284097222226</v>
      </c>
    </row>
    <row r="397">
      <c r="A397" s="90">
        <v>423.0</v>
      </c>
      <c r="B397" s="90">
        <v>423.0</v>
      </c>
      <c r="C397" s="95">
        <v>44990.27658564815</v>
      </c>
      <c r="D397" s="97"/>
      <c r="E397" s="93" t="s">
        <v>1505</v>
      </c>
      <c r="F397" s="91" t="s">
        <v>1504</v>
      </c>
      <c r="G397" s="38" t="s">
        <v>1505</v>
      </c>
      <c r="I397" s="96">
        <v>44990.28121527778</v>
      </c>
    </row>
    <row r="398">
      <c r="A398" s="90">
        <v>424.0</v>
      </c>
      <c r="B398" s="90">
        <v>424.0</v>
      </c>
      <c r="C398" s="95">
        <v>44990.42888888889</v>
      </c>
      <c r="D398" s="97"/>
      <c r="E398" s="93" t="s">
        <v>1505</v>
      </c>
      <c r="F398" s="91" t="s">
        <v>1504</v>
      </c>
      <c r="G398" s="38" t="s">
        <v>1505</v>
      </c>
      <c r="I398" s="96">
        <v>44990.43133101852</v>
      </c>
    </row>
    <row r="399">
      <c r="A399" s="90">
        <v>425.0</v>
      </c>
      <c r="B399" s="90">
        <v>425.0</v>
      </c>
      <c r="C399" s="95">
        <v>45021.538518518515</v>
      </c>
      <c r="D399" s="97"/>
      <c r="E399" s="93" t="s">
        <v>1505</v>
      </c>
      <c r="F399" s="91" t="s">
        <v>1504</v>
      </c>
      <c r="G399" s="38" t="s">
        <v>1505</v>
      </c>
      <c r="I399" s="96">
        <v>45021.069016203706</v>
      </c>
    </row>
    <row r="400">
      <c r="A400" s="90">
        <v>426.0</v>
      </c>
      <c r="B400" s="90">
        <v>426.0</v>
      </c>
      <c r="C400" s="95">
        <v>45143.26866898148</v>
      </c>
      <c r="D400" s="97"/>
      <c r="E400" s="94" t="s">
        <v>1627</v>
      </c>
      <c r="F400" s="91" t="s">
        <v>1504</v>
      </c>
    </row>
    <row r="401">
      <c r="A401" s="90">
        <v>427.0</v>
      </c>
      <c r="B401" s="90">
        <v>427.0</v>
      </c>
      <c r="C401" s="95">
        <v>45204.26228009259</v>
      </c>
      <c r="D401" s="97"/>
      <c r="E401" s="93" t="s">
        <v>1505</v>
      </c>
      <c r="F401" s="91" t="s">
        <v>1504</v>
      </c>
      <c r="G401" s="38" t="s">
        <v>1505</v>
      </c>
      <c r="H401" s="38" t="s">
        <v>2081</v>
      </c>
      <c r="I401" s="96">
        <v>45204.29017361111</v>
      </c>
    </row>
    <row r="402">
      <c r="A402" s="90">
        <v>428.0</v>
      </c>
      <c r="B402" s="90">
        <v>428.0</v>
      </c>
      <c r="C402" s="95">
        <v>45265.45428240741</v>
      </c>
      <c r="D402" s="97"/>
      <c r="E402" s="94" t="s">
        <v>1627</v>
      </c>
      <c r="F402" s="91" t="s">
        <v>1504</v>
      </c>
    </row>
    <row r="403">
      <c r="A403" s="90">
        <v>429.0</v>
      </c>
      <c r="B403" s="90">
        <v>429.0</v>
      </c>
      <c r="C403" s="91" t="s">
        <v>2082</v>
      </c>
      <c r="D403" s="97"/>
      <c r="E403" s="93" t="s">
        <v>1505</v>
      </c>
      <c r="F403" s="91" t="s">
        <v>1504</v>
      </c>
      <c r="G403" s="38" t="s">
        <v>1505</v>
      </c>
      <c r="I403" s="38" t="s">
        <v>2083</v>
      </c>
    </row>
    <row r="404">
      <c r="A404" s="90">
        <v>430.0</v>
      </c>
      <c r="B404" s="90">
        <v>430.0</v>
      </c>
      <c r="C404" s="91" t="s">
        <v>2084</v>
      </c>
      <c r="D404" s="97"/>
      <c r="E404" s="94" t="s">
        <v>1627</v>
      </c>
      <c r="F404" s="91" t="s">
        <v>1504</v>
      </c>
    </row>
    <row r="405">
      <c r="A405" s="90">
        <v>431.0</v>
      </c>
      <c r="B405" s="90">
        <v>431.0</v>
      </c>
      <c r="C405" s="91" t="s">
        <v>2085</v>
      </c>
      <c r="D405" s="97"/>
      <c r="E405" s="93" t="s">
        <v>1505</v>
      </c>
      <c r="F405" s="91" t="s">
        <v>1504</v>
      </c>
      <c r="G405" s="38" t="s">
        <v>1505</v>
      </c>
      <c r="I405" s="38" t="s">
        <v>2086</v>
      </c>
    </row>
    <row r="406">
      <c r="A406" s="90">
        <v>432.0</v>
      </c>
      <c r="B406" s="90">
        <v>432.0</v>
      </c>
      <c r="C406" s="91" t="s">
        <v>2087</v>
      </c>
      <c r="D406" s="97"/>
      <c r="E406" s="94" t="s">
        <v>1627</v>
      </c>
      <c r="F406" s="91" t="s">
        <v>1504</v>
      </c>
    </row>
    <row r="407">
      <c r="A407" s="90">
        <v>433.0</v>
      </c>
      <c r="B407" s="90">
        <v>433.0</v>
      </c>
      <c r="C407" s="91" t="s">
        <v>2088</v>
      </c>
      <c r="D407" s="97"/>
      <c r="E407" s="94" t="s">
        <v>1627</v>
      </c>
      <c r="F407" s="91" t="s">
        <v>1504</v>
      </c>
    </row>
    <row r="408">
      <c r="A408" s="90">
        <v>434.0</v>
      </c>
      <c r="B408" s="90">
        <v>434.0</v>
      </c>
      <c r="C408" s="91" t="s">
        <v>2089</v>
      </c>
      <c r="D408" s="97"/>
      <c r="E408" s="94" t="s">
        <v>1627</v>
      </c>
      <c r="F408" s="91" t="s">
        <v>1504</v>
      </c>
    </row>
    <row r="409">
      <c r="A409" s="90">
        <v>435.0</v>
      </c>
      <c r="B409" s="90">
        <v>435.0</v>
      </c>
      <c r="C409" s="91" t="s">
        <v>2090</v>
      </c>
      <c r="D409" s="97"/>
      <c r="E409" s="94" t="s">
        <v>1627</v>
      </c>
      <c r="F409" s="91" t="s">
        <v>1504</v>
      </c>
    </row>
    <row r="410">
      <c r="A410" s="90">
        <v>436.0</v>
      </c>
      <c r="B410" s="90">
        <v>436.0</v>
      </c>
      <c r="C410" s="91" t="s">
        <v>2091</v>
      </c>
      <c r="D410" s="97"/>
      <c r="E410" s="93" t="s">
        <v>1505</v>
      </c>
      <c r="F410" s="91" t="s">
        <v>1504</v>
      </c>
      <c r="G410" s="38" t="s">
        <v>1505</v>
      </c>
      <c r="I410" s="38" t="s">
        <v>2092</v>
      </c>
    </row>
    <row r="411">
      <c r="A411" s="90">
        <v>437.0</v>
      </c>
      <c r="B411" s="90">
        <v>437.0</v>
      </c>
      <c r="C411" s="91" t="s">
        <v>2093</v>
      </c>
      <c r="D411" s="97"/>
      <c r="E411" s="94" t="s">
        <v>1627</v>
      </c>
      <c r="F411" s="91" t="s">
        <v>1504</v>
      </c>
    </row>
    <row r="412">
      <c r="A412" s="90">
        <v>438.0</v>
      </c>
      <c r="B412" s="90">
        <v>438.0</v>
      </c>
      <c r="C412" s="91" t="s">
        <v>2094</v>
      </c>
      <c r="D412" s="97"/>
      <c r="E412" s="94" t="s">
        <v>1627</v>
      </c>
      <c r="F412" s="91" t="s">
        <v>1504</v>
      </c>
    </row>
    <row r="413">
      <c r="A413" s="90">
        <v>439.0</v>
      </c>
      <c r="B413" s="90">
        <v>439.0</v>
      </c>
      <c r="C413" s="91" t="s">
        <v>2095</v>
      </c>
      <c r="D413" s="97"/>
      <c r="E413" s="94" t="s">
        <v>1627</v>
      </c>
      <c r="F413" s="91" t="s">
        <v>1504</v>
      </c>
    </row>
    <row r="414">
      <c r="A414" s="90">
        <v>440.0</v>
      </c>
      <c r="B414" s="90">
        <v>440.0</v>
      </c>
      <c r="C414" s="95">
        <v>45052.28207175926</v>
      </c>
      <c r="D414" s="97"/>
      <c r="E414" s="94" t="s">
        <v>1627</v>
      </c>
      <c r="F414" s="91" t="s">
        <v>1504</v>
      </c>
    </row>
    <row r="415">
      <c r="A415" s="90">
        <v>441.0</v>
      </c>
      <c r="B415" s="90">
        <v>441.0</v>
      </c>
      <c r="C415" s="95">
        <v>45083.30259259259</v>
      </c>
      <c r="D415" s="97"/>
      <c r="E415" s="94" t="s">
        <v>1627</v>
      </c>
      <c r="F415" s="91" t="s">
        <v>1504</v>
      </c>
    </row>
    <row r="416">
      <c r="A416" s="90">
        <v>442.0</v>
      </c>
      <c r="B416" s="90">
        <v>442.0</v>
      </c>
      <c r="C416" s="95">
        <v>45083.31825231481</v>
      </c>
      <c r="D416" s="97"/>
      <c r="E416" s="94" t="s">
        <v>1627</v>
      </c>
      <c r="F416" s="91" t="s">
        <v>1504</v>
      </c>
    </row>
    <row r="417">
      <c r="A417" s="90">
        <v>443.0</v>
      </c>
      <c r="B417" s="90">
        <v>443.0</v>
      </c>
      <c r="C417" s="95">
        <v>45083.37401620371</v>
      </c>
      <c r="D417" s="97"/>
      <c r="E417" s="94" t="s">
        <v>1627</v>
      </c>
      <c r="F417" s="91" t="s">
        <v>1504</v>
      </c>
    </row>
    <row r="418">
      <c r="A418" s="90">
        <v>444.0</v>
      </c>
      <c r="B418" s="90">
        <v>444.0</v>
      </c>
      <c r="C418" s="95">
        <v>45113.39144675926</v>
      </c>
      <c r="D418" s="97"/>
      <c r="E418" s="94" t="s">
        <v>1627</v>
      </c>
      <c r="F418" s="91" t="s">
        <v>1504</v>
      </c>
    </row>
    <row r="419">
      <c r="A419" s="90">
        <v>445.0</v>
      </c>
      <c r="B419" s="90">
        <v>445.0</v>
      </c>
      <c r="C419" s="95">
        <v>45113.51825231482</v>
      </c>
      <c r="D419" s="97"/>
      <c r="E419" s="94" t="s">
        <v>1627</v>
      </c>
      <c r="F419" s="91" t="s">
        <v>1504</v>
      </c>
    </row>
    <row r="420">
      <c r="A420" s="90">
        <v>446.0</v>
      </c>
      <c r="B420" s="90">
        <v>446.0</v>
      </c>
      <c r="C420" s="95">
        <v>45175.2869212963</v>
      </c>
      <c r="D420" s="97"/>
      <c r="E420" s="94" t="s">
        <v>1627</v>
      </c>
      <c r="F420" s="91" t="s">
        <v>1504</v>
      </c>
    </row>
    <row r="421">
      <c r="A421" s="90">
        <v>447.0</v>
      </c>
      <c r="B421" s="90">
        <v>447.0</v>
      </c>
      <c r="C421" s="95">
        <v>45175.28974537037</v>
      </c>
      <c r="D421" s="97"/>
      <c r="E421" s="94" t="s">
        <v>1627</v>
      </c>
      <c r="F421" s="91" t="s">
        <v>1504</v>
      </c>
    </row>
    <row r="422">
      <c r="A422" s="90">
        <v>448.0</v>
      </c>
      <c r="B422" s="90">
        <v>448.0</v>
      </c>
      <c r="C422" s="95">
        <v>45175.531701388885</v>
      </c>
      <c r="D422" s="97"/>
      <c r="E422" s="94" t="s">
        <v>1627</v>
      </c>
      <c r="F422" s="91" t="s">
        <v>1504</v>
      </c>
    </row>
    <row r="423">
      <c r="A423" s="90">
        <v>449.0</v>
      </c>
      <c r="B423" s="90">
        <v>449.0</v>
      </c>
      <c r="C423" s="91" t="s">
        <v>2096</v>
      </c>
      <c r="D423" s="97"/>
      <c r="E423" s="94" t="s">
        <v>1627</v>
      </c>
      <c r="F423" s="91" t="s">
        <v>1504</v>
      </c>
    </row>
    <row r="424">
      <c r="A424" s="90">
        <v>450.0</v>
      </c>
      <c r="B424" s="90">
        <v>450.0</v>
      </c>
      <c r="C424" s="91" t="s">
        <v>2097</v>
      </c>
      <c r="D424" s="97"/>
      <c r="E424" s="94" t="s">
        <v>1627</v>
      </c>
      <c r="F424" s="91" t="s">
        <v>1504</v>
      </c>
    </row>
    <row r="425">
      <c r="A425" s="90">
        <v>451.0</v>
      </c>
      <c r="B425" s="90">
        <v>451.0</v>
      </c>
      <c r="C425" s="91" t="s">
        <v>2098</v>
      </c>
      <c r="D425" s="97"/>
      <c r="E425" s="94" t="s">
        <v>1627</v>
      </c>
      <c r="F425" s="91" t="s">
        <v>1504</v>
      </c>
    </row>
    <row r="426">
      <c r="A426" s="90">
        <v>452.0</v>
      </c>
      <c r="B426" s="90">
        <v>452.0</v>
      </c>
      <c r="C426" s="91" t="s">
        <v>2099</v>
      </c>
      <c r="D426" s="97"/>
      <c r="E426" s="94" t="s">
        <v>1627</v>
      </c>
      <c r="F426" s="91" t="s">
        <v>1504</v>
      </c>
    </row>
    <row r="427">
      <c r="A427" s="90">
        <v>453.0</v>
      </c>
      <c r="B427" s="90">
        <v>453.0</v>
      </c>
      <c r="C427" s="91" t="s">
        <v>2100</v>
      </c>
      <c r="D427" s="97"/>
      <c r="E427" s="94" t="s">
        <v>1627</v>
      </c>
      <c r="F427" s="91" t="s">
        <v>1504</v>
      </c>
    </row>
    <row r="428">
      <c r="A428" s="90">
        <v>454.0</v>
      </c>
      <c r="B428" s="90">
        <v>454.0</v>
      </c>
      <c r="C428" s="91" t="s">
        <v>2101</v>
      </c>
      <c r="D428" s="97"/>
      <c r="E428" s="94" t="s">
        <v>1627</v>
      </c>
      <c r="F428" s="91" t="s">
        <v>1504</v>
      </c>
    </row>
    <row r="429">
      <c r="A429" s="90">
        <v>455.0</v>
      </c>
      <c r="B429" s="90">
        <v>455.0</v>
      </c>
      <c r="C429" s="91" t="s">
        <v>2102</v>
      </c>
      <c r="D429" s="97"/>
      <c r="E429" s="94" t="s">
        <v>1627</v>
      </c>
      <c r="F429" s="91" t="s">
        <v>1504</v>
      </c>
    </row>
    <row r="430">
      <c r="A430" s="90">
        <v>456.0</v>
      </c>
      <c r="B430" s="90">
        <v>456.0</v>
      </c>
      <c r="C430" s="91" t="s">
        <v>2103</v>
      </c>
      <c r="D430" s="97"/>
      <c r="E430" s="94" t="s">
        <v>1627</v>
      </c>
      <c r="F430" s="91" t="s">
        <v>1504</v>
      </c>
    </row>
    <row r="431">
      <c r="A431" s="90">
        <v>457.0</v>
      </c>
      <c r="B431" s="90">
        <v>457.0</v>
      </c>
      <c r="C431" s="91" t="s">
        <v>2104</v>
      </c>
      <c r="D431" s="97"/>
      <c r="E431" s="94" t="s">
        <v>1627</v>
      </c>
      <c r="F431" s="91" t="s">
        <v>1504</v>
      </c>
    </row>
    <row r="432">
      <c r="A432" s="90">
        <v>458.0</v>
      </c>
      <c r="B432" s="90">
        <v>458.0</v>
      </c>
      <c r="C432" s="91" t="s">
        <v>2105</v>
      </c>
      <c r="D432" s="97"/>
      <c r="E432" s="94" t="s">
        <v>1627</v>
      </c>
      <c r="F432" s="91" t="s">
        <v>1504</v>
      </c>
    </row>
    <row r="433">
      <c r="A433" s="90">
        <v>459.0</v>
      </c>
      <c r="B433" s="90">
        <v>459.0</v>
      </c>
      <c r="C433" s="91" t="s">
        <v>2106</v>
      </c>
      <c r="D433" s="97"/>
      <c r="E433" s="94" t="s">
        <v>1627</v>
      </c>
      <c r="F433" s="91" t="s">
        <v>1504</v>
      </c>
    </row>
    <row r="434">
      <c r="A434" s="90">
        <v>460.0</v>
      </c>
      <c r="B434" s="90">
        <v>460.0</v>
      </c>
      <c r="C434" s="91" t="s">
        <v>2107</v>
      </c>
      <c r="D434" s="97"/>
      <c r="E434" s="94" t="s">
        <v>1627</v>
      </c>
      <c r="F434" s="91" t="s">
        <v>1504</v>
      </c>
    </row>
    <row r="435">
      <c r="A435" s="90">
        <v>461.0</v>
      </c>
      <c r="B435" s="90">
        <v>461.0</v>
      </c>
      <c r="C435" s="91" t="s">
        <v>2108</v>
      </c>
      <c r="D435" s="97"/>
      <c r="E435" s="94" t="s">
        <v>1627</v>
      </c>
      <c r="F435" s="91" t="s">
        <v>1504</v>
      </c>
    </row>
    <row r="436">
      <c r="A436" s="90">
        <v>462.0</v>
      </c>
      <c r="B436" s="90">
        <v>462.0</v>
      </c>
      <c r="C436" s="91" t="s">
        <v>2109</v>
      </c>
      <c r="D436" s="97"/>
      <c r="E436" s="94" t="s">
        <v>1627</v>
      </c>
      <c r="F436" s="91" t="s">
        <v>1504</v>
      </c>
    </row>
    <row r="437">
      <c r="A437" s="90">
        <v>463.0</v>
      </c>
      <c r="B437" s="90">
        <v>463.0</v>
      </c>
      <c r="C437" s="95">
        <v>44992.625925925924</v>
      </c>
      <c r="D437" s="97"/>
      <c r="E437" s="94" t="s">
        <v>1627</v>
      </c>
      <c r="F437" s="91" t="s">
        <v>1504</v>
      </c>
    </row>
    <row r="438">
      <c r="A438" s="90">
        <v>464.0</v>
      </c>
      <c r="B438" s="90">
        <v>464.0</v>
      </c>
      <c r="C438" s="95">
        <v>45023.32730324074</v>
      </c>
      <c r="D438" s="97"/>
      <c r="E438" s="94" t="s">
        <v>1627</v>
      </c>
      <c r="F438" s="91" t="s">
        <v>1504</v>
      </c>
    </row>
    <row r="439">
      <c r="A439" s="90">
        <v>465.0</v>
      </c>
      <c r="B439" s="90">
        <v>465.0</v>
      </c>
      <c r="C439" s="95">
        <v>45023.34229166667</v>
      </c>
      <c r="D439" s="97"/>
      <c r="E439" s="94" t="s">
        <v>1627</v>
      </c>
      <c r="F439" s="91" t="s">
        <v>1504</v>
      </c>
    </row>
    <row r="440">
      <c r="A440" s="90">
        <v>466.0</v>
      </c>
      <c r="B440" s="90">
        <v>466.0</v>
      </c>
      <c r="C440" s="95">
        <v>45023.36329861111</v>
      </c>
      <c r="D440" s="97"/>
      <c r="E440" s="94" t="s">
        <v>1627</v>
      </c>
      <c r="F440" s="91" t="s">
        <v>1504</v>
      </c>
    </row>
    <row r="441">
      <c r="A441" s="90">
        <v>467.0</v>
      </c>
      <c r="B441" s="90">
        <v>467.0</v>
      </c>
      <c r="C441" s="95">
        <v>45023.416134259256</v>
      </c>
      <c r="D441" s="97"/>
      <c r="E441" s="94" t="s">
        <v>1627</v>
      </c>
      <c r="F441" s="91" t="s">
        <v>1504</v>
      </c>
    </row>
    <row r="442">
      <c r="A442" s="90">
        <v>468.0</v>
      </c>
      <c r="B442" s="90">
        <v>468.0</v>
      </c>
      <c r="C442" s="95">
        <v>45053.60376157407</v>
      </c>
      <c r="D442" s="97"/>
      <c r="E442" s="94" t="s">
        <v>1627</v>
      </c>
      <c r="F442" s="91" t="s">
        <v>1504</v>
      </c>
    </row>
    <row r="443">
      <c r="A443" s="90">
        <v>469.0</v>
      </c>
      <c r="B443" s="90">
        <v>469.0</v>
      </c>
      <c r="C443" s="95">
        <v>45267.45846064815</v>
      </c>
      <c r="D443" s="97"/>
      <c r="E443" s="94" t="s">
        <v>1627</v>
      </c>
      <c r="F443" s="91" t="s">
        <v>1504</v>
      </c>
    </row>
    <row r="444">
      <c r="A444" s="90">
        <v>470.0</v>
      </c>
      <c r="B444" s="90">
        <v>470.0</v>
      </c>
      <c r="C444" s="95">
        <v>45267.496875</v>
      </c>
      <c r="D444" s="97"/>
      <c r="E444" s="94" t="s">
        <v>1627</v>
      </c>
      <c r="F444" s="91" t="s">
        <v>1504</v>
      </c>
    </row>
    <row r="445">
      <c r="A445" s="90">
        <v>471.0</v>
      </c>
      <c r="B445" s="90">
        <v>471.0</v>
      </c>
      <c r="C445" s="91" t="s">
        <v>2110</v>
      </c>
      <c r="D445" s="97"/>
      <c r="E445" s="94" t="s">
        <v>1627</v>
      </c>
      <c r="F445" s="91" t="s">
        <v>1504</v>
      </c>
    </row>
    <row r="446">
      <c r="A446" s="90">
        <v>472.0</v>
      </c>
      <c r="B446" s="90">
        <v>472.0</v>
      </c>
      <c r="C446" s="91" t="s">
        <v>2111</v>
      </c>
      <c r="D446" s="97"/>
      <c r="E446" s="94" t="s">
        <v>1627</v>
      </c>
      <c r="F446" s="91" t="s">
        <v>1504</v>
      </c>
    </row>
    <row r="447">
      <c r="A447" s="90">
        <v>473.0</v>
      </c>
      <c r="B447" s="90">
        <v>473.0</v>
      </c>
      <c r="C447" s="91" t="s">
        <v>2112</v>
      </c>
      <c r="D447" s="97"/>
      <c r="E447" s="94" t="s">
        <v>1627</v>
      </c>
      <c r="F447" s="91" t="s">
        <v>1504</v>
      </c>
    </row>
    <row r="448">
      <c r="A448" s="90">
        <v>474.0</v>
      </c>
      <c r="B448" s="90">
        <v>474.0</v>
      </c>
      <c r="C448" s="91" t="s">
        <v>2113</v>
      </c>
      <c r="D448" s="97"/>
      <c r="E448" s="94" t="s">
        <v>1627</v>
      </c>
      <c r="F448" s="91" t="s">
        <v>1504</v>
      </c>
    </row>
    <row r="449">
      <c r="A449" s="90">
        <v>475.0</v>
      </c>
      <c r="B449" s="90">
        <v>475.0</v>
      </c>
      <c r="C449" s="91" t="s">
        <v>2114</v>
      </c>
      <c r="D449" s="97"/>
      <c r="E449" s="94" t="s">
        <v>1627</v>
      </c>
      <c r="F449" s="91" t="s">
        <v>1504</v>
      </c>
    </row>
    <row r="450">
      <c r="A450" s="90">
        <v>476.0</v>
      </c>
      <c r="B450" s="90">
        <v>476.0</v>
      </c>
      <c r="C450" s="91" t="s">
        <v>2115</v>
      </c>
      <c r="D450" s="97"/>
      <c r="E450" s="94" t="s">
        <v>1627</v>
      </c>
      <c r="F450" s="91" t="s">
        <v>1504</v>
      </c>
    </row>
    <row r="451">
      <c r="A451" s="90">
        <v>477.0</v>
      </c>
      <c r="B451" s="90">
        <v>477.0</v>
      </c>
      <c r="C451" s="91" t="s">
        <v>2116</v>
      </c>
      <c r="D451" s="97"/>
      <c r="E451" s="94" t="s">
        <v>1627</v>
      </c>
      <c r="F451" s="91" t="s">
        <v>1504</v>
      </c>
    </row>
    <row r="452">
      <c r="A452" s="90">
        <v>478.0</v>
      </c>
      <c r="B452" s="90">
        <v>478.0</v>
      </c>
      <c r="C452" s="91" t="s">
        <v>2117</v>
      </c>
      <c r="D452" s="97"/>
      <c r="E452" s="94" t="s">
        <v>1627</v>
      </c>
      <c r="F452" s="91" t="s">
        <v>1504</v>
      </c>
    </row>
    <row r="453">
      <c r="A453" s="90">
        <v>479.0</v>
      </c>
      <c r="B453" s="90">
        <v>479.0</v>
      </c>
      <c r="C453" s="91" t="s">
        <v>2118</v>
      </c>
      <c r="D453" s="97"/>
      <c r="E453" s="94" t="s">
        <v>1627</v>
      </c>
      <c r="F453" s="91" t="s">
        <v>1504</v>
      </c>
    </row>
    <row r="454">
      <c r="A454" s="90">
        <v>480.0</v>
      </c>
      <c r="B454" s="90">
        <v>480.0</v>
      </c>
      <c r="C454" s="91" t="s">
        <v>2119</v>
      </c>
      <c r="D454" s="97"/>
      <c r="E454" s="94" t="s">
        <v>1627</v>
      </c>
      <c r="F454" s="91" t="s">
        <v>1504</v>
      </c>
    </row>
    <row r="455">
      <c r="A455" s="90">
        <v>481.0</v>
      </c>
      <c r="B455" s="90">
        <v>481.0</v>
      </c>
      <c r="C455" s="91" t="s">
        <v>2120</v>
      </c>
      <c r="D455" s="97"/>
      <c r="E455" s="94" t="s">
        <v>1627</v>
      </c>
      <c r="F455" s="91" t="s">
        <v>1504</v>
      </c>
    </row>
    <row r="456">
      <c r="A456" s="90">
        <v>482.0</v>
      </c>
      <c r="B456" s="90">
        <v>482.0</v>
      </c>
      <c r="C456" s="91" t="s">
        <v>2121</v>
      </c>
      <c r="D456" s="97"/>
      <c r="E456" s="94" t="s">
        <v>1627</v>
      </c>
      <c r="F456" s="91" t="s">
        <v>1504</v>
      </c>
    </row>
    <row r="457">
      <c r="A457" s="90">
        <v>483.0</v>
      </c>
      <c r="B457" s="90">
        <v>483.0</v>
      </c>
      <c r="C457" s="91" t="s">
        <v>2122</v>
      </c>
      <c r="D457" s="97"/>
      <c r="E457" s="94" t="s">
        <v>1627</v>
      </c>
      <c r="F457" s="91" t="s">
        <v>1504</v>
      </c>
    </row>
    <row r="458">
      <c r="A458" s="90">
        <v>484.0</v>
      </c>
      <c r="B458" s="90">
        <v>484.0</v>
      </c>
      <c r="C458" s="91" t="s">
        <v>2123</v>
      </c>
      <c r="D458" s="97"/>
      <c r="E458" s="94" t="s">
        <v>1627</v>
      </c>
      <c r="F458" s="91" t="s">
        <v>1504</v>
      </c>
    </row>
    <row r="459">
      <c r="A459" s="90">
        <v>485.0</v>
      </c>
      <c r="B459" s="90">
        <v>485.0</v>
      </c>
      <c r="C459" s="91" t="s">
        <v>2124</v>
      </c>
      <c r="D459" s="97"/>
      <c r="E459" s="94" t="s">
        <v>1627</v>
      </c>
      <c r="F459" s="91" t="s">
        <v>1504</v>
      </c>
    </row>
    <row r="460">
      <c r="A460" s="90">
        <v>486.0</v>
      </c>
      <c r="B460" s="90">
        <v>486.0</v>
      </c>
      <c r="C460" s="95">
        <v>44934.2700462963</v>
      </c>
      <c r="D460" s="97"/>
      <c r="E460" s="94" t="s">
        <v>1627</v>
      </c>
      <c r="F460" s="91" t="s">
        <v>1504</v>
      </c>
    </row>
    <row r="461">
      <c r="A461" s="90">
        <v>487.0</v>
      </c>
      <c r="B461" s="90">
        <v>487.0</v>
      </c>
      <c r="C461" s="95">
        <v>44934.55504629629</v>
      </c>
      <c r="D461" s="97"/>
      <c r="E461" s="94" t="s">
        <v>1627</v>
      </c>
      <c r="F461" s="91" t="s">
        <v>1504</v>
      </c>
    </row>
    <row r="462">
      <c r="A462" s="90">
        <v>488.0</v>
      </c>
      <c r="B462" s="90">
        <v>488.0</v>
      </c>
      <c r="C462" s="95">
        <v>44934.60975694445</v>
      </c>
      <c r="D462" s="97"/>
      <c r="E462" s="94" t="s">
        <v>1627</v>
      </c>
      <c r="F462" s="91" t="s">
        <v>1504</v>
      </c>
    </row>
    <row r="463">
      <c r="A463" s="90">
        <v>489.0</v>
      </c>
      <c r="B463" s="90">
        <v>489.0</v>
      </c>
      <c r="C463" s="95">
        <v>44965.47609953704</v>
      </c>
      <c r="D463" s="97"/>
      <c r="E463" s="94" t="s">
        <v>1627</v>
      </c>
      <c r="F463" s="91" t="s">
        <v>1504</v>
      </c>
    </row>
    <row r="464">
      <c r="A464" s="90">
        <v>490.0</v>
      </c>
      <c r="B464" s="90">
        <v>490.0</v>
      </c>
      <c r="C464" s="95">
        <v>44965.49260416667</v>
      </c>
      <c r="D464" s="97"/>
      <c r="E464" s="94" t="s">
        <v>1627</v>
      </c>
      <c r="F464" s="91" t="s">
        <v>1504</v>
      </c>
    </row>
    <row r="465">
      <c r="A465" s="90">
        <v>491.0</v>
      </c>
      <c r="B465" s="90">
        <v>491.0</v>
      </c>
      <c r="C465" s="95">
        <v>45115.32827546296</v>
      </c>
      <c r="D465" s="97"/>
      <c r="E465" s="94" t="s">
        <v>1627</v>
      </c>
      <c r="F465" s="91" t="s">
        <v>1504</v>
      </c>
    </row>
    <row r="466">
      <c r="A466" s="90">
        <v>492.0</v>
      </c>
      <c r="B466" s="90">
        <v>492.0</v>
      </c>
      <c r="C466" s="95">
        <v>45115.42579861111</v>
      </c>
      <c r="D466" s="97"/>
      <c r="E466" s="94" t="s">
        <v>1627</v>
      </c>
      <c r="F466" s="91" t="s">
        <v>1504</v>
      </c>
    </row>
    <row r="467">
      <c r="A467" s="90">
        <v>493.0</v>
      </c>
      <c r="B467" s="90">
        <v>493.0</v>
      </c>
      <c r="C467" s="95">
        <v>45146.61875</v>
      </c>
      <c r="D467" s="97"/>
      <c r="E467" s="94" t="s">
        <v>1627</v>
      </c>
      <c r="F467" s="91" t="s">
        <v>1504</v>
      </c>
    </row>
    <row r="468">
      <c r="A468" s="90">
        <v>494.0</v>
      </c>
      <c r="B468" s="90">
        <v>494.0</v>
      </c>
      <c r="C468" s="95">
        <v>45177.284780092596</v>
      </c>
      <c r="D468" s="97"/>
      <c r="E468" s="94" t="s">
        <v>1627</v>
      </c>
      <c r="F468" s="91" t="s">
        <v>1504</v>
      </c>
    </row>
    <row r="469">
      <c r="A469" s="90">
        <v>495.0</v>
      </c>
      <c r="B469" s="90">
        <v>495.0</v>
      </c>
      <c r="C469" s="95">
        <v>45177.343194444446</v>
      </c>
      <c r="D469" s="97"/>
      <c r="E469" s="94" t="s">
        <v>1627</v>
      </c>
      <c r="F469" s="91" t="s">
        <v>1504</v>
      </c>
    </row>
    <row r="470">
      <c r="A470" s="90">
        <v>496.0</v>
      </c>
      <c r="B470" s="90">
        <v>496.0</v>
      </c>
      <c r="C470" s="95">
        <v>45207.4949537037</v>
      </c>
      <c r="D470" s="97"/>
      <c r="E470" s="93" t="s">
        <v>1505</v>
      </c>
      <c r="F470" s="91" t="s">
        <v>1504</v>
      </c>
      <c r="G470" s="38" t="s">
        <v>1505</v>
      </c>
      <c r="I470" s="96">
        <v>45207.52542824074</v>
      </c>
    </row>
    <row r="471">
      <c r="A471" s="90">
        <v>497.0</v>
      </c>
      <c r="B471" s="90">
        <v>497.0</v>
      </c>
      <c r="C471" s="95">
        <v>45238.334328703706</v>
      </c>
      <c r="D471" s="97"/>
      <c r="E471" s="94" t="s">
        <v>1627</v>
      </c>
      <c r="F471" s="91" t="s">
        <v>1504</v>
      </c>
    </row>
    <row r="472">
      <c r="A472" s="90">
        <v>498.0</v>
      </c>
      <c r="B472" s="90">
        <v>498.0</v>
      </c>
      <c r="C472" s="91" t="s">
        <v>2125</v>
      </c>
      <c r="D472" s="97"/>
      <c r="E472" s="94" t="s">
        <v>1627</v>
      </c>
      <c r="F472" s="91" t="s">
        <v>1504</v>
      </c>
    </row>
    <row r="473">
      <c r="A473" s="90">
        <v>499.0</v>
      </c>
      <c r="B473" s="90">
        <v>499.0</v>
      </c>
      <c r="C473" s="91" t="s">
        <v>2126</v>
      </c>
      <c r="D473" s="97"/>
      <c r="E473" s="94" t="s">
        <v>1627</v>
      </c>
      <c r="F473" s="91" t="s">
        <v>1504</v>
      </c>
    </row>
    <row r="474">
      <c r="A474" s="90">
        <v>500.0</v>
      </c>
      <c r="B474" s="90">
        <v>500.0</v>
      </c>
      <c r="C474" s="91" t="s">
        <v>2127</v>
      </c>
      <c r="D474" s="97"/>
      <c r="E474" s="94" t="s">
        <v>1627</v>
      </c>
      <c r="F474" s="91" t="s">
        <v>1504</v>
      </c>
    </row>
    <row r="475">
      <c r="A475" s="90">
        <v>501.0</v>
      </c>
      <c r="B475" s="90">
        <v>501.0</v>
      </c>
      <c r="C475" s="91" t="s">
        <v>2128</v>
      </c>
      <c r="D475" s="97"/>
      <c r="E475" s="93" t="s">
        <v>1505</v>
      </c>
      <c r="F475" s="91" t="s">
        <v>1504</v>
      </c>
      <c r="G475" s="38" t="s">
        <v>1505</v>
      </c>
      <c r="I475" s="38" t="s">
        <v>2129</v>
      </c>
    </row>
    <row r="476">
      <c r="A476" s="90">
        <v>502.0</v>
      </c>
      <c r="B476" s="90">
        <v>502.0</v>
      </c>
      <c r="C476" s="91" t="s">
        <v>2130</v>
      </c>
      <c r="D476" s="97"/>
      <c r="E476" s="94" t="s">
        <v>1627</v>
      </c>
      <c r="F476" s="91" t="s">
        <v>1504</v>
      </c>
    </row>
    <row r="477">
      <c r="A477" s="90">
        <v>503.0</v>
      </c>
      <c r="B477" s="90">
        <v>503.0</v>
      </c>
      <c r="C477" s="91" t="s">
        <v>2131</v>
      </c>
      <c r="D477" s="97"/>
      <c r="E477" s="94" t="s">
        <v>1627</v>
      </c>
      <c r="F477" s="91" t="s">
        <v>1504</v>
      </c>
    </row>
    <row r="478">
      <c r="A478" s="90">
        <v>504.0</v>
      </c>
      <c r="B478" s="90">
        <v>504.0</v>
      </c>
      <c r="C478" s="91" t="s">
        <v>2132</v>
      </c>
      <c r="D478" s="97"/>
      <c r="E478" s="93" t="s">
        <v>1505</v>
      </c>
      <c r="F478" s="91" t="s">
        <v>1504</v>
      </c>
      <c r="G478" s="38" t="s">
        <v>1505</v>
      </c>
      <c r="I478" s="38" t="s">
        <v>2133</v>
      </c>
    </row>
    <row r="479">
      <c r="A479" s="90">
        <v>505.0</v>
      </c>
      <c r="B479" s="90">
        <v>505.0</v>
      </c>
      <c r="C479" s="91" t="s">
        <v>2134</v>
      </c>
      <c r="D479" s="97"/>
      <c r="E479" s="93" t="s">
        <v>1505</v>
      </c>
      <c r="F479" s="91" t="s">
        <v>1504</v>
      </c>
      <c r="G479" s="38" t="s">
        <v>1505</v>
      </c>
      <c r="I479" s="38" t="s">
        <v>2135</v>
      </c>
    </row>
    <row r="480">
      <c r="A480" s="90">
        <v>506.0</v>
      </c>
      <c r="B480" s="90">
        <v>506.0</v>
      </c>
      <c r="C480" s="91" t="s">
        <v>2136</v>
      </c>
      <c r="D480" s="97"/>
      <c r="E480" s="94" t="s">
        <v>1627</v>
      </c>
      <c r="F480" s="91" t="s">
        <v>1504</v>
      </c>
    </row>
    <row r="481">
      <c r="A481" s="90">
        <v>507.0</v>
      </c>
      <c r="B481" s="90">
        <v>507.0</v>
      </c>
      <c r="C481" s="91" t="s">
        <v>2137</v>
      </c>
      <c r="D481" s="97"/>
      <c r="E481" s="94" t="s">
        <v>1627</v>
      </c>
      <c r="F481" s="91" t="s">
        <v>1504</v>
      </c>
    </row>
    <row r="482">
      <c r="A482" s="90">
        <v>508.0</v>
      </c>
      <c r="B482" s="90">
        <v>508.0</v>
      </c>
      <c r="C482" s="91" t="s">
        <v>2138</v>
      </c>
      <c r="D482" s="97"/>
      <c r="E482" s="94" t="s">
        <v>1627</v>
      </c>
      <c r="F482" s="91" t="s">
        <v>1504</v>
      </c>
    </row>
    <row r="483">
      <c r="A483" s="90">
        <v>509.0</v>
      </c>
      <c r="B483" s="90">
        <v>509.0</v>
      </c>
      <c r="C483" s="91" t="s">
        <v>2139</v>
      </c>
      <c r="D483" s="97"/>
      <c r="E483" s="94" t="s">
        <v>1627</v>
      </c>
      <c r="F483" s="91" t="s">
        <v>1504</v>
      </c>
    </row>
    <row r="484">
      <c r="A484" s="90">
        <v>510.0</v>
      </c>
      <c r="B484" s="90">
        <v>510.0</v>
      </c>
      <c r="C484" s="95">
        <v>44935.4659375</v>
      </c>
      <c r="D484" s="97"/>
      <c r="E484" s="93" t="s">
        <v>1505</v>
      </c>
      <c r="F484" s="91" t="s">
        <v>1504</v>
      </c>
      <c r="G484" s="38" t="s">
        <v>1505</v>
      </c>
      <c r="I484" s="96">
        <v>44966.221238425926</v>
      </c>
    </row>
    <row r="485">
      <c r="A485" s="90">
        <v>511.0</v>
      </c>
      <c r="B485" s="90">
        <v>511.0</v>
      </c>
      <c r="C485" s="95">
        <v>45147.540925925925</v>
      </c>
      <c r="D485" s="97"/>
      <c r="E485" s="94" t="s">
        <v>1627</v>
      </c>
      <c r="F485" s="91" t="s">
        <v>1504</v>
      </c>
    </row>
    <row r="486">
      <c r="A486" s="90">
        <v>512.0</v>
      </c>
      <c r="B486" s="90">
        <v>512.0</v>
      </c>
      <c r="C486" s="95">
        <v>45269.254224537035</v>
      </c>
      <c r="D486" s="97"/>
      <c r="E486" s="93" t="s">
        <v>1505</v>
      </c>
      <c r="F486" s="91" t="s">
        <v>1504</v>
      </c>
      <c r="G486" s="38" t="s">
        <v>1505</v>
      </c>
      <c r="I486" s="96">
        <v>45269.04788194445</v>
      </c>
    </row>
    <row r="487">
      <c r="A487" s="90">
        <v>513.0</v>
      </c>
      <c r="B487" s="90">
        <v>513.0</v>
      </c>
      <c r="C487" s="91" t="s">
        <v>2140</v>
      </c>
      <c r="D487" s="97"/>
      <c r="E487" s="94" t="s">
        <v>1627</v>
      </c>
      <c r="F487" s="91" t="s">
        <v>1504</v>
      </c>
    </row>
    <row r="488">
      <c r="A488" s="90">
        <v>514.0</v>
      </c>
      <c r="B488" s="90">
        <v>514.0</v>
      </c>
      <c r="C488" s="91" t="s">
        <v>2141</v>
      </c>
      <c r="D488" s="97"/>
      <c r="E488" s="94" t="s">
        <v>1627</v>
      </c>
      <c r="F488" s="91" t="s">
        <v>1504</v>
      </c>
    </row>
    <row r="489">
      <c r="A489" s="90">
        <v>515.0</v>
      </c>
      <c r="B489" s="90">
        <v>515.0</v>
      </c>
      <c r="C489" s="91" t="s">
        <v>2142</v>
      </c>
      <c r="D489" s="97"/>
      <c r="E489" s="94" t="s">
        <v>1627</v>
      </c>
      <c r="F489" s="91" t="s">
        <v>1504</v>
      </c>
    </row>
    <row r="490">
      <c r="A490" s="90">
        <v>516.0</v>
      </c>
      <c r="B490" s="90">
        <v>516.0</v>
      </c>
      <c r="C490" s="91" t="s">
        <v>2143</v>
      </c>
      <c r="D490" s="97"/>
      <c r="E490" s="93" t="s">
        <v>1505</v>
      </c>
      <c r="F490" s="91" t="s">
        <v>1504</v>
      </c>
      <c r="G490" s="38" t="s">
        <v>1505</v>
      </c>
      <c r="I490" s="38" t="s">
        <v>2144</v>
      </c>
    </row>
    <row r="491">
      <c r="A491" s="90">
        <v>517.0</v>
      </c>
      <c r="B491" s="90">
        <v>517.0</v>
      </c>
      <c r="C491" s="91" t="s">
        <v>2145</v>
      </c>
      <c r="D491" s="97"/>
      <c r="E491" s="94" t="s">
        <v>1627</v>
      </c>
      <c r="F491" s="91" t="s">
        <v>1504</v>
      </c>
    </row>
    <row r="492">
      <c r="A492" s="90">
        <v>518.0</v>
      </c>
      <c r="B492" s="90">
        <v>518.0</v>
      </c>
      <c r="C492" s="95">
        <v>44967.43293981482</v>
      </c>
      <c r="D492" s="97"/>
      <c r="E492" s="93" t="s">
        <v>1505</v>
      </c>
      <c r="F492" s="91" t="s">
        <v>1504</v>
      </c>
      <c r="G492" s="38" t="s">
        <v>1505</v>
      </c>
      <c r="I492" s="96">
        <v>45056.536840277775</v>
      </c>
    </row>
    <row r="493">
      <c r="A493" s="90">
        <v>519.0</v>
      </c>
      <c r="B493" s="90">
        <v>519.0</v>
      </c>
      <c r="C493" s="95">
        <v>44995.24958333333</v>
      </c>
      <c r="D493" s="97"/>
      <c r="E493" s="94" t="s">
        <v>1627</v>
      </c>
      <c r="F493" s="91" t="s">
        <v>1504</v>
      </c>
    </row>
    <row r="494">
      <c r="A494" s="90">
        <v>520.0</v>
      </c>
      <c r="B494" s="90">
        <v>520.0</v>
      </c>
      <c r="C494" s="95">
        <v>44995.25082175926</v>
      </c>
      <c r="D494" s="97"/>
      <c r="E494" s="94" t="s">
        <v>1627</v>
      </c>
      <c r="F494" s="91" t="s">
        <v>1504</v>
      </c>
    </row>
    <row r="495">
      <c r="A495" s="90">
        <v>521.0</v>
      </c>
      <c r="B495" s="90">
        <v>521.0</v>
      </c>
      <c r="C495" s="95">
        <v>44995.61090277778</v>
      </c>
      <c r="D495" s="97"/>
      <c r="E495" s="92" t="s">
        <v>1621</v>
      </c>
      <c r="F495" s="91" t="s">
        <v>1504</v>
      </c>
      <c r="G495" s="38" t="s">
        <v>1621</v>
      </c>
      <c r="I495" s="96">
        <v>44995.12244212963</v>
      </c>
    </row>
    <row r="496">
      <c r="A496" s="90">
        <v>522.0</v>
      </c>
      <c r="B496" s="90">
        <v>522.0</v>
      </c>
      <c r="C496" s="95">
        <v>45087.32533564815</v>
      </c>
      <c r="D496" s="97"/>
      <c r="E496" s="94" t="s">
        <v>1627</v>
      </c>
      <c r="F496" s="91" t="s">
        <v>1504</v>
      </c>
    </row>
    <row r="497">
      <c r="A497" s="90">
        <v>523.0</v>
      </c>
      <c r="B497" s="90">
        <v>523.0</v>
      </c>
      <c r="C497" s="95">
        <v>45179.53953703704</v>
      </c>
      <c r="D497" s="97"/>
      <c r="E497" s="94" t="s">
        <v>1627</v>
      </c>
      <c r="F497" s="91" t="s">
        <v>1504</v>
      </c>
    </row>
    <row r="498">
      <c r="A498" s="90">
        <v>524.0</v>
      </c>
      <c r="B498" s="90">
        <v>524.0</v>
      </c>
      <c r="C498" s="98">
        <v>45209.41570601852</v>
      </c>
      <c r="D498" s="97"/>
      <c r="E498" s="94" t="s">
        <v>1627</v>
      </c>
      <c r="F498" s="91" t="s">
        <v>1504</v>
      </c>
    </row>
    <row r="499">
      <c r="A499" s="90">
        <v>525.0</v>
      </c>
      <c r="B499" s="90">
        <v>525.0</v>
      </c>
      <c r="C499" s="98">
        <v>45270.56275462963</v>
      </c>
      <c r="D499" s="97"/>
      <c r="E499" s="94" t="s">
        <v>1627</v>
      </c>
      <c r="F499" s="91" t="s">
        <v>1504</v>
      </c>
    </row>
    <row r="500">
      <c r="A500" s="90">
        <v>526.0</v>
      </c>
      <c r="B500" s="90">
        <v>526.0</v>
      </c>
      <c r="C500" s="91" t="s">
        <v>2146</v>
      </c>
      <c r="D500" s="97"/>
      <c r="E500" s="94" t="s">
        <v>1627</v>
      </c>
      <c r="F500" s="91" t="s">
        <v>1504</v>
      </c>
    </row>
    <row r="501">
      <c r="A501" s="90">
        <v>527.0</v>
      </c>
      <c r="B501" s="90">
        <v>527.0</v>
      </c>
      <c r="C501" s="91" t="s">
        <v>2147</v>
      </c>
      <c r="D501" s="97"/>
      <c r="E501" s="94" t="s">
        <v>1627</v>
      </c>
      <c r="F501" s="91" t="s">
        <v>1504</v>
      </c>
    </row>
    <row r="502">
      <c r="A502" s="90">
        <v>528.0</v>
      </c>
      <c r="B502" s="90">
        <v>528.0</v>
      </c>
      <c r="C502" s="91" t="s">
        <v>2148</v>
      </c>
      <c r="D502" s="97"/>
      <c r="E502" s="94" t="s">
        <v>1627</v>
      </c>
      <c r="F502" s="91" t="s">
        <v>1504</v>
      </c>
    </row>
    <row r="503">
      <c r="A503" s="90">
        <v>529.0</v>
      </c>
      <c r="B503" s="90">
        <v>529.0</v>
      </c>
      <c r="C503" s="91" t="s">
        <v>2149</v>
      </c>
      <c r="D503" s="97"/>
      <c r="E503" s="94" t="s">
        <v>1627</v>
      </c>
      <c r="F503" s="91" t="s">
        <v>1504</v>
      </c>
    </row>
    <row r="504">
      <c r="A504" s="90">
        <v>530.0</v>
      </c>
      <c r="B504" s="90">
        <v>530.0</v>
      </c>
      <c r="C504" s="91" t="s">
        <v>2150</v>
      </c>
      <c r="D504" s="97"/>
      <c r="E504" s="94" t="s">
        <v>1627</v>
      </c>
      <c r="F504" s="91" t="s">
        <v>1504</v>
      </c>
    </row>
    <row r="505">
      <c r="A505" s="90">
        <v>531.0</v>
      </c>
      <c r="B505" s="90">
        <v>531.0</v>
      </c>
      <c r="C505" s="91" t="s">
        <v>2151</v>
      </c>
      <c r="D505" s="97"/>
      <c r="E505" s="94" t="s">
        <v>1627</v>
      </c>
      <c r="F505" s="91" t="s">
        <v>1504</v>
      </c>
    </row>
    <row r="506">
      <c r="A506" s="90">
        <v>532.0</v>
      </c>
      <c r="B506" s="90">
        <v>532.0</v>
      </c>
      <c r="C506" s="91" t="s">
        <v>2152</v>
      </c>
      <c r="D506" s="97"/>
      <c r="E506" s="94" t="s">
        <v>1627</v>
      </c>
      <c r="F506" s="91" t="s">
        <v>1504</v>
      </c>
    </row>
    <row r="507">
      <c r="A507" s="90">
        <v>533.0</v>
      </c>
      <c r="B507" s="90">
        <v>533.0</v>
      </c>
      <c r="C507" s="91" t="s">
        <v>2153</v>
      </c>
      <c r="D507" s="97"/>
      <c r="E507" s="94" t="s">
        <v>1627</v>
      </c>
      <c r="F507" s="91" t="s">
        <v>1504</v>
      </c>
    </row>
    <row r="508">
      <c r="A508" s="90">
        <v>534.0</v>
      </c>
      <c r="B508" s="90">
        <v>534.0</v>
      </c>
      <c r="C508" s="91" t="s">
        <v>2154</v>
      </c>
      <c r="D508" s="97"/>
      <c r="E508" s="94" t="s">
        <v>1627</v>
      </c>
      <c r="F508" s="91" t="s">
        <v>1504</v>
      </c>
    </row>
    <row r="509">
      <c r="A509" s="90">
        <v>535.0</v>
      </c>
      <c r="B509" s="90">
        <v>535.0</v>
      </c>
      <c r="C509" s="91" t="s">
        <v>2155</v>
      </c>
      <c r="D509" s="97"/>
      <c r="E509" s="94" t="s">
        <v>1627</v>
      </c>
      <c r="F509" s="91" t="s">
        <v>1504</v>
      </c>
    </row>
    <row r="510">
      <c r="A510" s="90">
        <v>536.0</v>
      </c>
      <c r="B510" s="90">
        <v>536.0</v>
      </c>
      <c r="C510" s="91" t="s">
        <v>2156</v>
      </c>
      <c r="D510" s="97"/>
      <c r="E510" s="94" t="s">
        <v>1627</v>
      </c>
      <c r="F510" s="91" t="s">
        <v>1504</v>
      </c>
    </row>
    <row r="511">
      <c r="A511" s="90">
        <v>537.0</v>
      </c>
      <c r="B511" s="90">
        <v>537.0</v>
      </c>
      <c r="C511" s="91" t="s">
        <v>2157</v>
      </c>
      <c r="D511" s="97"/>
      <c r="E511" s="94" t="s">
        <v>1627</v>
      </c>
      <c r="F511" s="91" t="s">
        <v>1504</v>
      </c>
    </row>
    <row r="512">
      <c r="A512" s="90">
        <v>538.0</v>
      </c>
      <c r="B512" s="90">
        <v>538.0</v>
      </c>
      <c r="C512" s="95">
        <v>45149.39869212963</v>
      </c>
      <c r="D512" s="97"/>
      <c r="E512" s="93" t="s">
        <v>1505</v>
      </c>
      <c r="F512" s="91" t="s">
        <v>1504</v>
      </c>
      <c r="G512" s="38" t="s">
        <v>1505</v>
      </c>
      <c r="I512" s="96">
        <v>45149.40315972222</v>
      </c>
    </row>
    <row r="513">
      <c r="A513" s="90">
        <v>539.0</v>
      </c>
      <c r="B513" s="90">
        <v>539.0</v>
      </c>
      <c r="C513" s="98">
        <v>45210.536261574074</v>
      </c>
      <c r="D513" s="97"/>
      <c r="E513" s="94" t="s">
        <v>1627</v>
      </c>
      <c r="F513" s="91" t="s">
        <v>1504</v>
      </c>
    </row>
    <row r="514">
      <c r="A514" s="90">
        <v>540.0</v>
      </c>
      <c r="B514" s="90">
        <v>540.0</v>
      </c>
      <c r="C514" s="91" t="s">
        <v>2158</v>
      </c>
      <c r="D514" s="97"/>
      <c r="E514" s="94" t="s">
        <v>1627</v>
      </c>
      <c r="F514" s="91" t="s">
        <v>1504</v>
      </c>
    </row>
    <row r="515">
      <c r="A515" s="90">
        <v>541.0</v>
      </c>
      <c r="B515" s="90">
        <v>541.0</v>
      </c>
      <c r="C515" s="91" t="s">
        <v>2159</v>
      </c>
      <c r="D515" s="97"/>
      <c r="E515" s="94" t="s">
        <v>1627</v>
      </c>
      <c r="F515" s="91" t="s">
        <v>1504</v>
      </c>
    </row>
    <row r="516">
      <c r="A516" s="90">
        <v>542.0</v>
      </c>
      <c r="B516" s="90">
        <v>542.0</v>
      </c>
      <c r="C516" s="91" t="s">
        <v>2160</v>
      </c>
      <c r="D516" s="97"/>
      <c r="E516" s="94" t="s">
        <v>1627</v>
      </c>
      <c r="F516" s="91" t="s">
        <v>1504</v>
      </c>
    </row>
    <row r="517">
      <c r="A517" s="90">
        <v>543.0</v>
      </c>
      <c r="B517" s="90">
        <v>543.0</v>
      </c>
      <c r="C517" s="91" t="s">
        <v>2161</v>
      </c>
      <c r="D517" s="97"/>
      <c r="E517" s="94" t="s">
        <v>1627</v>
      </c>
      <c r="F517" s="91" t="s">
        <v>1504</v>
      </c>
    </row>
    <row r="518">
      <c r="A518" s="90">
        <v>544.0</v>
      </c>
      <c r="B518" s="90">
        <v>544.0</v>
      </c>
      <c r="C518" s="91" t="s">
        <v>2162</v>
      </c>
      <c r="D518" s="97"/>
      <c r="E518" s="94" t="s">
        <v>1627</v>
      </c>
      <c r="F518" s="91" t="s">
        <v>1504</v>
      </c>
    </row>
    <row r="519">
      <c r="A519" s="90">
        <v>545.0</v>
      </c>
      <c r="B519" s="90">
        <v>545.0</v>
      </c>
      <c r="C519" s="91" t="s">
        <v>2163</v>
      </c>
      <c r="D519" s="97"/>
      <c r="E519" s="94" t="s">
        <v>1627</v>
      </c>
      <c r="F519" s="91" t="s">
        <v>1504</v>
      </c>
    </row>
    <row r="520">
      <c r="A520" s="90">
        <v>546.0</v>
      </c>
      <c r="B520" s="90">
        <v>546.0</v>
      </c>
      <c r="C520" s="95">
        <v>45028.21115740741</v>
      </c>
      <c r="D520" s="97"/>
      <c r="E520" s="94" t="s">
        <v>1627</v>
      </c>
      <c r="F520" s="91" t="s">
        <v>1504</v>
      </c>
    </row>
    <row r="521">
      <c r="A521" s="90">
        <v>547.0</v>
      </c>
      <c r="B521" s="90">
        <v>547.0</v>
      </c>
      <c r="C521" s="95">
        <v>45089.50125</v>
      </c>
      <c r="D521" s="97"/>
      <c r="E521" s="94" t="s">
        <v>1627</v>
      </c>
      <c r="F521" s="91" t="s">
        <v>1504</v>
      </c>
    </row>
    <row r="522">
      <c r="A522" s="90">
        <v>548.0</v>
      </c>
      <c r="B522" s="90">
        <v>548.0</v>
      </c>
      <c r="C522" s="95">
        <v>45150.56365740741</v>
      </c>
      <c r="D522" s="97"/>
      <c r="E522" s="94" t="s">
        <v>1627</v>
      </c>
      <c r="F522" s="91" t="s">
        <v>1504</v>
      </c>
    </row>
    <row r="523">
      <c r="A523" s="90">
        <v>549.0</v>
      </c>
      <c r="B523" s="90">
        <v>549.0</v>
      </c>
      <c r="C523" s="98">
        <v>45272.48149305556</v>
      </c>
      <c r="D523" s="97"/>
      <c r="E523" s="94" t="s">
        <v>1627</v>
      </c>
      <c r="F523" s="91" t="s">
        <v>1504</v>
      </c>
    </row>
    <row r="524">
      <c r="A524" s="90">
        <v>550.0</v>
      </c>
      <c r="B524" s="90">
        <v>550.0</v>
      </c>
      <c r="C524" s="98">
        <v>45272.54400462963</v>
      </c>
      <c r="D524" s="97"/>
      <c r="E524" s="93" t="s">
        <v>1505</v>
      </c>
      <c r="F524" s="91" t="s">
        <v>1504</v>
      </c>
      <c r="G524" s="38" t="s">
        <v>1505</v>
      </c>
      <c r="H524" s="38" t="s">
        <v>2164</v>
      </c>
      <c r="I524" s="99">
        <v>45272.05706018519</v>
      </c>
    </row>
    <row r="525">
      <c r="A525" s="90">
        <v>551.0</v>
      </c>
      <c r="B525" s="90">
        <v>551.0</v>
      </c>
      <c r="C525" s="91" t="s">
        <v>2165</v>
      </c>
      <c r="D525" s="97"/>
      <c r="E525" s="94" t="s">
        <v>1627</v>
      </c>
      <c r="F525" s="91" t="s">
        <v>1504</v>
      </c>
    </row>
    <row r="526">
      <c r="A526" s="90">
        <v>552.0</v>
      </c>
      <c r="B526" s="90">
        <v>552.0</v>
      </c>
      <c r="C526" s="91" t="s">
        <v>2166</v>
      </c>
      <c r="D526" s="97"/>
      <c r="E526" s="94" t="s">
        <v>1627</v>
      </c>
      <c r="F526" s="91" t="s">
        <v>1504</v>
      </c>
    </row>
    <row r="527">
      <c r="A527" s="90">
        <v>553.0</v>
      </c>
      <c r="B527" s="90">
        <v>553.0</v>
      </c>
      <c r="C527" s="91" t="s">
        <v>2167</v>
      </c>
      <c r="D527" s="97"/>
      <c r="E527" s="94" t="s">
        <v>1627</v>
      </c>
      <c r="F527" s="91" t="s">
        <v>1504</v>
      </c>
    </row>
    <row r="528">
      <c r="A528" s="90">
        <v>554.0</v>
      </c>
      <c r="B528" s="90">
        <v>554.0</v>
      </c>
      <c r="C528" s="91" t="s">
        <v>2168</v>
      </c>
      <c r="D528" s="97"/>
      <c r="E528" s="94" t="s">
        <v>1627</v>
      </c>
      <c r="F528" s="91" t="s">
        <v>1504</v>
      </c>
    </row>
    <row r="529">
      <c r="A529" s="90">
        <v>555.0</v>
      </c>
      <c r="B529" s="90">
        <v>555.0</v>
      </c>
      <c r="C529" s="91" t="s">
        <v>2169</v>
      </c>
      <c r="D529" s="97"/>
      <c r="E529" s="94" t="s">
        <v>1627</v>
      </c>
      <c r="F529" s="91" t="s">
        <v>1504</v>
      </c>
    </row>
    <row r="530">
      <c r="A530" s="90">
        <v>556.0</v>
      </c>
      <c r="B530" s="90">
        <v>556.0</v>
      </c>
      <c r="C530" s="91" t="s">
        <v>2170</v>
      </c>
      <c r="D530" s="97"/>
      <c r="E530" s="94" t="s">
        <v>1627</v>
      </c>
      <c r="F530" s="91" t="s">
        <v>1504</v>
      </c>
    </row>
    <row r="531">
      <c r="A531" s="90">
        <v>557.0</v>
      </c>
      <c r="B531" s="90">
        <v>557.0</v>
      </c>
      <c r="C531" s="95">
        <v>45323.254699074074</v>
      </c>
      <c r="D531" s="97"/>
      <c r="E531" s="94" t="s">
        <v>1627</v>
      </c>
      <c r="F531" s="91" t="s">
        <v>1504</v>
      </c>
    </row>
    <row r="532">
      <c r="A532" s="90">
        <v>558.0</v>
      </c>
      <c r="B532" s="90">
        <v>558.0</v>
      </c>
      <c r="C532" s="91" t="s">
        <v>2171</v>
      </c>
      <c r="D532" s="97"/>
      <c r="E532" s="94" t="s">
        <v>1627</v>
      </c>
      <c r="F532" s="91" t="s">
        <v>1504</v>
      </c>
    </row>
    <row r="533">
      <c r="A533" s="90">
        <v>559.0</v>
      </c>
      <c r="B533" s="90">
        <v>559.0</v>
      </c>
      <c r="C533" s="91" t="s">
        <v>2172</v>
      </c>
      <c r="D533" s="97"/>
      <c r="E533" s="94" t="s">
        <v>1627</v>
      </c>
      <c r="F533" s="91" t="s">
        <v>1504</v>
      </c>
    </row>
    <row r="534">
      <c r="A534" s="90">
        <v>560.0</v>
      </c>
      <c r="B534" s="90">
        <v>560.0</v>
      </c>
      <c r="C534" s="91" t="s">
        <v>2173</v>
      </c>
      <c r="D534" s="97"/>
      <c r="E534" s="94" t="s">
        <v>1627</v>
      </c>
      <c r="F534" s="91" t="s">
        <v>1504</v>
      </c>
    </row>
    <row r="535">
      <c r="A535" s="90">
        <v>561.0</v>
      </c>
      <c r="B535" s="90">
        <v>561.0</v>
      </c>
      <c r="C535" s="91" t="s">
        <v>2174</v>
      </c>
      <c r="D535" s="97"/>
      <c r="E535" s="94" t="s">
        <v>1627</v>
      </c>
      <c r="F535" s="91" t="s">
        <v>1504</v>
      </c>
    </row>
    <row r="536">
      <c r="A536" s="90">
        <v>562.0</v>
      </c>
      <c r="B536" s="90">
        <v>562.0</v>
      </c>
      <c r="C536" s="91" t="s">
        <v>2175</v>
      </c>
      <c r="D536" s="97"/>
      <c r="E536" s="94" t="s">
        <v>1627</v>
      </c>
      <c r="F536" s="91" t="s">
        <v>1504</v>
      </c>
    </row>
    <row r="537">
      <c r="A537" s="90">
        <v>563.0</v>
      </c>
      <c r="B537" s="90">
        <v>563.0</v>
      </c>
      <c r="C537" s="91" t="s">
        <v>2176</v>
      </c>
      <c r="D537" s="97"/>
      <c r="E537" s="94" t="s">
        <v>1627</v>
      </c>
      <c r="F537" s="91" t="s">
        <v>1504</v>
      </c>
    </row>
    <row r="538">
      <c r="A538" s="90">
        <v>564.0</v>
      </c>
      <c r="B538" s="90">
        <v>564.0</v>
      </c>
      <c r="C538" s="91" t="s">
        <v>2177</v>
      </c>
      <c r="D538" s="97"/>
      <c r="E538" s="94" t="s">
        <v>1627</v>
      </c>
      <c r="F538" s="91" t="s">
        <v>1504</v>
      </c>
    </row>
    <row r="539">
      <c r="A539" s="90">
        <v>565.0</v>
      </c>
      <c r="B539" s="90">
        <v>565.0</v>
      </c>
      <c r="C539" s="91" t="s">
        <v>2178</v>
      </c>
      <c r="D539" s="97"/>
      <c r="E539" s="94" t="s">
        <v>1627</v>
      </c>
      <c r="F539" s="91" t="s">
        <v>1504</v>
      </c>
    </row>
    <row r="540">
      <c r="A540" s="90">
        <v>566.0</v>
      </c>
      <c r="B540" s="90">
        <v>566.0</v>
      </c>
      <c r="C540" s="95">
        <v>45414.321284722224</v>
      </c>
      <c r="D540" s="97"/>
      <c r="E540" s="94" t="s">
        <v>1627</v>
      </c>
      <c r="F540" s="91" t="s">
        <v>1504</v>
      </c>
    </row>
    <row r="541">
      <c r="A541" s="90">
        <v>567.0</v>
      </c>
      <c r="B541" s="90">
        <v>567.0</v>
      </c>
      <c r="C541" s="91" t="s">
        <v>2179</v>
      </c>
      <c r="D541" s="97"/>
      <c r="E541" s="94" t="s">
        <v>1627</v>
      </c>
      <c r="F541" s="91" t="s">
        <v>1504</v>
      </c>
    </row>
    <row r="542">
      <c r="A542" s="90">
        <v>568.0</v>
      </c>
      <c r="B542" s="90">
        <v>568.0</v>
      </c>
      <c r="C542" s="91" t="s">
        <v>2180</v>
      </c>
      <c r="D542" s="97"/>
      <c r="E542" s="94" t="s">
        <v>1627</v>
      </c>
      <c r="F542" s="91" t="s">
        <v>1504</v>
      </c>
    </row>
    <row r="543">
      <c r="A543" s="90">
        <v>569.0</v>
      </c>
      <c r="B543" s="90">
        <v>569.0</v>
      </c>
      <c r="C543" s="91" t="s">
        <v>2181</v>
      </c>
      <c r="D543" s="97"/>
      <c r="E543" s="94" t="s">
        <v>1627</v>
      </c>
      <c r="F543" s="91" t="s">
        <v>1504</v>
      </c>
    </row>
    <row r="544">
      <c r="A544" s="90">
        <v>570.0</v>
      </c>
      <c r="B544" s="90">
        <v>570.0</v>
      </c>
      <c r="C544" s="91" t="s">
        <v>2182</v>
      </c>
      <c r="D544" s="97"/>
      <c r="E544" s="94" t="s">
        <v>1627</v>
      </c>
      <c r="F544" s="91" t="s">
        <v>1504</v>
      </c>
    </row>
    <row r="545">
      <c r="A545" s="90">
        <v>571.0</v>
      </c>
      <c r="B545" s="90">
        <v>571.0</v>
      </c>
      <c r="C545" s="91" t="s">
        <v>2183</v>
      </c>
      <c r="D545" s="97"/>
      <c r="E545" s="94" t="s">
        <v>1627</v>
      </c>
      <c r="F545" s="91" t="s">
        <v>1504</v>
      </c>
    </row>
    <row r="546">
      <c r="A546" s="90">
        <v>572.0</v>
      </c>
      <c r="B546" s="90">
        <v>572.0</v>
      </c>
      <c r="C546" s="91" t="s">
        <v>2184</v>
      </c>
      <c r="D546" s="97"/>
      <c r="E546" s="94" t="s">
        <v>1627</v>
      </c>
      <c r="F546" s="91" t="s">
        <v>1504</v>
      </c>
    </row>
    <row r="547">
      <c r="A547" s="90">
        <v>573.0</v>
      </c>
      <c r="B547" s="90">
        <v>573.0</v>
      </c>
      <c r="C547" s="91" t="s">
        <v>2185</v>
      </c>
      <c r="D547" s="97"/>
      <c r="E547" s="94" t="s">
        <v>1627</v>
      </c>
      <c r="F547" s="91" t="s">
        <v>1504</v>
      </c>
    </row>
    <row r="548">
      <c r="A548" s="90">
        <v>574.0</v>
      </c>
      <c r="B548" s="90">
        <v>574.0</v>
      </c>
      <c r="C548" s="100">
        <v>45386.35143310185</v>
      </c>
      <c r="D548" s="97"/>
      <c r="E548" s="94" t="s">
        <v>1627</v>
      </c>
      <c r="F548" s="91" t="s">
        <v>1504</v>
      </c>
    </row>
    <row r="549">
      <c r="A549" s="90">
        <v>575.0</v>
      </c>
      <c r="B549" s="90">
        <v>575.0</v>
      </c>
      <c r="C549" s="100">
        <v>45386.533005324076</v>
      </c>
      <c r="D549" s="97"/>
      <c r="E549" s="92" t="s">
        <v>1621</v>
      </c>
      <c r="F549" s="91" t="s">
        <v>1504</v>
      </c>
      <c r="G549" s="38" t="s">
        <v>1621</v>
      </c>
      <c r="I549" s="96">
        <v>45386.50608796296</v>
      </c>
    </row>
    <row r="550">
      <c r="A550" s="90">
        <v>576.0</v>
      </c>
      <c r="B550" s="90">
        <v>576.0</v>
      </c>
      <c r="C550" s="100">
        <v>45432.44320221065</v>
      </c>
      <c r="D550" s="97"/>
      <c r="E550" s="94" t="s">
        <v>1627</v>
      </c>
      <c r="F550" s="91" t="s">
        <v>1504</v>
      </c>
    </row>
    <row r="551">
      <c r="A551" s="90">
        <v>577.0</v>
      </c>
      <c r="B551" s="90">
        <v>577.0</v>
      </c>
      <c r="C551" s="100">
        <v>45436.389436666665</v>
      </c>
      <c r="D551" s="97"/>
      <c r="E551" s="94" t="s">
        <v>1627</v>
      </c>
      <c r="F551" s="91" t="s">
        <v>1504</v>
      </c>
    </row>
    <row r="552">
      <c r="A552" s="90">
        <v>578.0</v>
      </c>
      <c r="B552" s="90">
        <v>578.0</v>
      </c>
      <c r="C552" s="100">
        <v>45453.44817265046</v>
      </c>
      <c r="D552" s="97"/>
      <c r="E552" s="94" t="s">
        <v>1627</v>
      </c>
      <c r="F552" s="91" t="s">
        <v>1504</v>
      </c>
    </row>
    <row r="553">
      <c r="A553" s="90">
        <v>579.0</v>
      </c>
      <c r="B553" s="90">
        <v>579.0</v>
      </c>
      <c r="C553" s="100">
        <v>45457.46570912037</v>
      </c>
      <c r="D553" s="97"/>
      <c r="E553" s="94" t="s">
        <v>1627</v>
      </c>
      <c r="F553" s="91" t="s">
        <v>1504</v>
      </c>
    </row>
    <row r="554">
      <c r="A554" s="90">
        <v>580.0</v>
      </c>
      <c r="B554" s="90">
        <v>580.0</v>
      </c>
      <c r="C554" s="100">
        <v>45461.61685627315</v>
      </c>
      <c r="D554" s="97"/>
      <c r="E554" s="92" t="s">
        <v>1621</v>
      </c>
      <c r="F554" s="91" t="s">
        <v>1504</v>
      </c>
      <c r="G554" s="38" t="s">
        <v>1621</v>
      </c>
      <c r="I554" s="38" t="s">
        <v>2186</v>
      </c>
    </row>
    <row r="555">
      <c r="A555" s="90">
        <v>581.0</v>
      </c>
      <c r="B555" s="90">
        <v>581.0</v>
      </c>
      <c r="C555" s="100">
        <v>45461.6226499537</v>
      </c>
      <c r="D555" s="97"/>
      <c r="E555" s="94" t="s">
        <v>1627</v>
      </c>
      <c r="F555" s="91" t="s">
        <v>1504</v>
      </c>
    </row>
    <row r="556">
      <c r="A556" s="90">
        <v>582.0</v>
      </c>
      <c r="B556" s="90">
        <v>582.0</v>
      </c>
      <c r="C556" s="100">
        <v>45461.62340498842</v>
      </c>
      <c r="D556" s="97"/>
      <c r="E556" s="93" t="s">
        <v>1505</v>
      </c>
      <c r="F556" s="91" t="s">
        <v>1504</v>
      </c>
      <c r="G556" s="38" t="s">
        <v>1505</v>
      </c>
      <c r="I556" s="38" t="s">
        <v>2187</v>
      </c>
    </row>
    <row r="557">
      <c r="A557" s="90">
        <v>583.0</v>
      </c>
      <c r="B557" s="90">
        <v>583.0</v>
      </c>
      <c r="C557" s="100">
        <v>45462.63635943287</v>
      </c>
      <c r="D557" s="97"/>
      <c r="E557" s="93" t="s">
        <v>1505</v>
      </c>
      <c r="F557" s="91" t="s">
        <v>1504</v>
      </c>
      <c r="G557" s="38" t="s">
        <v>1505</v>
      </c>
      <c r="H557" s="38" t="s">
        <v>2188</v>
      </c>
      <c r="I557" s="38" t="s">
        <v>2189</v>
      </c>
    </row>
    <row r="558">
      <c r="A558" s="90">
        <v>584.0</v>
      </c>
      <c r="B558" s="90">
        <v>584.0</v>
      </c>
      <c r="C558" s="100">
        <v>45463.695465069446</v>
      </c>
      <c r="D558" s="97"/>
      <c r="E558" s="93" t="s">
        <v>1505</v>
      </c>
      <c r="F558" s="91" t="s">
        <v>1504</v>
      </c>
      <c r="G558" s="38" t="s">
        <v>1505</v>
      </c>
      <c r="H558" s="38" t="s">
        <v>2190</v>
      </c>
      <c r="I558" s="38" t="s">
        <v>2191</v>
      </c>
    </row>
    <row r="559">
      <c r="A559" s="90">
        <v>585.0</v>
      </c>
      <c r="B559" s="90">
        <v>585.0</v>
      </c>
      <c r="C559" s="100">
        <v>45468.74564662037</v>
      </c>
      <c r="D559" s="97"/>
      <c r="E559" s="93" t="s">
        <v>1505</v>
      </c>
      <c r="F559" s="91" t="s">
        <v>1504</v>
      </c>
      <c r="G559" s="38" t="s">
        <v>1505</v>
      </c>
      <c r="H559" s="38" t="s">
        <v>2192</v>
      </c>
      <c r="I559" s="38" t="s">
        <v>2193</v>
      </c>
    </row>
    <row r="560">
      <c r="A560" s="90">
        <v>586.0</v>
      </c>
      <c r="B560" s="90">
        <v>586.0</v>
      </c>
      <c r="C560" s="100">
        <v>45470.525657245365</v>
      </c>
      <c r="D560" s="97"/>
      <c r="E560" s="93" t="s">
        <v>1505</v>
      </c>
      <c r="F560" s="91" t="s">
        <v>1504</v>
      </c>
      <c r="G560" s="38" t="s">
        <v>1505</v>
      </c>
      <c r="I560" s="38" t="s">
        <v>2194</v>
      </c>
    </row>
    <row r="561">
      <c r="A561" s="90">
        <v>587.0</v>
      </c>
      <c r="B561" s="90">
        <v>587.0</v>
      </c>
      <c r="C561" s="100">
        <v>45474.353350694444</v>
      </c>
      <c r="D561" s="97"/>
      <c r="E561" s="94" t="s">
        <v>1627</v>
      </c>
      <c r="F561" s="91" t="s">
        <v>1504</v>
      </c>
    </row>
    <row r="562">
      <c r="A562" s="90">
        <v>588.0</v>
      </c>
      <c r="B562" s="90">
        <v>588.0</v>
      </c>
      <c r="C562" s="100">
        <v>45474.359759259256</v>
      </c>
      <c r="D562" s="97"/>
      <c r="E562" s="94" t="s">
        <v>1627</v>
      </c>
      <c r="F562" s="91" t="s">
        <v>1504</v>
      </c>
    </row>
    <row r="563">
      <c r="A563" s="90">
        <v>589.0</v>
      </c>
      <c r="B563" s="90">
        <v>589.0</v>
      </c>
      <c r="C563" s="100">
        <v>45477.51339684028</v>
      </c>
      <c r="D563" s="97"/>
      <c r="E563" s="94" t="s">
        <v>1627</v>
      </c>
      <c r="F563" s="91" t="s">
        <v>1504</v>
      </c>
    </row>
    <row r="564">
      <c r="A564" s="90">
        <v>590.0</v>
      </c>
      <c r="B564" s="90">
        <v>590.0</v>
      </c>
      <c r="C564" s="100">
        <v>45484.42461519676</v>
      </c>
      <c r="D564" s="97"/>
      <c r="E564" s="93" t="s">
        <v>1505</v>
      </c>
      <c r="F564" s="91" t="s">
        <v>1504</v>
      </c>
      <c r="G564" s="38" t="s">
        <v>1505</v>
      </c>
      <c r="I564" s="96">
        <v>45603.35539351852</v>
      </c>
    </row>
    <row r="565">
      <c r="A565" s="90">
        <v>591.0</v>
      </c>
      <c r="B565" s="90">
        <v>591.0</v>
      </c>
      <c r="C565" s="100">
        <v>45488.46659145833</v>
      </c>
      <c r="D565" s="97"/>
      <c r="E565" s="94" t="s">
        <v>1627</v>
      </c>
      <c r="F565" s="91" t="s">
        <v>1504</v>
      </c>
    </row>
    <row r="566">
      <c r="A566" s="90">
        <v>592.0</v>
      </c>
      <c r="B566" s="90">
        <v>592.0</v>
      </c>
      <c r="C566" s="100">
        <v>45491.68029059027</v>
      </c>
      <c r="D566" s="97"/>
      <c r="E566" s="94" t="s">
        <v>1627</v>
      </c>
      <c r="F566" s="91" t="s">
        <v>1504</v>
      </c>
    </row>
    <row r="567">
      <c r="A567" s="90">
        <v>593.0</v>
      </c>
      <c r="B567" s="90">
        <v>593.0</v>
      </c>
      <c r="C567" s="100">
        <v>45492.34640966435</v>
      </c>
      <c r="D567" s="97"/>
      <c r="E567" s="94" t="s">
        <v>1627</v>
      </c>
      <c r="F567" s="91" t="s">
        <v>1504</v>
      </c>
    </row>
    <row r="568">
      <c r="A568" s="90">
        <v>594.0</v>
      </c>
      <c r="B568" s="90">
        <v>594.0</v>
      </c>
      <c r="C568" s="100">
        <v>45503.657802870366</v>
      </c>
      <c r="D568" s="97"/>
      <c r="E568" s="94" t="s">
        <v>1627</v>
      </c>
      <c r="F568" s="91" t="s">
        <v>1504</v>
      </c>
    </row>
    <row r="569">
      <c r="A569" s="90">
        <v>595.0</v>
      </c>
      <c r="B569" s="90">
        <v>595.0</v>
      </c>
      <c r="C569" s="100">
        <v>45544.701476331014</v>
      </c>
      <c r="D569" s="97"/>
      <c r="E569" s="93" t="s">
        <v>1505</v>
      </c>
      <c r="F569" s="91" t="s">
        <v>1504</v>
      </c>
      <c r="G569" s="38" t="s">
        <v>1505</v>
      </c>
      <c r="H569" s="38" t="s">
        <v>2195</v>
      </c>
      <c r="I569" s="96">
        <v>45574.305613425924</v>
      </c>
    </row>
    <row r="570">
      <c r="A570" s="90">
        <v>596.0</v>
      </c>
      <c r="B570" s="90">
        <v>596.0</v>
      </c>
      <c r="C570" s="100">
        <v>45545.49081074074</v>
      </c>
      <c r="D570" s="97"/>
      <c r="E570" s="94" t="s">
        <v>1627</v>
      </c>
      <c r="F570" s="91" t="s">
        <v>1504</v>
      </c>
    </row>
    <row r="571">
      <c r="A571" s="90">
        <v>597.0</v>
      </c>
      <c r="B571" s="90">
        <v>597.0</v>
      </c>
      <c r="C571" s="100">
        <v>45579.44826599537</v>
      </c>
      <c r="D571" s="97"/>
      <c r="E571" s="94" t="s">
        <v>1627</v>
      </c>
      <c r="F571" s="91" t="s">
        <v>1504</v>
      </c>
    </row>
    <row r="572">
      <c r="A572" s="90">
        <v>598.0</v>
      </c>
      <c r="B572" s="90">
        <v>598.0</v>
      </c>
      <c r="C572" s="100">
        <v>45587.63192840278</v>
      </c>
      <c r="D572" s="97"/>
      <c r="E572" s="93" t="s">
        <v>1505</v>
      </c>
      <c r="F572" s="91" t="s">
        <v>1504</v>
      </c>
      <c r="G572" s="38" t="s">
        <v>1505</v>
      </c>
      <c r="I572" s="38" t="s">
        <v>2196</v>
      </c>
    </row>
    <row r="573">
      <c r="A573" s="90">
        <v>599.0</v>
      </c>
      <c r="B573" s="90">
        <v>599.0</v>
      </c>
      <c r="C573" s="100">
        <v>45595.587890717594</v>
      </c>
      <c r="D573" s="97"/>
      <c r="E573" s="94" t="s">
        <v>1627</v>
      </c>
      <c r="F573" s="91" t="s">
        <v>1504</v>
      </c>
    </row>
    <row r="574">
      <c r="A574" s="90">
        <v>600.0</v>
      </c>
      <c r="B574" s="90">
        <v>600.0</v>
      </c>
      <c r="C574" s="100">
        <v>45596.4596700463</v>
      </c>
      <c r="D574" s="97"/>
      <c r="E574" s="94" t="s">
        <v>1627</v>
      </c>
      <c r="F574" s="91" t="s">
        <v>1504</v>
      </c>
    </row>
    <row r="575">
      <c r="A575" s="90">
        <v>601.0</v>
      </c>
      <c r="B575" s="90">
        <v>601.0</v>
      </c>
      <c r="C575" s="100">
        <v>45609.40300539352</v>
      </c>
      <c r="D575" s="97"/>
      <c r="E575" s="94" t="s">
        <v>1627</v>
      </c>
      <c r="F575" s="91" t="s">
        <v>1504</v>
      </c>
    </row>
    <row r="576">
      <c r="A576" s="90">
        <v>602.0</v>
      </c>
      <c r="B576" s="90">
        <v>602.0</v>
      </c>
      <c r="C576" s="100">
        <v>45609.56971498842</v>
      </c>
      <c r="D576" s="97"/>
      <c r="E576" s="94" t="s">
        <v>1627</v>
      </c>
      <c r="F576" s="91" t="s">
        <v>1504</v>
      </c>
    </row>
    <row r="577">
      <c r="A577" s="90">
        <v>603.0</v>
      </c>
      <c r="B577" s="90">
        <v>603.0</v>
      </c>
      <c r="C577" s="100">
        <v>45609.589719282405</v>
      </c>
      <c r="D577" s="97"/>
      <c r="E577" s="94" t="s">
        <v>1627</v>
      </c>
      <c r="F577" s="91" t="s">
        <v>1504</v>
      </c>
    </row>
    <row r="578">
      <c r="A578" s="90">
        <v>604.0</v>
      </c>
      <c r="B578" s="90">
        <v>604.0</v>
      </c>
      <c r="C578" s="100">
        <v>45611.348681145835</v>
      </c>
      <c r="D578" s="97"/>
      <c r="E578" s="94" t="s">
        <v>1627</v>
      </c>
      <c r="F578" s="91" t="s">
        <v>1504</v>
      </c>
    </row>
    <row r="579">
      <c r="A579" s="90">
        <v>605.0</v>
      </c>
      <c r="B579" s="90">
        <v>605.0</v>
      </c>
      <c r="C579" s="100">
        <v>45614.41369613426</v>
      </c>
      <c r="D579" s="97"/>
      <c r="E579" s="94" t="s">
        <v>1627</v>
      </c>
      <c r="F579" s="91" t="s">
        <v>1504</v>
      </c>
    </row>
    <row r="580">
      <c r="A580" s="90">
        <v>606.0</v>
      </c>
      <c r="B580" s="90">
        <v>606.0</v>
      </c>
      <c r="C580" s="100">
        <v>45614.77148589121</v>
      </c>
      <c r="D580" s="97"/>
      <c r="E580" s="94" t="s">
        <v>1627</v>
      </c>
      <c r="F580" s="91" t="s">
        <v>1504</v>
      </c>
    </row>
    <row r="581">
      <c r="A581" s="90">
        <v>607.0</v>
      </c>
      <c r="B581" s="90">
        <v>607.0</v>
      </c>
      <c r="C581" s="100">
        <v>45625.71807236111</v>
      </c>
      <c r="D581" s="97"/>
      <c r="E581" s="94" t="s">
        <v>1627</v>
      </c>
      <c r="F581" s="91" t="s">
        <v>1504</v>
      </c>
    </row>
    <row r="582">
      <c r="A582" s="90">
        <v>608.0</v>
      </c>
      <c r="B582" s="90">
        <v>608.0</v>
      </c>
      <c r="C582" s="100">
        <v>45635.58115625</v>
      </c>
      <c r="D582" s="97"/>
      <c r="E582" s="94" t="s">
        <v>1627</v>
      </c>
      <c r="F582" s="91" t="s">
        <v>1504</v>
      </c>
    </row>
    <row r="583">
      <c r="A583" s="90">
        <v>609.0</v>
      </c>
      <c r="B583" s="90">
        <v>609.0</v>
      </c>
      <c r="C583" s="100">
        <v>45642.459705393514</v>
      </c>
      <c r="D583" s="97"/>
      <c r="E583" s="94" t="s">
        <v>1627</v>
      </c>
      <c r="F583" s="91" t="s">
        <v>1504</v>
      </c>
    </row>
    <row r="584">
      <c r="A584" s="90">
        <v>610.0</v>
      </c>
      <c r="B584" s="90">
        <v>610.0</v>
      </c>
      <c r="C584" s="100">
        <v>45670.52736918982</v>
      </c>
      <c r="D584" s="97"/>
      <c r="E584" s="94" t="s">
        <v>1627</v>
      </c>
      <c r="F584" s="91" t="s">
        <v>1504</v>
      </c>
    </row>
    <row r="585">
      <c r="A585" s="90">
        <v>611.0</v>
      </c>
      <c r="B585" s="90">
        <v>611.0</v>
      </c>
      <c r="C585" s="100">
        <v>45673.33856552083</v>
      </c>
      <c r="D585" s="97"/>
      <c r="E585" s="93" t="s">
        <v>1505</v>
      </c>
      <c r="F585" s="91" t="s">
        <v>1504</v>
      </c>
      <c r="G585" s="38" t="s">
        <v>1505</v>
      </c>
      <c r="I585" s="38" t="s">
        <v>2197</v>
      </c>
    </row>
    <row r="586">
      <c r="A586" s="90">
        <v>612.0</v>
      </c>
      <c r="B586" s="90">
        <v>612.0</v>
      </c>
      <c r="C586" s="100">
        <v>45677.417577534725</v>
      </c>
      <c r="D586" s="97"/>
      <c r="E586" s="94" t="s">
        <v>1627</v>
      </c>
      <c r="F586" s="91" t="s">
        <v>1504</v>
      </c>
    </row>
    <row r="587">
      <c r="A587" s="90">
        <v>613.0</v>
      </c>
      <c r="B587" s="90">
        <v>613.0</v>
      </c>
      <c r="C587" s="100">
        <v>45677.427118287036</v>
      </c>
      <c r="D587" s="97"/>
      <c r="E587" s="94" t="s">
        <v>1627</v>
      </c>
      <c r="F587" s="91" t="s">
        <v>1504</v>
      </c>
    </row>
    <row r="588">
      <c r="A588" s="90">
        <v>614.0</v>
      </c>
      <c r="B588" s="90">
        <v>614.0</v>
      </c>
      <c r="C588" s="100">
        <v>45677.44250899306</v>
      </c>
      <c r="D588" s="97"/>
      <c r="E588" s="94" t="s">
        <v>1627</v>
      </c>
      <c r="F588" s="91" t="s">
        <v>1504</v>
      </c>
    </row>
    <row r="589">
      <c r="A589" s="90">
        <v>615.0</v>
      </c>
      <c r="B589" s="90">
        <v>615.0</v>
      </c>
      <c r="C589" s="100">
        <v>45677.44481400463</v>
      </c>
      <c r="D589" s="97"/>
      <c r="E589" s="94" t="s">
        <v>1627</v>
      </c>
      <c r="F589" s="91" t="s">
        <v>1504</v>
      </c>
    </row>
    <row r="590">
      <c r="A590" s="90">
        <v>616.0</v>
      </c>
      <c r="B590" s="90">
        <v>616.0</v>
      </c>
      <c r="C590" s="100">
        <v>45679.46245309028</v>
      </c>
      <c r="D590" s="97"/>
      <c r="E590" s="94" t="s">
        <v>1627</v>
      </c>
      <c r="F590" s="91" t="s">
        <v>1504</v>
      </c>
    </row>
    <row r="591">
      <c r="A591" s="90">
        <v>617.0</v>
      </c>
      <c r="B591" s="90">
        <v>617.0</v>
      </c>
      <c r="C591" s="100">
        <v>45693.70358908565</v>
      </c>
      <c r="D591" s="97"/>
      <c r="E591" s="94" t="s">
        <v>1627</v>
      </c>
      <c r="F591" s="91" t="s">
        <v>1504</v>
      </c>
    </row>
    <row r="592">
      <c r="A592" s="90">
        <v>618.0</v>
      </c>
      <c r="B592" s="90">
        <v>618.0</v>
      </c>
      <c r="C592" s="100">
        <v>45698.42323325231</v>
      </c>
      <c r="D592" s="97"/>
      <c r="E592" s="94" t="s">
        <v>1627</v>
      </c>
      <c r="F592" s="91" t="s">
        <v>1504</v>
      </c>
    </row>
    <row r="593">
      <c r="A593" s="90">
        <v>619.0</v>
      </c>
      <c r="B593" s="90">
        <v>619.0</v>
      </c>
      <c r="C593" s="100">
        <v>45708.44441737268</v>
      </c>
      <c r="D593" s="97"/>
      <c r="E593" s="94" t="s">
        <v>1627</v>
      </c>
      <c r="F593" s="91" t="s">
        <v>1504</v>
      </c>
    </row>
    <row r="594">
      <c r="A594" s="90">
        <v>620.0</v>
      </c>
      <c r="B594" s="90">
        <v>620.0</v>
      </c>
      <c r="C594" s="100">
        <v>45719.41177475694</v>
      </c>
      <c r="D594" s="97"/>
      <c r="E594" s="94" t="s">
        <v>1627</v>
      </c>
      <c r="F594" s="91" t="s">
        <v>1504</v>
      </c>
    </row>
    <row r="595">
      <c r="A595" s="90">
        <v>621.0</v>
      </c>
      <c r="B595" s="90">
        <v>621.0</v>
      </c>
      <c r="C595" s="100">
        <v>45722.57438626158</v>
      </c>
      <c r="D595" s="97"/>
      <c r="E595" s="94" t="s">
        <v>1627</v>
      </c>
      <c r="F595" s="91" t="s">
        <v>1504</v>
      </c>
    </row>
    <row r="596">
      <c r="A596" s="90">
        <v>622.0</v>
      </c>
      <c r="B596" s="90">
        <v>622.0</v>
      </c>
      <c r="C596" s="100">
        <v>45729.53651744213</v>
      </c>
      <c r="D596" s="97"/>
      <c r="E596" s="94" t="s">
        <v>1627</v>
      </c>
      <c r="F596" s="91" t="s">
        <v>1504</v>
      </c>
    </row>
    <row r="597">
      <c r="A597" s="90">
        <v>623.0</v>
      </c>
      <c r="B597" s="90">
        <v>623.0</v>
      </c>
      <c r="C597" s="100">
        <v>45736.44446752315</v>
      </c>
      <c r="D597" s="97"/>
      <c r="E597" s="94" t="s">
        <v>1627</v>
      </c>
      <c r="F597" s="91" t="s">
        <v>1504</v>
      </c>
    </row>
    <row r="598">
      <c r="A598" s="90">
        <v>624.0</v>
      </c>
      <c r="B598" s="90">
        <v>624.0</v>
      </c>
      <c r="C598" s="100">
        <v>45743.320361782404</v>
      </c>
      <c r="D598" s="97"/>
      <c r="E598" s="94" t="s">
        <v>1627</v>
      </c>
      <c r="F598" s="91" t="s">
        <v>1504</v>
      </c>
    </row>
    <row r="599">
      <c r="A599" s="90">
        <v>625.0</v>
      </c>
      <c r="B599" s="90">
        <v>625.0</v>
      </c>
      <c r="C599" s="100">
        <v>45749.355106550924</v>
      </c>
      <c r="D599" s="97"/>
      <c r="E599" s="94" t="s">
        <v>1627</v>
      </c>
      <c r="F599" s="91" t="s">
        <v>1504</v>
      </c>
    </row>
    <row r="600">
      <c r="A600" s="90">
        <v>626.0</v>
      </c>
      <c r="B600" s="90">
        <v>626.0</v>
      </c>
      <c r="C600" s="100">
        <v>45770.45361386574</v>
      </c>
      <c r="D600" s="97"/>
      <c r="E600" s="94" t="s">
        <v>1627</v>
      </c>
      <c r="F600" s="91" t="s">
        <v>1504</v>
      </c>
    </row>
    <row r="601">
      <c r="A601" s="90">
        <v>627.0</v>
      </c>
      <c r="B601" s="90">
        <v>627.0</v>
      </c>
      <c r="C601" s="100">
        <v>45846.43207178241</v>
      </c>
      <c r="D601" s="97"/>
      <c r="E601" s="94" t="s">
        <v>1627</v>
      </c>
      <c r="F601" s="91" t="s">
        <v>1504</v>
      </c>
    </row>
    <row r="602">
      <c r="A602" s="90">
        <v>628.0</v>
      </c>
      <c r="B602" s="90">
        <v>628.0</v>
      </c>
      <c r="C602" s="100">
        <v>45863.515005381945</v>
      </c>
      <c r="D602" s="97"/>
      <c r="E602" s="94" t="s">
        <v>1627</v>
      </c>
      <c r="F602" s="91" t="s">
        <v>1504</v>
      </c>
    </row>
    <row r="603">
      <c r="A603" s="90">
        <v>629.0</v>
      </c>
      <c r="B603" s="90">
        <v>629.0</v>
      </c>
      <c r="C603" s="100">
        <v>45866.420510104166</v>
      </c>
      <c r="D603" s="97"/>
      <c r="E603" s="94" t="s">
        <v>1627</v>
      </c>
      <c r="F603" s="91" t="s">
        <v>1504</v>
      </c>
    </row>
    <row r="604">
      <c r="A604" s="90">
        <v>630.0</v>
      </c>
      <c r="B604" s="90">
        <v>630.0</v>
      </c>
      <c r="C604" s="100">
        <v>45874.35594436343</v>
      </c>
      <c r="D604" s="97"/>
      <c r="E604" s="94" t="s">
        <v>1627</v>
      </c>
      <c r="F604" s="91" t="s">
        <v>1504</v>
      </c>
    </row>
    <row r="605">
      <c r="A605" s="90">
        <v>631.0</v>
      </c>
      <c r="B605" s="90">
        <v>631.0</v>
      </c>
      <c r="C605" s="100">
        <v>45915.668622708334</v>
      </c>
      <c r="D605" s="97"/>
      <c r="E605" s="94" t="s">
        <v>1627</v>
      </c>
      <c r="F605" s="91" t="s">
        <v>1504</v>
      </c>
    </row>
    <row r="606">
      <c r="A606" s="90">
        <v>632.0</v>
      </c>
      <c r="B606" s="90">
        <v>632.0</v>
      </c>
      <c r="C606" s="100">
        <v>45923.51959380787</v>
      </c>
      <c r="D606" s="97"/>
      <c r="E606" s="94" t="s">
        <v>1627</v>
      </c>
      <c r="F606" s="91" t="s">
        <v>1504</v>
      </c>
    </row>
    <row r="607">
      <c r="A607" s="90">
        <v>633.0</v>
      </c>
      <c r="B607" s="90">
        <v>633.0</v>
      </c>
      <c r="C607" s="100">
        <v>45929.43946743055</v>
      </c>
      <c r="D607" s="97"/>
      <c r="E607" s="94" t="s">
        <v>1627</v>
      </c>
      <c r="F607" s="91" t="s">
        <v>1504</v>
      </c>
    </row>
    <row r="608">
      <c r="A608" s="90">
        <v>634.0</v>
      </c>
      <c r="B608" s="90">
        <v>634.0</v>
      </c>
      <c r="C608" s="100">
        <v>45945.63191414352</v>
      </c>
      <c r="D608" s="97"/>
      <c r="E608" s="94" t="s">
        <v>1627</v>
      </c>
      <c r="F608" s="91" t="s">
        <v>1504</v>
      </c>
    </row>
    <row r="609">
      <c r="A609" s="90">
        <v>635.0</v>
      </c>
      <c r="B609" s="90">
        <v>635.0</v>
      </c>
      <c r="C609" s="100">
        <v>45957.42170065972</v>
      </c>
      <c r="D609" s="97"/>
      <c r="E609" s="94" t="s">
        <v>1627</v>
      </c>
      <c r="F609" s="91" t="s">
        <v>1504</v>
      </c>
    </row>
    <row r="610">
      <c r="A610" s="90">
        <v>636.0</v>
      </c>
      <c r="B610" s="90">
        <v>636.0</v>
      </c>
      <c r="C610" s="100">
        <v>46034.69466079861</v>
      </c>
      <c r="D610" s="97"/>
      <c r="E610" s="94" t="s">
        <v>1627</v>
      </c>
      <c r="F610" s="91" t="s">
        <v>1504</v>
      </c>
    </row>
    <row r="611">
      <c r="A611" s="90">
        <v>637.0</v>
      </c>
      <c r="B611" s="90">
        <v>637.0</v>
      </c>
      <c r="C611" s="100">
        <v>46049.6295133449</v>
      </c>
      <c r="D611" s="97"/>
      <c r="E611" s="94" t="s">
        <v>1627</v>
      </c>
      <c r="F611" s="91" t="s">
        <v>1504</v>
      </c>
    </row>
    <row r="612">
      <c r="A612" s="97">
        <v>638.0</v>
      </c>
      <c r="B612" s="97">
        <v>638.0</v>
      </c>
      <c r="C612" s="101">
        <v>46125.38672469908</v>
      </c>
      <c r="D612" s="97" t="s">
        <v>827</v>
      </c>
      <c r="E612" s="102" t="s">
        <v>1627</v>
      </c>
      <c r="F612" s="97" t="s">
        <v>1504</v>
      </c>
    </row>
  </sheetData>
  <mergeCells count="15">
    <mergeCell ref="N1:Q1"/>
    <mergeCell ref="R1:U1"/>
    <mergeCell ref="V1:Y1"/>
    <mergeCell ref="Z1:AC1"/>
    <mergeCell ref="AD1:AG1"/>
    <mergeCell ref="AH1:AK1"/>
    <mergeCell ref="AL1:AO1"/>
    <mergeCell ref="AP1:AS1"/>
    <mergeCell ref="A1:A2"/>
    <mergeCell ref="B1:B2"/>
    <mergeCell ref="C1:C2"/>
    <mergeCell ref="D1:D2"/>
    <mergeCell ref="E1:E2"/>
    <mergeCell ref="F1:I1"/>
    <mergeCell ref="J1:M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26.38"/>
    <col customWidth="1" min="3" max="3" width="32.5"/>
    <col customWidth="1" min="4" max="4" width="54.0"/>
    <col customWidth="1" min="5" max="5" width="46.13"/>
    <col customWidth="1" min="6" max="6" width="74.13"/>
    <col customWidth="1" min="7" max="7" width="71.5"/>
    <col customWidth="1" min="8" max="8" width="249.75"/>
    <col customWidth="1" min="9" max="9" width="88.25"/>
    <col customWidth="1" min="10" max="10" width="39.63"/>
    <col customWidth="1" min="11" max="17" width="18.88"/>
    <col customWidth="1" min="18" max="18" width="23.75"/>
    <col customWidth="1" hidden="1" min="19" max="20" width="30.13"/>
    <col customWidth="1" min="21" max="22" width="27.25"/>
    <col customWidth="1" min="23" max="28" width="18.88"/>
  </cols>
  <sheetData>
    <row r="1">
      <c r="A1" s="66" t="s">
        <v>820</v>
      </c>
      <c r="B1" s="66" t="s">
        <v>2198</v>
      </c>
      <c r="C1" s="65" t="s">
        <v>2199</v>
      </c>
      <c r="D1" s="66" t="s">
        <v>2200</v>
      </c>
      <c r="E1" s="66" t="s">
        <v>2201</v>
      </c>
      <c r="F1" s="66" t="s">
        <v>2202</v>
      </c>
      <c r="G1" s="66" t="s">
        <v>2203</v>
      </c>
      <c r="H1" s="66" t="s">
        <v>2204</v>
      </c>
      <c r="I1" s="66" t="s">
        <v>2205</v>
      </c>
      <c r="J1" s="66" t="s">
        <v>2206</v>
      </c>
      <c r="K1" s="66" t="s">
        <v>2207</v>
      </c>
      <c r="L1" s="65" t="s">
        <v>823</v>
      </c>
      <c r="M1" s="65" t="s">
        <v>2208</v>
      </c>
      <c r="N1" s="65" t="s">
        <v>2209</v>
      </c>
      <c r="O1" s="65" t="s">
        <v>2210</v>
      </c>
      <c r="P1" s="65" t="s">
        <v>827</v>
      </c>
      <c r="Q1" s="65" t="s">
        <v>827</v>
      </c>
      <c r="R1" s="103" t="s">
        <v>2211</v>
      </c>
      <c r="S1" s="104" t="s">
        <v>2212</v>
      </c>
      <c r="T1" s="104" t="s">
        <v>2212</v>
      </c>
      <c r="U1" s="105" t="s">
        <v>2213</v>
      </c>
      <c r="V1" s="105" t="s">
        <v>2213</v>
      </c>
      <c r="W1" s="66"/>
      <c r="X1" s="82" t="s">
        <v>1435</v>
      </c>
      <c r="Y1" s="66"/>
      <c r="Z1" s="66"/>
      <c r="AA1" s="66"/>
      <c r="AB1" s="66"/>
    </row>
    <row r="2">
      <c r="A2" s="37">
        <v>44599.73709001158</v>
      </c>
      <c r="B2" s="38" t="s">
        <v>827</v>
      </c>
      <c r="C2" s="38" t="s">
        <v>2214</v>
      </c>
      <c r="D2" s="38" t="s">
        <v>896</v>
      </c>
    </row>
    <row r="3">
      <c r="A3" s="37">
        <v>44599.77452902778</v>
      </c>
      <c r="B3" s="38" t="s">
        <v>2215</v>
      </c>
      <c r="C3" s="38" t="s">
        <v>104</v>
      </c>
      <c r="D3" s="38" t="s">
        <v>896</v>
      </c>
    </row>
    <row r="4">
      <c r="A4" s="37">
        <v>44599.777530810185</v>
      </c>
      <c r="B4" s="38" t="s">
        <v>2216</v>
      </c>
      <c r="C4" s="38" t="s">
        <v>2217</v>
      </c>
      <c r="D4" s="38" t="s">
        <v>896</v>
      </c>
    </row>
    <row r="5">
      <c r="A5" s="37">
        <v>44600.43151854166</v>
      </c>
      <c r="B5" s="38" t="s">
        <v>2218</v>
      </c>
      <c r="C5" s="38" t="s">
        <v>19</v>
      </c>
      <c r="D5" s="38" t="s">
        <v>2219</v>
      </c>
    </row>
    <row r="6">
      <c r="A6" s="37">
        <v>44601.377410057874</v>
      </c>
      <c r="B6" s="38" t="s">
        <v>1657</v>
      </c>
      <c r="C6" s="38" t="s">
        <v>2220</v>
      </c>
      <c r="D6" s="38" t="s">
        <v>896</v>
      </c>
    </row>
    <row r="7">
      <c r="A7" s="37">
        <v>44601.49329496528</v>
      </c>
      <c r="B7" s="38" t="s">
        <v>2215</v>
      </c>
      <c r="C7" s="38" t="s">
        <v>104</v>
      </c>
      <c r="D7" s="38" t="s">
        <v>896</v>
      </c>
      <c r="G7" s="38" t="s">
        <v>2221</v>
      </c>
    </row>
    <row r="8">
      <c r="A8" s="37">
        <v>44608.37777068287</v>
      </c>
      <c r="B8" s="38" t="s">
        <v>2215</v>
      </c>
      <c r="C8" s="38" t="s">
        <v>104</v>
      </c>
      <c r="D8" s="38" t="s">
        <v>896</v>
      </c>
      <c r="G8" s="38" t="s">
        <v>2222</v>
      </c>
      <c r="H8" s="38" t="s">
        <v>2223</v>
      </c>
    </row>
    <row r="9">
      <c r="A9" s="37">
        <v>44608.38526429398</v>
      </c>
      <c r="B9" s="38" t="s">
        <v>2224</v>
      </c>
      <c r="C9" s="38" t="s">
        <v>2225</v>
      </c>
      <c r="D9" s="38" t="s">
        <v>896</v>
      </c>
      <c r="G9" s="38" t="s">
        <v>2226</v>
      </c>
      <c r="H9" s="38" t="s">
        <v>2227</v>
      </c>
    </row>
    <row r="10">
      <c r="A10" s="37">
        <v>44609.35229791667</v>
      </c>
      <c r="B10" s="38" t="s">
        <v>2224</v>
      </c>
      <c r="C10" s="38" t="s">
        <v>2228</v>
      </c>
      <c r="D10" s="38" t="s">
        <v>95</v>
      </c>
      <c r="G10" s="38" t="s">
        <v>2229</v>
      </c>
      <c r="H10" s="38" t="s">
        <v>2230</v>
      </c>
    </row>
    <row r="11">
      <c r="A11" s="37">
        <v>44616.63211953704</v>
      </c>
      <c r="B11" s="38" t="s">
        <v>2231</v>
      </c>
      <c r="C11" s="38" t="s">
        <v>415</v>
      </c>
      <c r="D11" s="38" t="s">
        <v>916</v>
      </c>
      <c r="G11" s="38" t="s">
        <v>2232</v>
      </c>
      <c r="H11" s="38" t="s">
        <v>2233</v>
      </c>
    </row>
    <row r="12">
      <c r="A12" s="37">
        <v>44617.66645234954</v>
      </c>
      <c r="B12" s="38" t="s">
        <v>1640</v>
      </c>
      <c r="C12" s="38" t="s">
        <v>2234</v>
      </c>
      <c r="D12" s="38" t="s">
        <v>916</v>
      </c>
      <c r="G12" s="38" t="s">
        <v>2235</v>
      </c>
      <c r="H12" s="38" t="s">
        <v>2236</v>
      </c>
    </row>
    <row r="13">
      <c r="A13" s="37">
        <v>44622.59370600694</v>
      </c>
      <c r="B13" s="38" t="s">
        <v>1640</v>
      </c>
      <c r="C13" s="38" t="s">
        <v>2234</v>
      </c>
      <c r="D13" s="38" t="s">
        <v>916</v>
      </c>
      <c r="G13" s="38" t="s">
        <v>2237</v>
      </c>
      <c r="H13" s="38" t="s">
        <v>2238</v>
      </c>
    </row>
    <row r="14">
      <c r="A14" s="37">
        <v>44623.42800049769</v>
      </c>
      <c r="B14" s="38" t="s">
        <v>1640</v>
      </c>
      <c r="C14" s="38" t="s">
        <v>2234</v>
      </c>
      <c r="D14" s="38" t="s">
        <v>916</v>
      </c>
      <c r="G14" s="38" t="s">
        <v>2235</v>
      </c>
      <c r="H14" s="38" t="s">
        <v>2239</v>
      </c>
      <c r="I14" s="85" t="s">
        <v>2240</v>
      </c>
    </row>
    <row r="15">
      <c r="A15" s="37">
        <v>44624.41922211806</v>
      </c>
      <c r="B15" s="38" t="s">
        <v>1646</v>
      </c>
      <c r="C15" s="38" t="s">
        <v>419</v>
      </c>
      <c r="D15" s="38" t="s">
        <v>52</v>
      </c>
      <c r="G15" s="38" t="s">
        <v>2241</v>
      </c>
      <c r="H15" s="38" t="s">
        <v>2242</v>
      </c>
    </row>
    <row r="16">
      <c r="A16" s="37">
        <v>44627.50219788194</v>
      </c>
      <c r="B16" s="38" t="s">
        <v>1714</v>
      </c>
      <c r="C16" s="38" t="s">
        <v>85</v>
      </c>
      <c r="D16" s="38" t="s">
        <v>82</v>
      </c>
      <c r="G16" s="38" t="s">
        <v>2232</v>
      </c>
      <c r="H16" s="38" t="s">
        <v>2243</v>
      </c>
    </row>
    <row r="17">
      <c r="A17" s="37">
        <v>44641.52623528935</v>
      </c>
      <c r="B17" s="38" t="s">
        <v>1717</v>
      </c>
      <c r="C17" s="38" t="s">
        <v>24</v>
      </c>
      <c r="D17" s="38" t="s">
        <v>2244</v>
      </c>
      <c r="G17" s="38" t="s">
        <v>2241</v>
      </c>
      <c r="H17" s="38" t="s">
        <v>2245</v>
      </c>
    </row>
    <row r="18">
      <c r="A18" s="37">
        <v>44641.528168136574</v>
      </c>
      <c r="B18" s="38" t="s">
        <v>1717</v>
      </c>
      <c r="C18" s="38" t="s">
        <v>24</v>
      </c>
      <c r="D18" s="38" t="s">
        <v>2244</v>
      </c>
      <c r="G18" s="38" t="s">
        <v>2241</v>
      </c>
      <c r="H18" s="38" t="s">
        <v>2246</v>
      </c>
    </row>
    <row r="19">
      <c r="A19" s="37">
        <v>44641.52959386574</v>
      </c>
      <c r="B19" s="38" t="s">
        <v>1717</v>
      </c>
      <c r="C19" s="38" t="s">
        <v>24</v>
      </c>
      <c r="D19" s="38" t="s">
        <v>2244</v>
      </c>
      <c r="G19" s="38" t="s">
        <v>2241</v>
      </c>
      <c r="H19" s="38" t="s">
        <v>2247</v>
      </c>
    </row>
    <row r="20">
      <c r="A20" s="37">
        <v>44649.425915162035</v>
      </c>
      <c r="B20" s="38" t="s">
        <v>2231</v>
      </c>
      <c r="C20" s="38" t="s">
        <v>2248</v>
      </c>
      <c r="D20" s="38" t="s">
        <v>916</v>
      </c>
      <c r="G20" s="38" t="s">
        <v>2249</v>
      </c>
      <c r="H20" s="38" t="s">
        <v>2250</v>
      </c>
    </row>
    <row r="21" ht="24.75" customHeight="1">
      <c r="A21" s="37">
        <v>44663.678660034726</v>
      </c>
      <c r="B21" s="38" t="s">
        <v>1646</v>
      </c>
      <c r="C21" s="38" t="s">
        <v>419</v>
      </c>
      <c r="D21" s="38" t="s">
        <v>52</v>
      </c>
      <c r="G21" s="38" t="s">
        <v>2232</v>
      </c>
      <c r="H21" s="38" t="s">
        <v>2251</v>
      </c>
    </row>
    <row r="22">
      <c r="A22" s="37">
        <v>44670.58584122686</v>
      </c>
      <c r="B22" s="38" t="s">
        <v>2252</v>
      </c>
      <c r="C22" s="38" t="s">
        <v>2253</v>
      </c>
      <c r="D22" s="38" t="s">
        <v>316</v>
      </c>
      <c r="G22" s="38" t="s">
        <v>2232</v>
      </c>
      <c r="H22" s="38" t="s">
        <v>2254</v>
      </c>
      <c r="I22" s="85" t="s">
        <v>2255</v>
      </c>
    </row>
    <row r="23">
      <c r="A23" s="37">
        <v>44671.667428553235</v>
      </c>
      <c r="B23" s="38" t="s">
        <v>2215</v>
      </c>
      <c r="C23" s="38" t="s">
        <v>104</v>
      </c>
      <c r="D23" s="38" t="s">
        <v>95</v>
      </c>
      <c r="F23" s="38" t="s">
        <v>2256</v>
      </c>
      <c r="G23" s="38" t="s">
        <v>2241</v>
      </c>
      <c r="H23" s="38" t="s">
        <v>1519</v>
      </c>
    </row>
    <row r="24">
      <c r="A24" s="37">
        <v>44671.668562453706</v>
      </c>
      <c r="B24" s="38" t="s">
        <v>2215</v>
      </c>
      <c r="F24" s="38" t="s">
        <v>2257</v>
      </c>
      <c r="J24" s="38" t="s">
        <v>1519</v>
      </c>
      <c r="K24" s="38" t="s">
        <v>1519</v>
      </c>
      <c r="L24" s="84"/>
      <c r="M24" s="84"/>
      <c r="N24" s="84"/>
      <c r="O24" s="84"/>
      <c r="P24" s="84"/>
      <c r="Q24" s="84"/>
      <c r="R24" s="38"/>
      <c r="S24" s="38"/>
      <c r="T24" s="38"/>
      <c r="U24" s="38"/>
      <c r="V24" s="38"/>
    </row>
    <row r="25">
      <c r="A25" s="37">
        <v>44671.711169953705</v>
      </c>
      <c r="B25" s="38" t="s">
        <v>2215</v>
      </c>
      <c r="F25" s="38" t="s">
        <v>2257</v>
      </c>
      <c r="J25" s="38" t="s">
        <v>1519</v>
      </c>
      <c r="K25" s="38" t="s">
        <v>1519</v>
      </c>
      <c r="L25" s="84"/>
      <c r="M25" s="84"/>
      <c r="N25" s="84"/>
      <c r="O25" s="84"/>
      <c r="P25" s="84"/>
      <c r="Q25" s="84"/>
      <c r="R25" s="38"/>
      <c r="S25" s="38"/>
      <c r="T25" s="38"/>
      <c r="U25" s="38"/>
      <c r="V25" s="38"/>
    </row>
    <row r="26">
      <c r="A26" s="37">
        <v>44672.486278703705</v>
      </c>
      <c r="B26" s="38" t="s">
        <v>1620</v>
      </c>
      <c r="C26" s="38" t="s">
        <v>2258</v>
      </c>
      <c r="D26" s="38" t="s">
        <v>95</v>
      </c>
      <c r="F26" s="38" t="s">
        <v>2257</v>
      </c>
      <c r="J26" s="38" t="s">
        <v>941</v>
      </c>
      <c r="K26" s="38" t="s">
        <v>2259</v>
      </c>
      <c r="L26" s="84"/>
      <c r="M26" s="84"/>
      <c r="N26" s="84"/>
      <c r="O26" s="84"/>
      <c r="P26" s="84"/>
      <c r="Q26" s="84"/>
      <c r="R26" s="38"/>
      <c r="S26" s="38"/>
      <c r="T26" s="38"/>
      <c r="U26" s="38"/>
      <c r="V26" s="38"/>
    </row>
    <row r="27">
      <c r="A27" s="37">
        <v>44672.5937884375</v>
      </c>
      <c r="B27" s="38" t="s">
        <v>1620</v>
      </c>
      <c r="C27" s="38" t="s">
        <v>2260</v>
      </c>
      <c r="D27" s="38" t="s">
        <v>95</v>
      </c>
      <c r="F27" s="38" t="s">
        <v>2257</v>
      </c>
      <c r="J27" s="38" t="s">
        <v>1519</v>
      </c>
      <c r="K27" s="38" t="s">
        <v>1519</v>
      </c>
      <c r="L27" s="84"/>
      <c r="M27" s="84"/>
      <c r="N27" s="84"/>
      <c r="O27" s="84"/>
      <c r="P27" s="84"/>
      <c r="Q27" s="84"/>
      <c r="R27" s="38"/>
      <c r="S27" s="38"/>
      <c r="T27" s="38"/>
      <c r="U27" s="38"/>
      <c r="V27" s="38"/>
    </row>
    <row r="28">
      <c r="A28" s="37">
        <v>44672.609182025466</v>
      </c>
      <c r="B28" s="38" t="s">
        <v>1620</v>
      </c>
      <c r="C28" s="38" t="s">
        <v>2259</v>
      </c>
      <c r="D28" s="38" t="s">
        <v>95</v>
      </c>
      <c r="F28" s="38" t="s">
        <v>2256</v>
      </c>
      <c r="G28" s="38" t="s">
        <v>2259</v>
      </c>
      <c r="H28" s="38" t="s">
        <v>2259</v>
      </c>
    </row>
    <row r="29">
      <c r="A29" s="37">
        <v>44672.664682013885</v>
      </c>
      <c r="B29" s="38" t="s">
        <v>2261</v>
      </c>
      <c r="C29" s="38" t="s">
        <v>2259</v>
      </c>
      <c r="D29" s="38" t="s">
        <v>82</v>
      </c>
      <c r="F29" s="38" t="s">
        <v>2257</v>
      </c>
      <c r="J29" s="38" t="s">
        <v>2259</v>
      </c>
      <c r="K29" s="38" t="s">
        <v>2262</v>
      </c>
      <c r="L29" s="84"/>
      <c r="M29" s="84"/>
      <c r="N29" s="84"/>
      <c r="O29" s="84"/>
      <c r="P29" s="84"/>
      <c r="Q29" s="84"/>
      <c r="R29" s="38"/>
      <c r="S29" s="38"/>
      <c r="T29" s="38"/>
      <c r="U29" s="38"/>
      <c r="V29" s="38"/>
    </row>
    <row r="30">
      <c r="A30" s="37">
        <v>44677.65890709491</v>
      </c>
      <c r="B30" s="38" t="s">
        <v>1657</v>
      </c>
      <c r="C30" s="38" t="s">
        <v>2263</v>
      </c>
      <c r="D30" s="38" t="s">
        <v>95</v>
      </c>
      <c r="F30" s="38" t="s">
        <v>2264</v>
      </c>
      <c r="J30" s="38" t="s">
        <v>2265</v>
      </c>
      <c r="K30" s="38" t="s">
        <v>2266</v>
      </c>
      <c r="L30" s="84"/>
      <c r="M30" s="84"/>
      <c r="N30" s="84"/>
      <c r="O30" s="84"/>
      <c r="P30" s="84"/>
      <c r="Q30" s="84"/>
      <c r="R30" s="38"/>
      <c r="S30" s="38"/>
      <c r="T30" s="38"/>
      <c r="U30" s="38"/>
      <c r="V30" s="38"/>
    </row>
    <row r="31">
      <c r="A31" s="37">
        <v>44692.388954988426</v>
      </c>
      <c r="B31" s="38" t="s">
        <v>2215</v>
      </c>
      <c r="C31" s="38" t="s">
        <v>2267</v>
      </c>
      <c r="D31" s="38" t="s">
        <v>95</v>
      </c>
      <c r="F31" s="38" t="s">
        <v>2264</v>
      </c>
      <c r="J31" s="38" t="s">
        <v>1519</v>
      </c>
      <c r="K31" s="38" t="s">
        <v>1519</v>
      </c>
      <c r="L31" s="84"/>
      <c r="M31" s="84"/>
      <c r="N31" s="84"/>
      <c r="O31" s="84"/>
      <c r="P31" s="84"/>
      <c r="Q31" s="84"/>
      <c r="R31" s="38"/>
      <c r="S31" s="38"/>
      <c r="T31" s="38"/>
      <c r="U31" s="38"/>
      <c r="V31" s="38"/>
    </row>
    <row r="32">
      <c r="A32" s="37">
        <v>44694.65531976851</v>
      </c>
      <c r="B32" s="38" t="s">
        <v>2268</v>
      </c>
      <c r="C32" s="38" t="s">
        <v>2269</v>
      </c>
      <c r="D32" s="38" t="s">
        <v>82</v>
      </c>
      <c r="E32" s="38" t="s">
        <v>2270</v>
      </c>
      <c r="F32" s="38" t="s">
        <v>2264</v>
      </c>
      <c r="J32" s="38" t="s">
        <v>292</v>
      </c>
      <c r="K32" s="38" t="s">
        <v>2271</v>
      </c>
      <c r="L32" s="84"/>
      <c r="M32" s="84"/>
      <c r="N32" s="84"/>
      <c r="O32" s="84"/>
      <c r="P32" s="84"/>
      <c r="Q32" s="84"/>
      <c r="R32" s="38"/>
      <c r="S32" s="38"/>
      <c r="T32" s="38"/>
      <c r="U32" s="38"/>
      <c r="V32" s="38"/>
    </row>
    <row r="33">
      <c r="A33" s="37">
        <v>44699.34540104167</v>
      </c>
      <c r="B33" s="38" t="s">
        <v>1713</v>
      </c>
      <c r="C33" s="38" t="s">
        <v>2272</v>
      </c>
      <c r="D33" s="38" t="s">
        <v>44</v>
      </c>
      <c r="E33" s="38" t="s">
        <v>2273</v>
      </c>
      <c r="F33" s="38" t="s">
        <v>2274</v>
      </c>
      <c r="G33" s="38" t="s">
        <v>2275</v>
      </c>
      <c r="H33" s="38" t="s">
        <v>2276</v>
      </c>
      <c r="I33" s="38" t="s">
        <v>2277</v>
      </c>
    </row>
    <row r="34">
      <c r="A34" s="37">
        <v>44699.4581053588</v>
      </c>
      <c r="B34" s="38" t="s">
        <v>1713</v>
      </c>
      <c r="C34" s="38" t="s">
        <v>2272</v>
      </c>
      <c r="D34" s="38" t="s">
        <v>44</v>
      </c>
      <c r="E34" s="38" t="s">
        <v>2273</v>
      </c>
      <c r="F34" s="38" t="s">
        <v>2274</v>
      </c>
      <c r="G34" s="38" t="s">
        <v>2249</v>
      </c>
      <c r="H34" s="38" t="s">
        <v>2278</v>
      </c>
    </row>
    <row r="35">
      <c r="A35" s="37">
        <v>44700.40329858796</v>
      </c>
      <c r="B35" s="38" t="s">
        <v>1713</v>
      </c>
      <c r="C35" s="38" t="s">
        <v>2272</v>
      </c>
      <c r="D35" s="38" t="s">
        <v>44</v>
      </c>
      <c r="E35" s="38" t="s">
        <v>2273</v>
      </c>
      <c r="F35" s="38" t="s">
        <v>2274</v>
      </c>
      <c r="G35" s="38" t="s">
        <v>2249</v>
      </c>
      <c r="H35" s="38" t="s">
        <v>2279</v>
      </c>
      <c r="I35" s="85" t="s">
        <v>2280</v>
      </c>
    </row>
    <row r="36">
      <c r="A36" s="37">
        <v>44700.62050255787</v>
      </c>
      <c r="B36" s="38" t="s">
        <v>1713</v>
      </c>
      <c r="C36" s="38" t="s">
        <v>2272</v>
      </c>
      <c r="D36" s="38" t="s">
        <v>44</v>
      </c>
      <c r="E36" s="38" t="s">
        <v>2273</v>
      </c>
      <c r="F36" s="38" t="s">
        <v>2274</v>
      </c>
      <c r="G36" s="38" t="s">
        <v>2249</v>
      </c>
      <c r="H36" s="38" t="s">
        <v>2281</v>
      </c>
    </row>
    <row r="37">
      <c r="A37" s="37">
        <v>44700.743242488425</v>
      </c>
      <c r="B37" s="38" t="s">
        <v>2231</v>
      </c>
      <c r="C37" s="38" t="s">
        <v>2248</v>
      </c>
      <c r="D37" s="38" t="s">
        <v>916</v>
      </c>
      <c r="E37" s="38" t="s">
        <v>2270</v>
      </c>
      <c r="F37" s="38" t="s">
        <v>2264</v>
      </c>
      <c r="J37" s="38" t="s">
        <v>306</v>
      </c>
      <c r="K37" s="38" t="s">
        <v>2282</v>
      </c>
      <c r="L37" s="84"/>
      <c r="M37" s="84"/>
      <c r="N37" s="84"/>
      <c r="O37" s="84"/>
      <c r="P37" s="84"/>
      <c r="Q37" s="84"/>
      <c r="R37" s="38"/>
      <c r="S37" s="38"/>
      <c r="T37" s="38"/>
      <c r="U37" s="38"/>
      <c r="V37" s="38"/>
    </row>
    <row r="38">
      <c r="A38" s="37">
        <v>44701.56118428241</v>
      </c>
      <c r="B38" s="38" t="s">
        <v>1640</v>
      </c>
      <c r="C38" s="38" t="s">
        <v>2234</v>
      </c>
      <c r="D38" s="38" t="s">
        <v>916</v>
      </c>
      <c r="E38" s="38" t="s">
        <v>2283</v>
      </c>
      <c r="F38" s="38" t="s">
        <v>2274</v>
      </c>
      <c r="G38" s="38" t="s">
        <v>2284</v>
      </c>
      <c r="H38" s="38" t="s">
        <v>2285</v>
      </c>
    </row>
    <row r="39">
      <c r="A39" s="37">
        <v>44711.60429472222</v>
      </c>
      <c r="B39" s="38" t="s">
        <v>2286</v>
      </c>
      <c r="C39" s="38" t="s">
        <v>2248</v>
      </c>
      <c r="D39" s="38" t="s">
        <v>916</v>
      </c>
      <c r="E39" s="38" t="s">
        <v>2273</v>
      </c>
      <c r="F39" s="38" t="s">
        <v>2274</v>
      </c>
      <c r="G39" s="38" t="s">
        <v>2232</v>
      </c>
      <c r="H39" s="38" t="s">
        <v>2287</v>
      </c>
      <c r="I39" s="85" t="s">
        <v>2288</v>
      </c>
    </row>
    <row r="40">
      <c r="A40" s="37">
        <v>44712.47302466435</v>
      </c>
      <c r="B40" s="38" t="s">
        <v>1620</v>
      </c>
      <c r="C40" s="38" t="s">
        <v>2289</v>
      </c>
      <c r="D40" s="38" t="s">
        <v>95</v>
      </c>
      <c r="E40" s="38" t="s">
        <v>2283</v>
      </c>
      <c r="F40" s="38" t="s">
        <v>2264</v>
      </c>
      <c r="J40" s="38" t="s">
        <v>1249</v>
      </c>
      <c r="K40" s="38" t="s">
        <v>1519</v>
      </c>
      <c r="L40" s="84"/>
      <c r="M40" s="84"/>
      <c r="N40" s="84"/>
      <c r="O40" s="84"/>
      <c r="P40" s="84"/>
      <c r="Q40" s="84"/>
      <c r="R40" s="90">
        <v>30.0</v>
      </c>
      <c r="S40" s="90"/>
      <c r="T40" s="90"/>
      <c r="V40" s="93" t="s">
        <v>1505</v>
      </c>
    </row>
    <row r="41">
      <c r="A41" s="37">
        <v>44712.47540814815</v>
      </c>
      <c r="B41" s="38" t="s">
        <v>1620</v>
      </c>
      <c r="C41" s="38" t="s">
        <v>2289</v>
      </c>
      <c r="D41" s="38" t="s">
        <v>16</v>
      </c>
      <c r="E41" s="38" t="s">
        <v>2270</v>
      </c>
      <c r="F41" s="38" t="s">
        <v>2264</v>
      </c>
      <c r="J41" s="38" t="s">
        <v>883</v>
      </c>
      <c r="K41" s="38" t="s">
        <v>1519</v>
      </c>
      <c r="L41" s="84"/>
      <c r="M41" s="84"/>
      <c r="N41" s="84"/>
      <c r="O41" s="84"/>
      <c r="P41" s="84"/>
      <c r="Q41" s="84"/>
      <c r="R41" s="90">
        <v>31.0</v>
      </c>
      <c r="S41" s="90"/>
      <c r="T41" s="90"/>
      <c r="V41" s="94" t="s">
        <v>1627</v>
      </c>
    </row>
    <row r="42">
      <c r="A42" s="37">
        <v>44712.476166990746</v>
      </c>
      <c r="B42" s="38" t="s">
        <v>1620</v>
      </c>
      <c r="C42" s="38" t="s">
        <v>2289</v>
      </c>
      <c r="D42" s="38" t="s">
        <v>916</v>
      </c>
      <c r="E42" s="38" t="s">
        <v>2273</v>
      </c>
      <c r="F42" s="38" t="s">
        <v>2264</v>
      </c>
      <c r="J42" s="38" t="s">
        <v>10</v>
      </c>
      <c r="K42" s="38" t="s">
        <v>1519</v>
      </c>
      <c r="L42" s="84"/>
      <c r="M42" s="84"/>
      <c r="N42" s="84"/>
      <c r="O42" s="84"/>
      <c r="P42" s="84"/>
      <c r="Q42" s="84"/>
      <c r="R42" s="90">
        <v>32.0</v>
      </c>
      <c r="S42" s="90"/>
      <c r="T42" s="90"/>
      <c r="V42" s="94" t="s">
        <v>1627</v>
      </c>
    </row>
    <row r="43">
      <c r="A43" s="37">
        <v>44718.40149853009</v>
      </c>
      <c r="B43" s="38" t="s">
        <v>1629</v>
      </c>
      <c r="C43" s="38" t="s">
        <v>2290</v>
      </c>
      <c r="D43" s="38" t="s">
        <v>316</v>
      </c>
      <c r="E43" s="38" t="s">
        <v>2283</v>
      </c>
      <c r="F43" s="38" t="s">
        <v>2264</v>
      </c>
      <c r="J43" s="38" t="s">
        <v>306</v>
      </c>
      <c r="K43" s="38" t="s">
        <v>2291</v>
      </c>
      <c r="L43" s="84"/>
      <c r="M43" s="84"/>
      <c r="N43" s="84"/>
      <c r="O43" s="84"/>
      <c r="P43" s="84"/>
      <c r="Q43" s="84"/>
      <c r="R43" s="90">
        <v>33.0</v>
      </c>
      <c r="S43" s="90"/>
      <c r="T43" s="90"/>
      <c r="V43" s="93" t="s">
        <v>1505</v>
      </c>
    </row>
    <row r="44">
      <c r="A44" s="37">
        <v>44718.40588021991</v>
      </c>
      <c r="B44" s="38" t="s">
        <v>1630</v>
      </c>
      <c r="C44" s="38" t="s">
        <v>2292</v>
      </c>
      <c r="D44" s="38" t="s">
        <v>316</v>
      </c>
      <c r="E44" s="38" t="s">
        <v>2283</v>
      </c>
      <c r="F44" s="38" t="s">
        <v>2264</v>
      </c>
      <c r="J44" s="38" t="s">
        <v>306</v>
      </c>
      <c r="K44" s="38" t="s">
        <v>2293</v>
      </c>
      <c r="L44" s="84"/>
      <c r="M44" s="84"/>
      <c r="N44" s="84"/>
      <c r="O44" s="84"/>
      <c r="P44" s="84"/>
      <c r="Q44" s="84"/>
      <c r="R44" s="90">
        <v>34.0</v>
      </c>
      <c r="S44" s="90"/>
      <c r="T44" s="90"/>
      <c r="V44" s="94" t="s">
        <v>1627</v>
      </c>
    </row>
    <row r="45">
      <c r="A45" s="37">
        <v>44718.40956428241</v>
      </c>
      <c r="B45" s="38" t="s">
        <v>1631</v>
      </c>
      <c r="C45" s="38" t="s">
        <v>2294</v>
      </c>
      <c r="D45" s="38" t="s">
        <v>44</v>
      </c>
      <c r="E45" s="38" t="s">
        <v>2270</v>
      </c>
      <c r="F45" s="38" t="s">
        <v>2274</v>
      </c>
      <c r="G45" s="38" t="s">
        <v>2275</v>
      </c>
      <c r="H45" s="38" t="s">
        <v>2295</v>
      </c>
      <c r="R45" s="90">
        <v>35.0</v>
      </c>
      <c r="S45" s="90"/>
      <c r="T45" s="90"/>
      <c r="V45" s="94" t="s">
        <v>1627</v>
      </c>
    </row>
    <row r="46">
      <c r="A46" s="37">
        <v>44718.41669060185</v>
      </c>
      <c r="B46" s="38" t="s">
        <v>1632</v>
      </c>
      <c r="C46" s="38" t="s">
        <v>390</v>
      </c>
      <c r="D46" s="38" t="s">
        <v>916</v>
      </c>
      <c r="E46" s="38" t="s">
        <v>2270</v>
      </c>
      <c r="F46" s="38" t="s">
        <v>2264</v>
      </c>
      <c r="J46" s="38" t="s">
        <v>2296</v>
      </c>
      <c r="K46" s="38" t="s">
        <v>2297</v>
      </c>
      <c r="L46" s="84"/>
      <c r="M46" s="84"/>
      <c r="N46" s="84"/>
      <c r="O46" s="84"/>
      <c r="P46" s="84"/>
      <c r="Q46" s="84"/>
      <c r="R46" s="90">
        <v>36.0</v>
      </c>
      <c r="S46" s="90"/>
      <c r="T46" s="90"/>
      <c r="V46" s="94" t="s">
        <v>1627</v>
      </c>
    </row>
    <row r="47">
      <c r="A47" s="37">
        <v>44718.4582374537</v>
      </c>
      <c r="B47" s="38" t="s">
        <v>1633</v>
      </c>
      <c r="C47" s="38" t="s">
        <v>2298</v>
      </c>
      <c r="D47" s="38" t="s">
        <v>316</v>
      </c>
      <c r="E47" s="38" t="s">
        <v>2270</v>
      </c>
      <c r="F47" s="38" t="s">
        <v>2274</v>
      </c>
      <c r="G47" s="38" t="s">
        <v>2241</v>
      </c>
      <c r="H47" s="38" t="s">
        <v>2299</v>
      </c>
      <c r="R47" s="90">
        <v>37.0</v>
      </c>
      <c r="S47" s="90"/>
      <c r="T47" s="90"/>
      <c r="V47" s="94" t="s">
        <v>1627</v>
      </c>
    </row>
    <row r="48">
      <c r="A48" s="37">
        <v>44718.68800616898</v>
      </c>
      <c r="B48" s="38" t="s">
        <v>1634</v>
      </c>
      <c r="C48" s="38" t="s">
        <v>2300</v>
      </c>
      <c r="D48" s="38" t="s">
        <v>316</v>
      </c>
      <c r="F48" s="38" t="s">
        <v>2264</v>
      </c>
      <c r="J48" s="38" t="s">
        <v>2301</v>
      </c>
      <c r="K48" s="38" t="s">
        <v>2302</v>
      </c>
      <c r="L48" s="38" t="s">
        <v>2303</v>
      </c>
      <c r="M48" s="106" t="s">
        <v>2304</v>
      </c>
      <c r="N48" s="107"/>
      <c r="O48" s="107"/>
      <c r="P48" s="107"/>
      <c r="Q48" s="107"/>
      <c r="R48" s="90">
        <v>38.0</v>
      </c>
      <c r="S48" s="90"/>
      <c r="T48" s="90"/>
      <c r="V48" s="94" t="s">
        <v>1627</v>
      </c>
      <c r="W48" s="38" t="s">
        <v>2305</v>
      </c>
    </row>
    <row r="49">
      <c r="A49" s="37">
        <v>44718.695857557876</v>
      </c>
      <c r="B49" s="38" t="s">
        <v>1629</v>
      </c>
      <c r="C49" s="38" t="s">
        <v>2306</v>
      </c>
      <c r="D49" s="38" t="s">
        <v>316</v>
      </c>
      <c r="F49" s="38" t="s">
        <v>2264</v>
      </c>
      <c r="J49" s="38" t="s">
        <v>2303</v>
      </c>
      <c r="K49" s="38" t="s">
        <v>2307</v>
      </c>
      <c r="L49" s="38" t="s">
        <v>2308</v>
      </c>
      <c r="M49" s="85" t="s">
        <v>2309</v>
      </c>
      <c r="N49" s="84"/>
      <c r="O49" s="84"/>
      <c r="P49" s="84"/>
      <c r="Q49" s="84"/>
      <c r="R49" s="90">
        <v>39.0</v>
      </c>
      <c r="S49" s="90"/>
      <c r="T49" s="90"/>
      <c r="V49" s="94" t="s">
        <v>1627</v>
      </c>
      <c r="W49" s="38" t="s">
        <v>2310</v>
      </c>
    </row>
    <row r="50">
      <c r="A50" s="37">
        <v>44718.71072756944</v>
      </c>
      <c r="B50" s="38" t="s">
        <v>1630</v>
      </c>
      <c r="C50" s="38" t="s">
        <v>2311</v>
      </c>
      <c r="D50" s="38" t="s">
        <v>316</v>
      </c>
      <c r="F50" s="38" t="s">
        <v>2264</v>
      </c>
      <c r="J50" s="38" t="s">
        <v>2312</v>
      </c>
      <c r="K50" s="38" t="s">
        <v>2313</v>
      </c>
      <c r="L50" s="38" t="s">
        <v>2312</v>
      </c>
      <c r="M50" s="85" t="s">
        <v>2314</v>
      </c>
      <c r="N50" s="84"/>
      <c r="O50" s="84"/>
      <c r="P50" s="84"/>
      <c r="Q50" s="84"/>
      <c r="R50" s="90">
        <v>40.0</v>
      </c>
      <c r="S50" s="90"/>
      <c r="T50" s="90"/>
      <c r="V50" s="94" t="s">
        <v>1627</v>
      </c>
    </row>
    <row r="51">
      <c r="A51" s="37">
        <v>44719.39512369213</v>
      </c>
      <c r="B51" s="38" t="s">
        <v>1635</v>
      </c>
      <c r="C51" s="38" t="s">
        <v>2315</v>
      </c>
      <c r="D51" s="38" t="s">
        <v>316</v>
      </c>
      <c r="F51" s="38" t="s">
        <v>2264</v>
      </c>
      <c r="J51" s="38" t="s">
        <v>2303</v>
      </c>
      <c r="K51" s="38" t="s">
        <v>2316</v>
      </c>
      <c r="L51" s="38" t="s">
        <v>2317</v>
      </c>
      <c r="M51" s="85" t="s">
        <v>2318</v>
      </c>
      <c r="N51" s="84"/>
      <c r="O51" s="84"/>
      <c r="P51" s="84"/>
      <c r="Q51" s="84"/>
      <c r="R51" s="90">
        <v>41.0</v>
      </c>
      <c r="S51" s="90"/>
      <c r="T51" s="90"/>
      <c r="V51" s="93" t="s">
        <v>1505</v>
      </c>
    </row>
    <row r="52">
      <c r="A52" s="37">
        <v>44719.48405792824</v>
      </c>
      <c r="B52" s="38" t="s">
        <v>1636</v>
      </c>
      <c r="C52" s="38" t="s">
        <v>2319</v>
      </c>
      <c r="D52" s="38" t="s">
        <v>316</v>
      </c>
      <c r="F52" s="38" t="s">
        <v>2264</v>
      </c>
      <c r="J52" s="38" t="s">
        <v>306</v>
      </c>
      <c r="K52" s="38" t="s">
        <v>2320</v>
      </c>
      <c r="L52" s="38">
        <v>1.0</v>
      </c>
      <c r="R52" s="90">
        <v>42.0</v>
      </c>
      <c r="S52" s="90"/>
      <c r="T52" s="90"/>
      <c r="V52" s="93" t="s">
        <v>1505</v>
      </c>
    </row>
    <row r="53">
      <c r="A53" s="37">
        <v>44719.52514961806</v>
      </c>
      <c r="B53" s="38" t="s">
        <v>1637</v>
      </c>
      <c r="C53" s="38" t="s">
        <v>11</v>
      </c>
      <c r="D53" s="38" t="s">
        <v>2244</v>
      </c>
      <c r="F53" s="38" t="s">
        <v>2274</v>
      </c>
      <c r="G53" s="38" t="s">
        <v>2241</v>
      </c>
      <c r="H53" s="38" t="s">
        <v>2321</v>
      </c>
      <c r="R53" s="90">
        <v>43.0</v>
      </c>
      <c r="S53" s="90"/>
      <c r="T53" s="90"/>
      <c r="V53" s="93" t="s">
        <v>1505</v>
      </c>
    </row>
    <row r="54">
      <c r="A54" s="37">
        <v>44719.61267864583</v>
      </c>
      <c r="B54" s="38" t="s">
        <v>1639</v>
      </c>
      <c r="C54" s="38" t="s">
        <v>2322</v>
      </c>
      <c r="D54" s="38" t="s">
        <v>35</v>
      </c>
      <c r="F54" s="38" t="s">
        <v>2264</v>
      </c>
      <c r="J54" s="38" t="s">
        <v>1249</v>
      </c>
      <c r="K54" s="38" t="s">
        <v>2323</v>
      </c>
      <c r="L54" s="38">
        <v>1.0</v>
      </c>
      <c r="R54" s="90">
        <v>44.0</v>
      </c>
      <c r="S54" s="90"/>
      <c r="T54" s="90"/>
      <c r="V54" s="93" t="s">
        <v>1505</v>
      </c>
    </row>
    <row r="55">
      <c r="A55" s="37">
        <v>44720.39178204861</v>
      </c>
      <c r="B55" s="38" t="s">
        <v>1640</v>
      </c>
      <c r="C55" s="38" t="s">
        <v>2234</v>
      </c>
      <c r="D55" s="38" t="s">
        <v>916</v>
      </c>
      <c r="F55" s="38" t="s">
        <v>2274</v>
      </c>
      <c r="G55" s="38" t="s">
        <v>2324</v>
      </c>
      <c r="H55" s="38" t="s">
        <v>2325</v>
      </c>
      <c r="R55" s="90">
        <v>45.0</v>
      </c>
      <c r="S55" s="90"/>
      <c r="T55" s="90"/>
      <c r="V55" s="94" t="s">
        <v>1627</v>
      </c>
    </row>
    <row r="56">
      <c r="A56" s="37">
        <v>44720.398186990744</v>
      </c>
      <c r="B56" s="38" t="s">
        <v>1641</v>
      </c>
      <c r="C56" s="38" t="s">
        <v>120</v>
      </c>
      <c r="D56" s="38" t="s">
        <v>95</v>
      </c>
      <c r="F56" s="38" t="s">
        <v>2264</v>
      </c>
      <c r="J56" s="38" t="s">
        <v>306</v>
      </c>
      <c r="K56" s="38" t="s">
        <v>2326</v>
      </c>
      <c r="L56" s="38">
        <v>1.0</v>
      </c>
      <c r="R56" s="90">
        <v>46.0</v>
      </c>
      <c r="S56" s="90"/>
      <c r="T56" s="90"/>
      <c r="V56" s="93" t="s">
        <v>1505</v>
      </c>
    </row>
    <row r="57">
      <c r="A57" s="37">
        <v>44720.701322175926</v>
      </c>
      <c r="B57" s="38" t="s">
        <v>1643</v>
      </c>
      <c r="C57" s="38" t="s">
        <v>2327</v>
      </c>
      <c r="D57" s="38" t="s">
        <v>95</v>
      </c>
      <c r="F57" s="38" t="s">
        <v>2264</v>
      </c>
      <c r="J57" s="38" t="s">
        <v>2328</v>
      </c>
      <c r="K57" s="38" t="s">
        <v>2329</v>
      </c>
      <c r="L57" s="38">
        <v>1.0</v>
      </c>
      <c r="R57" s="90">
        <v>47.0</v>
      </c>
      <c r="S57" s="90"/>
      <c r="T57" s="90"/>
      <c r="V57" s="93" t="s">
        <v>1505</v>
      </c>
    </row>
    <row r="58">
      <c r="A58" s="37">
        <v>44721.47523393518</v>
      </c>
      <c r="B58" s="38" t="s">
        <v>1644</v>
      </c>
      <c r="C58" s="38" t="s">
        <v>54</v>
      </c>
      <c r="D58" s="38" t="s">
        <v>916</v>
      </c>
      <c r="F58" s="38" t="s">
        <v>2264</v>
      </c>
      <c r="J58" s="38" t="s">
        <v>2330</v>
      </c>
      <c r="K58" s="38" t="s">
        <v>2331</v>
      </c>
      <c r="L58" s="38">
        <v>1.0</v>
      </c>
      <c r="R58" s="90">
        <v>48.0</v>
      </c>
      <c r="S58" s="90"/>
      <c r="T58" s="90"/>
      <c r="V58" s="94" t="s">
        <v>1627</v>
      </c>
    </row>
    <row r="59">
      <c r="A59" s="37">
        <v>44722.411311250005</v>
      </c>
      <c r="B59" s="38" t="s">
        <v>1645</v>
      </c>
      <c r="C59" s="38" t="s">
        <v>2332</v>
      </c>
      <c r="D59" s="38" t="s">
        <v>878</v>
      </c>
      <c r="F59" s="38" t="s">
        <v>2264</v>
      </c>
      <c r="J59" s="38" t="s">
        <v>2333</v>
      </c>
      <c r="K59" s="38" t="s">
        <v>2334</v>
      </c>
      <c r="L59" s="38">
        <v>1.0</v>
      </c>
      <c r="R59" s="90">
        <v>49.0</v>
      </c>
      <c r="S59" s="90"/>
      <c r="T59" s="90"/>
      <c r="V59" s="93" t="s">
        <v>1505</v>
      </c>
    </row>
    <row r="60">
      <c r="A60" s="37">
        <v>44722.58367746528</v>
      </c>
      <c r="B60" s="38" t="s">
        <v>1646</v>
      </c>
      <c r="C60" s="38" t="s">
        <v>2335</v>
      </c>
      <c r="D60" s="38" t="s">
        <v>52</v>
      </c>
      <c r="F60" s="38" t="s">
        <v>2274</v>
      </c>
      <c r="G60" s="38" t="s">
        <v>2241</v>
      </c>
      <c r="H60" s="38" t="s">
        <v>2336</v>
      </c>
      <c r="R60" s="90">
        <v>50.0</v>
      </c>
      <c r="S60" s="90"/>
      <c r="T60" s="90"/>
      <c r="V60" s="93" t="s">
        <v>1505</v>
      </c>
    </row>
    <row r="61">
      <c r="A61" s="37">
        <v>44725.34192092593</v>
      </c>
      <c r="B61" s="38" t="s">
        <v>1649</v>
      </c>
      <c r="C61" s="38" t="s">
        <v>1125</v>
      </c>
      <c r="D61" s="38" t="s">
        <v>916</v>
      </c>
      <c r="F61" s="38" t="s">
        <v>2264</v>
      </c>
      <c r="J61" s="38" t="s">
        <v>2337</v>
      </c>
      <c r="K61" s="38" t="s">
        <v>2338</v>
      </c>
      <c r="L61" s="38">
        <v>1.0</v>
      </c>
      <c r="R61" s="90">
        <v>51.0</v>
      </c>
      <c r="S61" s="90"/>
      <c r="T61" s="90"/>
      <c r="V61" s="93" t="s">
        <v>1505</v>
      </c>
    </row>
    <row r="62">
      <c r="A62" s="37">
        <v>44725.48838116898</v>
      </c>
      <c r="B62" s="38" t="s">
        <v>1652</v>
      </c>
      <c r="C62" s="38" t="s">
        <v>1063</v>
      </c>
      <c r="D62" s="38" t="s">
        <v>35</v>
      </c>
      <c r="F62" s="38" t="s">
        <v>2274</v>
      </c>
      <c r="G62" s="38" t="s">
        <v>2241</v>
      </c>
      <c r="H62" s="38" t="s">
        <v>2339</v>
      </c>
      <c r="R62" s="90">
        <v>52.0</v>
      </c>
      <c r="S62" s="90"/>
      <c r="T62" s="90"/>
      <c r="V62" s="92" t="s">
        <v>1621</v>
      </c>
    </row>
    <row r="63">
      <c r="A63" s="37">
        <v>44725.50596607639</v>
      </c>
      <c r="B63" s="38" t="s">
        <v>1641</v>
      </c>
      <c r="C63" s="38" t="s">
        <v>120</v>
      </c>
      <c r="D63" s="38" t="s">
        <v>95</v>
      </c>
      <c r="F63" s="38" t="s">
        <v>2274</v>
      </c>
      <c r="G63" s="38" t="s">
        <v>2241</v>
      </c>
      <c r="H63" s="38" t="s">
        <v>2340</v>
      </c>
      <c r="R63" s="90">
        <v>53.0</v>
      </c>
      <c r="S63" s="90"/>
      <c r="T63" s="90"/>
      <c r="V63" s="94" t="s">
        <v>1627</v>
      </c>
    </row>
    <row r="64">
      <c r="A64" s="37">
        <v>44725.525741562495</v>
      </c>
      <c r="B64" s="38" t="s">
        <v>1657</v>
      </c>
      <c r="C64" s="38" t="s">
        <v>2263</v>
      </c>
      <c r="D64" s="38" t="s">
        <v>95</v>
      </c>
      <c r="F64" s="38" t="s">
        <v>2264</v>
      </c>
      <c r="J64" s="38" t="s">
        <v>2341</v>
      </c>
      <c r="K64" s="38" t="s">
        <v>2342</v>
      </c>
      <c r="L64" s="38">
        <v>2.0</v>
      </c>
      <c r="R64" s="90">
        <v>54.0</v>
      </c>
      <c r="S64" s="90"/>
      <c r="T64" s="90"/>
      <c r="V64" s="94" t="s">
        <v>1627</v>
      </c>
    </row>
    <row r="65">
      <c r="A65" s="37">
        <v>44725.52840821759</v>
      </c>
      <c r="B65" s="38" t="s">
        <v>1657</v>
      </c>
      <c r="C65" s="38" t="s">
        <v>2263</v>
      </c>
      <c r="D65" s="38" t="s">
        <v>95</v>
      </c>
      <c r="F65" s="38" t="s">
        <v>2274</v>
      </c>
      <c r="G65" s="38" t="s">
        <v>2241</v>
      </c>
      <c r="H65" s="38" t="s">
        <v>2343</v>
      </c>
      <c r="R65" s="90">
        <v>55.0</v>
      </c>
      <c r="S65" s="90"/>
      <c r="T65" s="90"/>
      <c r="V65" s="93" t="s">
        <v>1505</v>
      </c>
    </row>
    <row r="66">
      <c r="A66" s="37">
        <v>44725.53473752315</v>
      </c>
      <c r="B66" s="38" t="s">
        <v>1646</v>
      </c>
      <c r="C66" s="38" t="s">
        <v>419</v>
      </c>
      <c r="D66" s="38" t="s">
        <v>52</v>
      </c>
      <c r="F66" s="38" t="s">
        <v>2264</v>
      </c>
      <c r="J66" s="38" t="s">
        <v>883</v>
      </c>
      <c r="K66" s="38" t="s">
        <v>2344</v>
      </c>
      <c r="L66" s="38">
        <v>1.0</v>
      </c>
      <c r="R66" s="90">
        <v>56.0</v>
      </c>
      <c r="S66" s="90"/>
      <c r="T66" s="90"/>
      <c r="V66" s="94" t="s">
        <v>1627</v>
      </c>
    </row>
    <row r="67">
      <c r="A67" s="37">
        <v>44725.53879875</v>
      </c>
      <c r="B67" s="38" t="s">
        <v>1646</v>
      </c>
      <c r="C67" s="38" t="s">
        <v>419</v>
      </c>
      <c r="D67" s="38" t="s">
        <v>52</v>
      </c>
      <c r="F67" s="38" t="s">
        <v>2274</v>
      </c>
      <c r="G67" s="38" t="s">
        <v>2241</v>
      </c>
      <c r="H67" s="38" t="s">
        <v>2345</v>
      </c>
      <c r="R67" s="90">
        <v>57.0</v>
      </c>
      <c r="S67" s="90"/>
      <c r="T67" s="90"/>
      <c r="V67" s="94" t="s">
        <v>1627</v>
      </c>
    </row>
    <row r="68">
      <c r="A68" s="37">
        <v>44725.55705616898</v>
      </c>
      <c r="B68" s="38" t="s">
        <v>1620</v>
      </c>
      <c r="C68" s="38" t="s">
        <v>2271</v>
      </c>
      <c r="D68" s="38" t="s">
        <v>95</v>
      </c>
      <c r="F68" s="38" t="s">
        <v>2274</v>
      </c>
      <c r="G68" s="38" t="s">
        <v>2271</v>
      </c>
      <c r="H68" s="38" t="s">
        <v>1519</v>
      </c>
      <c r="I68" s="85" t="s">
        <v>2346</v>
      </c>
      <c r="R68" s="90">
        <v>58.0</v>
      </c>
      <c r="S68" s="90"/>
      <c r="T68" s="90"/>
      <c r="V68" s="94" t="s">
        <v>1627</v>
      </c>
    </row>
    <row r="69">
      <c r="A69" s="37">
        <v>44725.715891608794</v>
      </c>
      <c r="B69" s="38" t="s">
        <v>1635</v>
      </c>
      <c r="C69" s="38" t="s">
        <v>2347</v>
      </c>
      <c r="D69" s="38" t="s">
        <v>316</v>
      </c>
      <c r="F69" s="38" t="s">
        <v>2274</v>
      </c>
      <c r="G69" s="38" t="s">
        <v>2275</v>
      </c>
      <c r="H69" s="38" t="s">
        <v>2348</v>
      </c>
      <c r="I69" s="38" t="s">
        <v>2349</v>
      </c>
      <c r="R69" s="90">
        <v>59.0</v>
      </c>
      <c r="S69" s="90"/>
      <c r="T69" s="90"/>
      <c r="V69" s="94" t="s">
        <v>1627</v>
      </c>
    </row>
    <row r="70">
      <c r="A70" s="37">
        <v>44726.39877532407</v>
      </c>
      <c r="B70" s="38" t="s">
        <v>1657</v>
      </c>
      <c r="C70" s="38" t="s">
        <v>1120</v>
      </c>
      <c r="D70" s="38" t="s">
        <v>916</v>
      </c>
      <c r="F70" s="38" t="s">
        <v>2264</v>
      </c>
      <c r="J70" s="38" t="s">
        <v>2350</v>
      </c>
      <c r="K70" s="38" t="s">
        <v>2351</v>
      </c>
      <c r="L70" s="38">
        <v>1.0</v>
      </c>
      <c r="R70" s="90">
        <v>60.0</v>
      </c>
      <c r="S70" s="90"/>
      <c r="T70" s="90"/>
      <c r="V70" s="94" t="s">
        <v>1627</v>
      </c>
    </row>
    <row r="71">
      <c r="A71" s="37">
        <v>44726.403509826385</v>
      </c>
      <c r="B71" s="38" t="s">
        <v>1667</v>
      </c>
      <c r="C71" s="38" t="s">
        <v>2352</v>
      </c>
      <c r="D71" s="38" t="s">
        <v>316</v>
      </c>
      <c r="F71" s="38" t="s">
        <v>2274</v>
      </c>
      <c r="G71" s="38" t="s">
        <v>2275</v>
      </c>
      <c r="H71" s="38" t="s">
        <v>2353</v>
      </c>
      <c r="I71" s="38" t="s">
        <v>2354</v>
      </c>
      <c r="R71" s="90">
        <v>61.0</v>
      </c>
      <c r="S71" s="90"/>
      <c r="T71" s="90"/>
      <c r="V71" s="94" t="s">
        <v>1627</v>
      </c>
    </row>
    <row r="72">
      <c r="A72" s="37">
        <v>44726.48953849537</v>
      </c>
      <c r="B72" s="38" t="s">
        <v>1669</v>
      </c>
      <c r="C72" s="38" t="s">
        <v>2355</v>
      </c>
      <c r="D72" s="38" t="s">
        <v>878</v>
      </c>
      <c r="F72" s="38" t="s">
        <v>2274</v>
      </c>
      <c r="G72" s="38" t="s">
        <v>2356</v>
      </c>
      <c r="H72" s="38" t="s">
        <v>2357</v>
      </c>
      <c r="R72" s="90">
        <v>62.0</v>
      </c>
      <c r="S72" s="90"/>
      <c r="T72" s="90"/>
      <c r="V72" s="93" t="s">
        <v>1505</v>
      </c>
    </row>
    <row r="73">
      <c r="A73" s="37">
        <v>44727.649910312495</v>
      </c>
      <c r="B73" s="38" t="s">
        <v>1641</v>
      </c>
      <c r="C73" s="38" t="s">
        <v>120</v>
      </c>
      <c r="D73" s="38" t="s">
        <v>95</v>
      </c>
      <c r="F73" s="38" t="s">
        <v>2264</v>
      </c>
      <c r="J73" s="38" t="s">
        <v>306</v>
      </c>
      <c r="K73" s="38" t="s">
        <v>2358</v>
      </c>
      <c r="L73" s="38">
        <v>1.0</v>
      </c>
      <c r="R73" s="90">
        <v>63.0</v>
      </c>
      <c r="S73" s="90"/>
      <c r="T73" s="90"/>
      <c r="V73" s="93" t="s">
        <v>1505</v>
      </c>
    </row>
    <row r="74">
      <c r="A74" s="37">
        <v>44727.65405510417</v>
      </c>
      <c r="B74" s="38" t="s">
        <v>1675</v>
      </c>
      <c r="C74" s="38" t="s">
        <v>42</v>
      </c>
      <c r="D74" s="38" t="s">
        <v>95</v>
      </c>
      <c r="F74" s="38" t="s">
        <v>2264</v>
      </c>
      <c r="J74" s="38" t="s">
        <v>2359</v>
      </c>
      <c r="K74" s="38" t="s">
        <v>2360</v>
      </c>
      <c r="L74" s="38" t="s">
        <v>2361</v>
      </c>
      <c r="R74" s="90">
        <v>64.0</v>
      </c>
      <c r="S74" s="90"/>
      <c r="T74" s="90"/>
      <c r="V74" s="92" t="s">
        <v>1621</v>
      </c>
    </row>
    <row r="75">
      <c r="A75" s="37">
        <v>44729.39247273148</v>
      </c>
      <c r="B75" s="38" t="s">
        <v>1633</v>
      </c>
      <c r="C75" s="38" t="s">
        <v>2298</v>
      </c>
      <c r="D75" s="38" t="s">
        <v>316</v>
      </c>
      <c r="F75" s="38" t="s">
        <v>2274</v>
      </c>
      <c r="G75" s="38" t="s">
        <v>2241</v>
      </c>
      <c r="H75" s="38" t="s">
        <v>2362</v>
      </c>
      <c r="I75" s="85" t="s">
        <v>2363</v>
      </c>
      <c r="R75" s="90">
        <v>65.0</v>
      </c>
      <c r="S75" s="90"/>
      <c r="T75" s="90"/>
      <c r="V75" s="93" t="s">
        <v>1505</v>
      </c>
    </row>
    <row r="76">
      <c r="A76" s="37">
        <v>44729.416554571755</v>
      </c>
      <c r="B76" s="38" t="s">
        <v>1633</v>
      </c>
      <c r="C76" s="38" t="s">
        <v>2298</v>
      </c>
      <c r="D76" s="38" t="s">
        <v>316</v>
      </c>
      <c r="F76" s="38" t="s">
        <v>2274</v>
      </c>
      <c r="G76" s="38" t="s">
        <v>2364</v>
      </c>
      <c r="H76" s="38" t="s">
        <v>2365</v>
      </c>
      <c r="R76" s="90">
        <v>66.0</v>
      </c>
      <c r="S76" s="90"/>
      <c r="T76" s="90"/>
      <c r="V76" s="93" t="s">
        <v>1505</v>
      </c>
    </row>
    <row r="77">
      <c r="A77" s="37">
        <v>44729.44788519676</v>
      </c>
      <c r="B77" s="38" t="s">
        <v>1643</v>
      </c>
      <c r="C77" s="38" t="s">
        <v>2327</v>
      </c>
      <c r="D77" s="38" t="s">
        <v>95</v>
      </c>
      <c r="F77" s="38" t="s">
        <v>2274</v>
      </c>
      <c r="G77" s="38" t="s">
        <v>2249</v>
      </c>
      <c r="H77" s="38" t="s">
        <v>2366</v>
      </c>
      <c r="R77" s="90">
        <v>67.0</v>
      </c>
      <c r="S77" s="90"/>
      <c r="T77" s="90"/>
      <c r="V77" s="93" t="s">
        <v>1505</v>
      </c>
    </row>
    <row r="78">
      <c r="A78" s="37">
        <v>44729.46331856481</v>
      </c>
      <c r="B78" s="38" t="s">
        <v>1646</v>
      </c>
      <c r="C78" s="38" t="s">
        <v>419</v>
      </c>
      <c r="D78" s="38" t="s">
        <v>52</v>
      </c>
      <c r="F78" s="38" t="s">
        <v>2264</v>
      </c>
      <c r="J78" s="38" t="s">
        <v>2367</v>
      </c>
      <c r="K78" s="38" t="s">
        <v>2368</v>
      </c>
      <c r="L78" s="38">
        <v>1.0</v>
      </c>
      <c r="R78" s="90">
        <v>68.0</v>
      </c>
      <c r="S78" s="90"/>
      <c r="T78" s="90"/>
      <c r="V78" s="93" t="s">
        <v>1505</v>
      </c>
    </row>
    <row r="79">
      <c r="A79" s="37">
        <v>44732.498676655094</v>
      </c>
      <c r="B79" s="38" t="s">
        <v>1643</v>
      </c>
      <c r="C79" s="38" t="s">
        <v>2327</v>
      </c>
      <c r="D79" s="38" t="s">
        <v>95</v>
      </c>
      <c r="F79" s="38" t="s">
        <v>2264</v>
      </c>
      <c r="J79" s="38" t="s">
        <v>1292</v>
      </c>
      <c r="K79" s="38" t="s">
        <v>2369</v>
      </c>
      <c r="L79" s="38">
        <v>1.0</v>
      </c>
      <c r="R79" s="90">
        <v>69.0</v>
      </c>
      <c r="S79" s="90"/>
      <c r="T79" s="90"/>
      <c r="V79" s="93" t="s">
        <v>1505</v>
      </c>
    </row>
    <row r="80">
      <c r="A80" s="37">
        <v>44733.64282171296</v>
      </c>
      <c r="B80" s="38" t="s">
        <v>1640</v>
      </c>
      <c r="C80" s="38" t="s">
        <v>2234</v>
      </c>
      <c r="D80" s="38" t="s">
        <v>916</v>
      </c>
      <c r="F80" s="38" t="s">
        <v>2274</v>
      </c>
      <c r="G80" s="38" t="s">
        <v>2370</v>
      </c>
      <c r="H80" s="38" t="s">
        <v>2371</v>
      </c>
      <c r="R80" s="90">
        <v>70.0</v>
      </c>
      <c r="S80" s="90"/>
      <c r="T80" s="90"/>
      <c r="V80" s="93" t="s">
        <v>1505</v>
      </c>
    </row>
    <row r="81">
      <c r="A81" s="37">
        <v>44734.68303408565</v>
      </c>
      <c r="B81" s="38" t="s">
        <v>1641</v>
      </c>
      <c r="C81" s="38" t="s">
        <v>2372</v>
      </c>
      <c r="D81" s="38" t="s">
        <v>95</v>
      </c>
      <c r="F81" s="38" t="s">
        <v>2274</v>
      </c>
      <c r="G81" s="38" t="s">
        <v>2241</v>
      </c>
      <c r="H81" s="38" t="s">
        <v>2373</v>
      </c>
      <c r="R81" s="90">
        <v>71.0</v>
      </c>
      <c r="S81" s="90"/>
      <c r="T81" s="90"/>
      <c r="V81" s="93" t="s">
        <v>1505</v>
      </c>
    </row>
    <row r="82">
      <c r="A82" s="37">
        <v>44735.495271921296</v>
      </c>
      <c r="B82" s="38" t="s">
        <v>1637</v>
      </c>
      <c r="C82" s="38" t="s">
        <v>11</v>
      </c>
      <c r="D82" s="38" t="s">
        <v>16</v>
      </c>
      <c r="F82" s="38" t="s">
        <v>2274</v>
      </c>
      <c r="G82" s="38" t="s">
        <v>2232</v>
      </c>
      <c r="H82" s="38" t="s">
        <v>2374</v>
      </c>
      <c r="I82" s="85" t="s">
        <v>2375</v>
      </c>
      <c r="R82" s="90">
        <v>72.0</v>
      </c>
      <c r="S82" s="90"/>
      <c r="T82" s="90"/>
      <c r="V82" s="93" t="s">
        <v>1505</v>
      </c>
    </row>
    <row r="83">
      <c r="A83" s="37">
        <v>44735.49826774305</v>
      </c>
      <c r="B83" s="38" t="s">
        <v>1637</v>
      </c>
      <c r="C83" s="38" t="s">
        <v>11</v>
      </c>
      <c r="D83" s="38" t="s">
        <v>16</v>
      </c>
      <c r="F83" s="38" t="s">
        <v>2264</v>
      </c>
      <c r="J83" s="38" t="s">
        <v>10</v>
      </c>
      <c r="K83" s="38" t="s">
        <v>2376</v>
      </c>
      <c r="L83" s="38">
        <v>2.0</v>
      </c>
      <c r="R83" s="90">
        <v>73.0</v>
      </c>
      <c r="S83" s="90"/>
      <c r="T83" s="90"/>
      <c r="V83" s="94" t="s">
        <v>1627</v>
      </c>
    </row>
    <row r="84">
      <c r="A84" s="37">
        <v>44739.437417037036</v>
      </c>
      <c r="B84" s="38" t="s">
        <v>1635</v>
      </c>
      <c r="C84" s="38" t="s">
        <v>2347</v>
      </c>
      <c r="D84" s="38" t="s">
        <v>316</v>
      </c>
      <c r="F84" s="38" t="s">
        <v>2274</v>
      </c>
      <c r="G84" s="38" t="s">
        <v>2241</v>
      </c>
      <c r="H84" s="38" t="s">
        <v>2377</v>
      </c>
      <c r="I84" s="85" t="s">
        <v>2378</v>
      </c>
      <c r="R84" s="90">
        <v>74.0</v>
      </c>
      <c r="S84" s="90"/>
      <c r="T84" s="90"/>
      <c r="V84" s="94" t="s">
        <v>1627</v>
      </c>
    </row>
    <row r="85">
      <c r="A85" s="37">
        <v>44739.68277611111</v>
      </c>
      <c r="B85" s="38" t="s">
        <v>1657</v>
      </c>
      <c r="C85" s="38" t="s">
        <v>1120</v>
      </c>
      <c r="D85" s="38" t="s">
        <v>95</v>
      </c>
      <c r="F85" s="38" t="s">
        <v>2274</v>
      </c>
      <c r="G85" s="38" t="s">
        <v>2232</v>
      </c>
      <c r="H85" s="38" t="s">
        <v>2379</v>
      </c>
      <c r="I85" s="85" t="s">
        <v>2380</v>
      </c>
      <c r="R85" s="90">
        <v>75.0</v>
      </c>
      <c r="S85" s="90"/>
      <c r="T85" s="90"/>
      <c r="V85" s="94" t="s">
        <v>1627</v>
      </c>
    </row>
    <row r="86">
      <c r="A86" s="37">
        <v>44739.720290439815</v>
      </c>
      <c r="B86" s="38" t="s">
        <v>1632</v>
      </c>
      <c r="C86" s="38" t="s">
        <v>2381</v>
      </c>
      <c r="D86" s="38" t="s">
        <v>916</v>
      </c>
      <c r="F86" s="38" t="s">
        <v>2264</v>
      </c>
      <c r="J86" s="38" t="s">
        <v>10</v>
      </c>
      <c r="K86" s="38" t="s">
        <v>2382</v>
      </c>
      <c r="L86" s="38">
        <v>1.0</v>
      </c>
      <c r="R86" s="90">
        <v>76.0</v>
      </c>
      <c r="S86" s="90"/>
      <c r="T86" s="90"/>
      <c r="V86" s="94" t="s">
        <v>1627</v>
      </c>
    </row>
    <row r="87">
      <c r="A87" s="37">
        <v>44741.33749658565</v>
      </c>
      <c r="B87" s="38" t="s">
        <v>1643</v>
      </c>
      <c r="C87" s="38" t="s">
        <v>2327</v>
      </c>
      <c r="D87" s="38" t="s">
        <v>95</v>
      </c>
      <c r="F87" s="38" t="s">
        <v>2264</v>
      </c>
      <c r="J87" s="38" t="s">
        <v>10</v>
      </c>
      <c r="K87" s="38" t="s">
        <v>2383</v>
      </c>
      <c r="L87" s="38">
        <v>2.0</v>
      </c>
      <c r="R87" s="90">
        <v>77.0</v>
      </c>
      <c r="S87" s="90"/>
      <c r="T87" s="90"/>
      <c r="V87" s="94" t="s">
        <v>1627</v>
      </c>
    </row>
    <row r="88">
      <c r="A88" s="37">
        <v>44741.40277542824</v>
      </c>
      <c r="B88" s="38" t="s">
        <v>1705</v>
      </c>
      <c r="C88" s="38" t="s">
        <v>2384</v>
      </c>
      <c r="D88" s="38" t="s">
        <v>916</v>
      </c>
      <c r="F88" s="38" t="s">
        <v>2264</v>
      </c>
      <c r="J88" s="38" t="s">
        <v>213</v>
      </c>
      <c r="K88" s="38" t="s">
        <v>2385</v>
      </c>
      <c r="L88" s="38">
        <v>1.0</v>
      </c>
      <c r="R88" s="90">
        <v>78.0</v>
      </c>
      <c r="S88" s="90"/>
      <c r="T88" s="90"/>
      <c r="V88" s="94" t="s">
        <v>1627</v>
      </c>
    </row>
    <row r="89">
      <c r="A89" s="37">
        <v>44741.45477805556</v>
      </c>
      <c r="B89" s="38" t="s">
        <v>1707</v>
      </c>
      <c r="C89" s="38" t="s">
        <v>2386</v>
      </c>
      <c r="D89" s="38" t="s">
        <v>316</v>
      </c>
      <c r="F89" s="38" t="s">
        <v>2264</v>
      </c>
      <c r="J89" s="38" t="s">
        <v>10</v>
      </c>
      <c r="K89" s="38" t="s">
        <v>2387</v>
      </c>
      <c r="L89" s="38">
        <v>1.0</v>
      </c>
      <c r="R89" s="90">
        <v>79.0</v>
      </c>
      <c r="S89" s="90"/>
      <c r="T89" s="90"/>
      <c r="V89" s="94" t="s">
        <v>1627</v>
      </c>
    </row>
    <row r="90">
      <c r="A90" s="37">
        <v>44742.71379692129</v>
      </c>
      <c r="B90" s="38" t="s">
        <v>1641</v>
      </c>
      <c r="C90" s="38" t="s">
        <v>120</v>
      </c>
      <c r="D90" s="38" t="s">
        <v>95</v>
      </c>
      <c r="F90" s="38" t="s">
        <v>2274</v>
      </c>
      <c r="G90" s="38" t="s">
        <v>2388</v>
      </c>
      <c r="H90" s="38" t="s">
        <v>2389</v>
      </c>
      <c r="R90" s="90">
        <v>80.0</v>
      </c>
      <c r="S90" s="90"/>
      <c r="T90" s="90"/>
      <c r="V90" s="94" t="s">
        <v>1627</v>
      </c>
    </row>
    <row r="91">
      <c r="A91" s="37">
        <v>44743.3013640162</v>
      </c>
      <c r="B91" s="38" t="s">
        <v>1709</v>
      </c>
      <c r="C91" s="38" t="s">
        <v>272</v>
      </c>
      <c r="D91" s="38" t="s">
        <v>316</v>
      </c>
      <c r="F91" s="38" t="s">
        <v>2264</v>
      </c>
      <c r="J91" s="38" t="s">
        <v>2390</v>
      </c>
      <c r="K91" s="38" t="s">
        <v>2391</v>
      </c>
      <c r="L91" s="38">
        <v>6.0</v>
      </c>
      <c r="M91" s="106" t="s">
        <v>2392</v>
      </c>
      <c r="N91" s="84"/>
      <c r="O91" s="84"/>
      <c r="P91" s="84"/>
      <c r="Q91" s="84"/>
      <c r="R91" s="90">
        <v>81.0</v>
      </c>
      <c r="S91" s="90"/>
      <c r="T91" s="90"/>
      <c r="V91" s="94" t="s">
        <v>1627</v>
      </c>
    </row>
    <row r="92">
      <c r="A92" s="37">
        <v>44746.41270236111</v>
      </c>
      <c r="B92" s="38" t="s">
        <v>1631</v>
      </c>
      <c r="C92" s="38" t="s">
        <v>2393</v>
      </c>
      <c r="D92" s="38" t="s">
        <v>44</v>
      </c>
      <c r="F92" s="38" t="s">
        <v>2274</v>
      </c>
      <c r="G92" s="38" t="s">
        <v>2241</v>
      </c>
      <c r="H92" s="38" t="s">
        <v>2394</v>
      </c>
      <c r="R92" s="90">
        <v>82.0</v>
      </c>
      <c r="S92" s="90"/>
      <c r="T92" s="90"/>
      <c r="V92" s="94" t="s">
        <v>1627</v>
      </c>
    </row>
    <row r="93">
      <c r="A93" s="37">
        <v>44746.50958157408</v>
      </c>
      <c r="B93" s="38" t="s">
        <v>1629</v>
      </c>
      <c r="C93" s="38" t="s">
        <v>2395</v>
      </c>
      <c r="D93" s="38" t="s">
        <v>316</v>
      </c>
      <c r="F93" s="38" t="s">
        <v>2264</v>
      </c>
      <c r="J93" s="38" t="s">
        <v>2396</v>
      </c>
      <c r="K93" s="38" t="s">
        <v>2397</v>
      </c>
      <c r="L93" s="38">
        <v>1.0</v>
      </c>
      <c r="R93" s="90">
        <v>83.0</v>
      </c>
      <c r="S93" s="90"/>
      <c r="T93" s="90"/>
      <c r="V93" s="94" t="s">
        <v>1627</v>
      </c>
    </row>
    <row r="94">
      <c r="A94" s="37">
        <v>44746.62140664352</v>
      </c>
      <c r="B94" s="38" t="s">
        <v>1629</v>
      </c>
      <c r="C94" s="38" t="s">
        <v>278</v>
      </c>
      <c r="D94" s="38" t="s">
        <v>316</v>
      </c>
      <c r="F94" s="38" t="s">
        <v>2264</v>
      </c>
      <c r="J94" s="38" t="s">
        <v>306</v>
      </c>
      <c r="K94" s="38" t="s">
        <v>426</v>
      </c>
      <c r="L94" s="38">
        <v>1.0</v>
      </c>
      <c r="M94" s="106" t="s">
        <v>2398</v>
      </c>
      <c r="N94" s="107"/>
      <c r="O94" s="107"/>
      <c r="P94" s="107"/>
      <c r="Q94" s="107"/>
      <c r="R94" s="90">
        <v>84.0</v>
      </c>
      <c r="S94" s="90"/>
      <c r="T94" s="90"/>
      <c r="V94" s="94" t="s">
        <v>1627</v>
      </c>
    </row>
    <row r="95">
      <c r="A95" s="37">
        <v>44747.369502905094</v>
      </c>
      <c r="B95" s="38" t="s">
        <v>1635</v>
      </c>
      <c r="C95" s="38" t="s">
        <v>2347</v>
      </c>
      <c r="D95" s="38" t="s">
        <v>316</v>
      </c>
      <c r="F95" s="38" t="s">
        <v>2264</v>
      </c>
      <c r="J95" s="38" t="s">
        <v>306</v>
      </c>
      <c r="K95" s="38" t="s">
        <v>2399</v>
      </c>
      <c r="L95" s="38">
        <v>1.0</v>
      </c>
      <c r="M95" s="106" t="s">
        <v>2400</v>
      </c>
      <c r="N95" s="107"/>
      <c r="O95" s="107"/>
      <c r="P95" s="107"/>
      <c r="Q95" s="107"/>
      <c r="R95" s="90">
        <v>85.0</v>
      </c>
      <c r="S95" s="90"/>
      <c r="T95" s="90"/>
      <c r="V95" s="94" t="s">
        <v>1627</v>
      </c>
    </row>
    <row r="96">
      <c r="A96" s="37">
        <v>44747.36984384259</v>
      </c>
      <c r="B96" s="38" t="s">
        <v>1633</v>
      </c>
      <c r="C96" s="38" t="s">
        <v>2298</v>
      </c>
      <c r="D96" s="38" t="s">
        <v>316</v>
      </c>
      <c r="F96" s="38" t="s">
        <v>2264</v>
      </c>
      <c r="J96" s="38" t="s">
        <v>2401</v>
      </c>
      <c r="K96" s="38" t="s">
        <v>2402</v>
      </c>
      <c r="L96" s="38">
        <v>1.0</v>
      </c>
      <c r="M96" s="106" t="s">
        <v>2403</v>
      </c>
      <c r="N96" s="107"/>
      <c r="O96" s="107"/>
      <c r="P96" s="107"/>
      <c r="Q96" s="107"/>
      <c r="R96" s="90">
        <v>86.0</v>
      </c>
      <c r="S96" s="90"/>
      <c r="T96" s="90"/>
      <c r="V96" s="94" t="s">
        <v>1627</v>
      </c>
    </row>
    <row r="97">
      <c r="A97" s="37">
        <v>44747.37293994213</v>
      </c>
      <c r="B97" s="38" t="s">
        <v>1710</v>
      </c>
      <c r="C97" s="38" t="s">
        <v>2404</v>
      </c>
      <c r="D97" s="38" t="s">
        <v>316</v>
      </c>
      <c r="F97" s="38" t="s">
        <v>2264</v>
      </c>
      <c r="J97" s="38" t="s">
        <v>2405</v>
      </c>
      <c r="K97" s="38" t="s">
        <v>2402</v>
      </c>
      <c r="L97" s="38">
        <v>1.0</v>
      </c>
      <c r="M97" s="106" t="s">
        <v>2406</v>
      </c>
      <c r="N97" s="107"/>
      <c r="O97" s="107"/>
      <c r="P97" s="107"/>
      <c r="Q97" s="107"/>
      <c r="R97" s="90">
        <v>87.0</v>
      </c>
      <c r="S97" s="90"/>
      <c r="T97" s="90"/>
      <c r="V97" s="94" t="s">
        <v>1627</v>
      </c>
    </row>
    <row r="98">
      <c r="A98" s="37">
        <v>44747.374913402775</v>
      </c>
      <c r="B98" s="38" t="s">
        <v>1711</v>
      </c>
      <c r="C98" s="38" t="s">
        <v>2407</v>
      </c>
      <c r="D98" s="38" t="s">
        <v>316</v>
      </c>
      <c r="F98" s="38" t="s">
        <v>2264</v>
      </c>
      <c r="J98" s="38" t="s">
        <v>306</v>
      </c>
      <c r="K98" s="38" t="s">
        <v>2408</v>
      </c>
      <c r="L98" s="38">
        <v>4.0</v>
      </c>
      <c r="M98" s="106" t="s">
        <v>2409</v>
      </c>
      <c r="N98" s="84"/>
      <c r="O98" s="84"/>
      <c r="P98" s="84"/>
      <c r="Q98" s="84"/>
      <c r="R98" s="90">
        <v>88.0</v>
      </c>
      <c r="S98" s="90"/>
      <c r="T98" s="90"/>
      <c r="V98" s="94" t="s">
        <v>1627</v>
      </c>
      <c r="W98" s="38" t="s">
        <v>2410</v>
      </c>
    </row>
    <row r="99">
      <c r="A99" s="37">
        <v>44747.37558335648</v>
      </c>
      <c r="B99" s="38" t="s">
        <v>1712</v>
      </c>
      <c r="C99" s="38" t="s">
        <v>2404</v>
      </c>
      <c r="D99" s="38" t="s">
        <v>316</v>
      </c>
      <c r="F99" s="38" t="s">
        <v>2264</v>
      </c>
      <c r="J99" s="38" t="s">
        <v>2411</v>
      </c>
      <c r="K99" s="38" t="s">
        <v>2402</v>
      </c>
      <c r="L99" s="38">
        <v>1.0</v>
      </c>
      <c r="M99" s="108" t="s">
        <v>2412</v>
      </c>
      <c r="N99" s="107"/>
      <c r="O99" s="107"/>
      <c r="P99" s="107"/>
      <c r="Q99" s="107"/>
      <c r="R99" s="90">
        <v>89.0</v>
      </c>
      <c r="S99" s="90"/>
      <c r="T99" s="90"/>
      <c r="V99" s="94" t="s">
        <v>1627</v>
      </c>
    </row>
    <row r="100">
      <c r="A100" s="37">
        <v>44748.35008984954</v>
      </c>
      <c r="B100" s="38" t="s">
        <v>1713</v>
      </c>
      <c r="C100" s="38" t="s">
        <v>2272</v>
      </c>
      <c r="D100" s="38" t="s">
        <v>44</v>
      </c>
      <c r="F100" s="38" t="s">
        <v>2274</v>
      </c>
      <c r="G100" s="38" t="s">
        <v>2249</v>
      </c>
      <c r="H100" s="38" t="s">
        <v>2413</v>
      </c>
      <c r="R100" s="90">
        <v>90.0</v>
      </c>
      <c r="S100" s="90"/>
      <c r="T100" s="90"/>
      <c r="V100" s="94" t="s">
        <v>1627</v>
      </c>
    </row>
    <row r="101">
      <c r="A101" s="37">
        <v>44748.48181706019</v>
      </c>
      <c r="B101" s="38" t="s">
        <v>1639</v>
      </c>
      <c r="C101" s="38" t="s">
        <v>2322</v>
      </c>
      <c r="D101" s="38" t="s">
        <v>35</v>
      </c>
      <c r="F101" s="38" t="s">
        <v>2264</v>
      </c>
      <c r="J101" s="38" t="s">
        <v>2414</v>
      </c>
      <c r="K101" s="38" t="s">
        <v>2415</v>
      </c>
      <c r="L101" s="38">
        <v>1.0</v>
      </c>
      <c r="M101" s="38" t="s">
        <v>2416</v>
      </c>
      <c r="N101" s="84"/>
      <c r="O101" s="84"/>
      <c r="P101" s="84"/>
      <c r="Q101" s="84"/>
      <c r="R101" s="90">
        <v>91.0</v>
      </c>
      <c r="S101" s="90"/>
      <c r="T101" s="90"/>
      <c r="V101" s="94" t="s">
        <v>1627</v>
      </c>
    </row>
    <row r="102">
      <c r="A102" s="37">
        <v>44749.34968050926</v>
      </c>
      <c r="B102" s="38" t="s">
        <v>1714</v>
      </c>
      <c r="C102" s="38" t="s">
        <v>2417</v>
      </c>
      <c r="D102" s="38" t="s">
        <v>82</v>
      </c>
      <c r="F102" s="38" t="s">
        <v>2274</v>
      </c>
      <c r="G102" s="38" t="s">
        <v>2418</v>
      </c>
      <c r="H102" s="38" t="s">
        <v>2419</v>
      </c>
      <c r="R102" s="90">
        <v>92.0</v>
      </c>
      <c r="S102" s="90"/>
      <c r="T102" s="90"/>
      <c r="V102" s="93" t="s">
        <v>1505</v>
      </c>
    </row>
    <row r="103">
      <c r="A103" s="37">
        <v>44749.38958027778</v>
      </c>
      <c r="B103" s="38" t="s">
        <v>1652</v>
      </c>
      <c r="C103" s="38" t="s">
        <v>1063</v>
      </c>
      <c r="D103" s="38" t="s">
        <v>35</v>
      </c>
      <c r="F103" s="38" t="s">
        <v>2274</v>
      </c>
      <c r="G103" s="38" t="s">
        <v>2241</v>
      </c>
      <c r="H103" s="38" t="s">
        <v>2420</v>
      </c>
      <c r="R103" s="90">
        <v>93.0</v>
      </c>
      <c r="S103" s="90"/>
      <c r="T103" s="90"/>
      <c r="V103" s="94" t="s">
        <v>1627</v>
      </c>
    </row>
    <row r="104">
      <c r="A104" s="37">
        <v>44750.43304048611</v>
      </c>
      <c r="B104" s="38" t="s">
        <v>1713</v>
      </c>
      <c r="C104" s="38" t="s">
        <v>2272</v>
      </c>
      <c r="D104" s="38" t="s">
        <v>44</v>
      </c>
      <c r="F104" s="38" t="s">
        <v>2274</v>
      </c>
      <c r="G104" s="38" t="s">
        <v>2249</v>
      </c>
      <c r="H104" s="38" t="s">
        <v>2421</v>
      </c>
      <c r="R104" s="90">
        <v>94.0</v>
      </c>
      <c r="S104" s="90"/>
      <c r="T104" s="90"/>
      <c r="V104" s="93" t="s">
        <v>1505</v>
      </c>
    </row>
    <row r="105">
      <c r="A105" s="37">
        <v>44750.45461825232</v>
      </c>
      <c r="B105" s="38" t="s">
        <v>1713</v>
      </c>
      <c r="C105" s="38" t="s">
        <v>2272</v>
      </c>
      <c r="D105" s="38" t="s">
        <v>44</v>
      </c>
      <c r="F105" s="38" t="s">
        <v>2274</v>
      </c>
      <c r="G105" s="38" t="s">
        <v>2232</v>
      </c>
      <c r="H105" s="38" t="s">
        <v>2422</v>
      </c>
      <c r="I105" s="85" t="s">
        <v>2423</v>
      </c>
      <c r="R105" s="90">
        <v>95.0</v>
      </c>
      <c r="S105" s="90"/>
      <c r="T105" s="90"/>
      <c r="V105" s="94" t="s">
        <v>1627</v>
      </c>
    </row>
    <row r="106">
      <c r="A106" s="37">
        <v>44751.48000037037</v>
      </c>
      <c r="B106" s="38" t="s">
        <v>1633</v>
      </c>
      <c r="C106" s="38" t="s">
        <v>2298</v>
      </c>
      <c r="D106" s="38" t="s">
        <v>316</v>
      </c>
      <c r="F106" s="38" t="s">
        <v>2274</v>
      </c>
      <c r="G106" s="38" t="s">
        <v>2364</v>
      </c>
      <c r="H106" s="38" t="s">
        <v>2424</v>
      </c>
      <c r="I106" s="38" t="s">
        <v>2425</v>
      </c>
      <c r="R106" s="90">
        <v>96.0</v>
      </c>
      <c r="S106" s="90"/>
      <c r="T106" s="90"/>
      <c r="V106" s="94" t="s">
        <v>1627</v>
      </c>
    </row>
    <row r="107">
      <c r="A107" s="37">
        <v>44751.930227777775</v>
      </c>
      <c r="B107" s="38" t="s">
        <v>1634</v>
      </c>
      <c r="C107" s="38" t="s">
        <v>312</v>
      </c>
      <c r="D107" s="38" t="s">
        <v>316</v>
      </c>
      <c r="F107" s="38" t="s">
        <v>2264</v>
      </c>
      <c r="J107" s="38" t="s">
        <v>2426</v>
      </c>
      <c r="K107" s="38" t="s">
        <v>2427</v>
      </c>
      <c r="M107" s="106" t="s">
        <v>2428</v>
      </c>
      <c r="N107" s="84"/>
      <c r="O107" s="84"/>
      <c r="P107" s="84"/>
      <c r="Q107" s="84"/>
      <c r="R107" s="90">
        <v>97.0</v>
      </c>
      <c r="S107" s="90"/>
      <c r="T107" s="90"/>
      <c r="V107" s="93" t="s">
        <v>1505</v>
      </c>
    </row>
    <row r="108">
      <c r="A108" s="37">
        <v>44753.33207880787</v>
      </c>
      <c r="B108" s="38" t="s">
        <v>1713</v>
      </c>
      <c r="C108" s="38" t="s">
        <v>2272</v>
      </c>
      <c r="D108" s="38" t="s">
        <v>44</v>
      </c>
      <c r="F108" s="38" t="s">
        <v>2264</v>
      </c>
      <c r="J108" s="38" t="s">
        <v>2429</v>
      </c>
      <c r="K108" s="38" t="s">
        <v>2430</v>
      </c>
      <c r="L108" s="38">
        <v>1.0</v>
      </c>
      <c r="R108" s="90">
        <v>98.0</v>
      </c>
      <c r="S108" s="90"/>
      <c r="T108" s="90"/>
      <c r="V108" s="94" t="s">
        <v>1627</v>
      </c>
    </row>
    <row r="109">
      <c r="A109" s="37">
        <v>44753.39063166667</v>
      </c>
      <c r="B109" s="38" t="s">
        <v>1715</v>
      </c>
      <c r="C109" s="38" t="s">
        <v>2431</v>
      </c>
      <c r="D109" s="38" t="s">
        <v>52</v>
      </c>
      <c r="F109" s="38" t="s">
        <v>2264</v>
      </c>
      <c r="J109" s="38" t="s">
        <v>2432</v>
      </c>
      <c r="K109" s="38" t="s">
        <v>2433</v>
      </c>
      <c r="L109" s="38">
        <v>1.0</v>
      </c>
      <c r="R109" s="90">
        <v>99.0</v>
      </c>
      <c r="S109" s="90"/>
      <c r="T109" s="90"/>
      <c r="V109" s="93" t="s">
        <v>1505</v>
      </c>
    </row>
    <row r="110">
      <c r="A110" s="37">
        <v>44753.43148387731</v>
      </c>
      <c r="B110" s="38" t="s">
        <v>1715</v>
      </c>
      <c r="C110" s="38" t="s">
        <v>2431</v>
      </c>
      <c r="D110" s="38" t="s">
        <v>52</v>
      </c>
      <c r="F110" s="38" t="s">
        <v>2264</v>
      </c>
      <c r="J110" s="38" t="s">
        <v>2434</v>
      </c>
      <c r="K110" s="38" t="s">
        <v>2433</v>
      </c>
      <c r="L110" s="38">
        <v>1.0</v>
      </c>
      <c r="R110" s="90">
        <v>100.0</v>
      </c>
      <c r="S110" s="90"/>
      <c r="T110" s="90"/>
      <c r="V110" s="94" t="s">
        <v>1627</v>
      </c>
    </row>
    <row r="111">
      <c r="A111" s="37">
        <v>44753.43161799769</v>
      </c>
      <c r="B111" s="38" t="s">
        <v>1713</v>
      </c>
      <c r="C111" s="38" t="s">
        <v>2272</v>
      </c>
      <c r="D111" s="38" t="s">
        <v>44</v>
      </c>
      <c r="F111" s="38" t="s">
        <v>2274</v>
      </c>
      <c r="G111" s="38" t="s">
        <v>2249</v>
      </c>
      <c r="H111" s="38" t="s">
        <v>2435</v>
      </c>
      <c r="R111" s="90">
        <v>101.0</v>
      </c>
      <c r="S111" s="90"/>
      <c r="T111" s="90"/>
      <c r="V111" s="94" t="s">
        <v>1627</v>
      </c>
    </row>
    <row r="112">
      <c r="A112" s="37">
        <v>44753.46000038194</v>
      </c>
      <c r="B112" s="38" t="s">
        <v>1717</v>
      </c>
      <c r="C112" s="38" t="s">
        <v>24</v>
      </c>
      <c r="D112" s="38" t="s">
        <v>16</v>
      </c>
      <c r="F112" s="38" t="s">
        <v>2264</v>
      </c>
      <c r="J112" s="38" t="s">
        <v>306</v>
      </c>
      <c r="K112" s="38" t="s">
        <v>2436</v>
      </c>
      <c r="L112" s="38">
        <v>1.0</v>
      </c>
      <c r="R112" s="90">
        <v>102.0</v>
      </c>
      <c r="S112" s="90"/>
      <c r="T112" s="90"/>
      <c r="V112" s="93" t="s">
        <v>1505</v>
      </c>
    </row>
    <row r="113">
      <c r="A113" s="37">
        <v>44753.59892402778</v>
      </c>
      <c r="B113" s="38" t="s">
        <v>1719</v>
      </c>
      <c r="C113" s="38" t="s">
        <v>2437</v>
      </c>
      <c r="D113" s="38" t="s">
        <v>878</v>
      </c>
      <c r="F113" s="38" t="s">
        <v>2264</v>
      </c>
      <c r="J113" s="38" t="s">
        <v>2438</v>
      </c>
      <c r="K113" s="38" t="s">
        <v>2439</v>
      </c>
      <c r="L113" s="38">
        <v>1.0</v>
      </c>
      <c r="R113" s="90">
        <v>103.0</v>
      </c>
      <c r="S113" s="90"/>
      <c r="T113" s="90"/>
      <c r="V113" s="94" t="s">
        <v>1627</v>
      </c>
    </row>
    <row r="114">
      <c r="A114" s="37">
        <v>44754.441935532406</v>
      </c>
      <c r="B114" s="38" t="s">
        <v>1646</v>
      </c>
      <c r="C114" s="38" t="s">
        <v>2440</v>
      </c>
      <c r="D114" s="38" t="s">
        <v>52</v>
      </c>
      <c r="F114" s="38" t="s">
        <v>2274</v>
      </c>
      <c r="G114" s="38" t="s">
        <v>2441</v>
      </c>
      <c r="H114" s="38" t="s">
        <v>2442</v>
      </c>
      <c r="R114" s="90">
        <v>104.0</v>
      </c>
      <c r="S114" s="90"/>
      <c r="T114" s="90"/>
      <c r="V114" s="93" t="s">
        <v>1505</v>
      </c>
    </row>
    <row r="115">
      <c r="A115" s="37">
        <v>44754.554188229165</v>
      </c>
      <c r="B115" s="38" t="s">
        <v>1721</v>
      </c>
      <c r="C115" s="38" t="s">
        <v>93</v>
      </c>
      <c r="D115" s="38" t="s">
        <v>95</v>
      </c>
      <c r="F115" s="38" t="s">
        <v>2264</v>
      </c>
      <c r="J115" s="38" t="s">
        <v>2443</v>
      </c>
      <c r="K115" s="38" t="s">
        <v>2444</v>
      </c>
      <c r="L115" s="38">
        <v>1.0</v>
      </c>
      <c r="R115" s="90">
        <v>105.0</v>
      </c>
      <c r="S115" s="90"/>
      <c r="T115" s="90"/>
      <c r="V115" s="93" t="s">
        <v>1505</v>
      </c>
    </row>
    <row r="116">
      <c r="A116" s="37">
        <v>44754.57439834491</v>
      </c>
      <c r="B116" s="38" t="s">
        <v>1641</v>
      </c>
      <c r="C116" s="38" t="s">
        <v>120</v>
      </c>
      <c r="D116" s="38" t="s">
        <v>95</v>
      </c>
      <c r="F116" s="38" t="s">
        <v>2264</v>
      </c>
      <c r="J116" s="38" t="s">
        <v>2445</v>
      </c>
      <c r="K116" s="38" t="s">
        <v>2446</v>
      </c>
      <c r="R116" s="90">
        <v>106.0</v>
      </c>
      <c r="S116" s="90"/>
      <c r="T116" s="90"/>
      <c r="V116" s="93" t="s">
        <v>1505</v>
      </c>
    </row>
    <row r="117">
      <c r="A117" s="37">
        <v>44754.70710053241</v>
      </c>
      <c r="B117" s="38" t="s">
        <v>1713</v>
      </c>
      <c r="C117" s="38" t="s">
        <v>2272</v>
      </c>
      <c r="D117" s="38" t="s">
        <v>44</v>
      </c>
      <c r="F117" s="38" t="s">
        <v>2264</v>
      </c>
      <c r="J117" s="38" t="s">
        <v>2447</v>
      </c>
      <c r="K117" s="38" t="s">
        <v>2448</v>
      </c>
      <c r="L117" s="38">
        <v>1.0</v>
      </c>
      <c r="R117" s="90">
        <v>107.0</v>
      </c>
      <c r="S117" s="90"/>
      <c r="T117" s="90"/>
      <c r="V117" s="93" t="s">
        <v>1505</v>
      </c>
    </row>
    <row r="118">
      <c r="A118" s="37">
        <v>44755.50411900463</v>
      </c>
      <c r="B118" s="38" t="s">
        <v>1726</v>
      </c>
      <c r="C118" s="38" t="s">
        <v>128</v>
      </c>
      <c r="D118" s="38" t="s">
        <v>95</v>
      </c>
      <c r="F118" s="38" t="s">
        <v>2264</v>
      </c>
      <c r="J118" s="38" t="s">
        <v>2449</v>
      </c>
      <c r="K118" s="38" t="s">
        <v>2450</v>
      </c>
      <c r="L118" s="38">
        <v>1.0</v>
      </c>
      <c r="R118" s="90">
        <v>108.0</v>
      </c>
      <c r="S118" s="90"/>
      <c r="T118" s="90"/>
      <c r="V118" s="93" t="s">
        <v>1505</v>
      </c>
    </row>
    <row r="119">
      <c r="A119" s="37">
        <v>44755.58287883102</v>
      </c>
      <c r="B119" s="38" t="s">
        <v>1657</v>
      </c>
      <c r="C119" s="38" t="s">
        <v>1120</v>
      </c>
      <c r="D119" s="38" t="s">
        <v>95</v>
      </c>
      <c r="F119" s="38" t="s">
        <v>2264</v>
      </c>
      <c r="J119" s="38" t="s">
        <v>2451</v>
      </c>
      <c r="K119" s="38" t="s">
        <v>2452</v>
      </c>
      <c r="L119" s="38">
        <v>1.0</v>
      </c>
      <c r="R119" s="90">
        <v>109.0</v>
      </c>
      <c r="S119" s="90"/>
      <c r="T119" s="90"/>
      <c r="V119" s="94" t="s">
        <v>1627</v>
      </c>
    </row>
    <row r="120">
      <c r="A120" s="37">
        <v>44756.29991170139</v>
      </c>
      <c r="B120" s="38" t="s">
        <v>1731</v>
      </c>
      <c r="C120" s="38" t="s">
        <v>2453</v>
      </c>
      <c r="D120" s="38" t="s">
        <v>316</v>
      </c>
      <c r="F120" s="38" t="s">
        <v>2274</v>
      </c>
      <c r="G120" s="38" t="s">
        <v>2241</v>
      </c>
      <c r="H120" s="38" t="s">
        <v>2454</v>
      </c>
      <c r="R120" s="90">
        <v>110.0</v>
      </c>
      <c r="S120" s="90"/>
      <c r="T120" s="90"/>
      <c r="V120" s="94" t="s">
        <v>1627</v>
      </c>
    </row>
    <row r="121">
      <c r="A121" s="37">
        <v>44756.409161759264</v>
      </c>
      <c r="B121" s="38" t="s">
        <v>1629</v>
      </c>
      <c r="C121" s="38" t="s">
        <v>2455</v>
      </c>
      <c r="D121" s="38" t="s">
        <v>316</v>
      </c>
      <c r="F121" s="38" t="s">
        <v>2274</v>
      </c>
      <c r="G121" s="38" t="s">
        <v>2364</v>
      </c>
      <c r="H121" s="38" t="s">
        <v>2456</v>
      </c>
      <c r="R121" s="90">
        <v>111.0</v>
      </c>
      <c r="S121" s="90"/>
      <c r="T121" s="90"/>
      <c r="V121" s="94" t="s">
        <v>1627</v>
      </c>
    </row>
    <row r="122">
      <c r="A122" s="37">
        <v>44756.492047141204</v>
      </c>
      <c r="B122" s="38" t="s">
        <v>1705</v>
      </c>
      <c r="C122" s="38" t="s">
        <v>2457</v>
      </c>
      <c r="D122" s="38" t="s">
        <v>916</v>
      </c>
      <c r="F122" s="38" t="s">
        <v>2264</v>
      </c>
      <c r="J122" s="38" t="s">
        <v>2458</v>
      </c>
      <c r="K122" s="38" t="s">
        <v>2459</v>
      </c>
      <c r="L122" s="38">
        <v>1.0</v>
      </c>
      <c r="R122" s="90">
        <v>112.0</v>
      </c>
      <c r="S122" s="90"/>
      <c r="T122" s="90"/>
      <c r="V122" s="93" t="s">
        <v>1505</v>
      </c>
    </row>
    <row r="123">
      <c r="A123" s="37">
        <v>44756.59259803241</v>
      </c>
      <c r="B123" s="38" t="s">
        <v>1632</v>
      </c>
      <c r="C123" s="38" t="s">
        <v>2381</v>
      </c>
      <c r="D123" s="38" t="s">
        <v>916</v>
      </c>
      <c r="F123" s="38" t="s">
        <v>2264</v>
      </c>
      <c r="J123" s="38" t="s">
        <v>2432</v>
      </c>
      <c r="K123" s="38" t="s">
        <v>2460</v>
      </c>
      <c r="L123" s="38">
        <v>1.0</v>
      </c>
      <c r="R123" s="90">
        <v>113.0</v>
      </c>
      <c r="S123" s="90"/>
      <c r="T123" s="90"/>
      <c r="V123" s="93" t="s">
        <v>1505</v>
      </c>
    </row>
    <row r="124">
      <c r="A124" s="37">
        <v>44757.40156438657</v>
      </c>
      <c r="B124" s="38" t="s">
        <v>1657</v>
      </c>
      <c r="C124" s="38" t="s">
        <v>1120</v>
      </c>
      <c r="D124" s="38" t="s">
        <v>95</v>
      </c>
      <c r="F124" s="38" t="s">
        <v>2264</v>
      </c>
      <c r="J124" s="38" t="s">
        <v>2461</v>
      </c>
      <c r="K124" s="38" t="s">
        <v>2462</v>
      </c>
      <c r="L124" s="38">
        <v>1.0</v>
      </c>
      <c r="R124" s="90">
        <v>114.0</v>
      </c>
      <c r="S124" s="90"/>
      <c r="T124" s="90"/>
      <c r="V124" s="93" t="s">
        <v>1505</v>
      </c>
    </row>
    <row r="125">
      <c r="A125" s="37">
        <v>44757.66767791667</v>
      </c>
      <c r="B125" s="38" t="s">
        <v>1717</v>
      </c>
      <c r="C125" s="38" t="s">
        <v>24</v>
      </c>
      <c r="D125" s="38" t="s">
        <v>16</v>
      </c>
      <c r="F125" s="38" t="s">
        <v>2274</v>
      </c>
      <c r="G125" s="38" t="s">
        <v>2241</v>
      </c>
      <c r="H125" s="38" t="s">
        <v>2463</v>
      </c>
      <c r="R125" s="90">
        <v>115.0</v>
      </c>
      <c r="S125" s="90"/>
      <c r="T125" s="90"/>
      <c r="V125" s="94" t="s">
        <v>1627</v>
      </c>
    </row>
    <row r="126">
      <c r="A126" s="37">
        <v>44760.3959613426</v>
      </c>
      <c r="B126" s="38" t="s">
        <v>1641</v>
      </c>
      <c r="C126" s="38" t="s">
        <v>120</v>
      </c>
      <c r="D126" s="38" t="s">
        <v>95</v>
      </c>
      <c r="F126" s="38" t="s">
        <v>2274</v>
      </c>
      <c r="G126" s="38" t="s">
        <v>2249</v>
      </c>
      <c r="H126" s="38" t="s">
        <v>2464</v>
      </c>
      <c r="R126" s="90">
        <v>116.0</v>
      </c>
      <c r="S126" s="90"/>
      <c r="T126" s="90"/>
      <c r="V126" s="93" t="s">
        <v>1505</v>
      </c>
    </row>
    <row r="127">
      <c r="A127" s="37">
        <v>44760.439250104166</v>
      </c>
      <c r="B127" s="38" t="s">
        <v>1713</v>
      </c>
      <c r="C127" s="38" t="s">
        <v>2272</v>
      </c>
      <c r="D127" s="38" t="s">
        <v>44</v>
      </c>
      <c r="F127" s="38" t="s">
        <v>2274</v>
      </c>
      <c r="G127" s="38" t="s">
        <v>2249</v>
      </c>
      <c r="H127" s="38" t="s">
        <v>2465</v>
      </c>
      <c r="R127" s="90">
        <v>117.0</v>
      </c>
      <c r="S127" s="90"/>
      <c r="T127" s="90"/>
      <c r="V127" s="94" t="s">
        <v>1627</v>
      </c>
    </row>
    <row r="128">
      <c r="A128" s="37">
        <v>44760.47634291666</v>
      </c>
      <c r="B128" s="38" t="s">
        <v>1717</v>
      </c>
      <c r="C128" s="38" t="s">
        <v>24</v>
      </c>
      <c r="D128" s="38" t="s">
        <v>16</v>
      </c>
      <c r="F128" s="38" t="s">
        <v>2264</v>
      </c>
      <c r="J128" s="38" t="s">
        <v>2466</v>
      </c>
      <c r="K128" s="38" t="s">
        <v>2467</v>
      </c>
      <c r="L128" s="38">
        <v>1.0</v>
      </c>
      <c r="R128" s="90">
        <v>118.0</v>
      </c>
      <c r="S128" s="90"/>
      <c r="T128" s="90"/>
      <c r="V128" s="93" t="s">
        <v>1505</v>
      </c>
    </row>
    <row r="129">
      <c r="A129" s="37">
        <v>44761.69701962963</v>
      </c>
      <c r="B129" s="38" t="s">
        <v>1749</v>
      </c>
      <c r="C129" s="38" t="s">
        <v>1105</v>
      </c>
      <c r="D129" s="38" t="s">
        <v>35</v>
      </c>
      <c r="F129" s="38" t="s">
        <v>2264</v>
      </c>
      <c r="J129" s="38" t="s">
        <v>2468</v>
      </c>
      <c r="K129" s="38" t="s">
        <v>2469</v>
      </c>
      <c r="L129" s="38">
        <v>1.0</v>
      </c>
      <c r="R129" s="90">
        <v>119.0</v>
      </c>
      <c r="S129" s="90"/>
      <c r="T129" s="90"/>
      <c r="V129" s="93" t="s">
        <v>1505</v>
      </c>
    </row>
    <row r="130">
      <c r="A130" s="37">
        <v>44762.708857164354</v>
      </c>
      <c r="B130" s="38" t="s">
        <v>1713</v>
      </c>
      <c r="C130" s="38" t="s">
        <v>2272</v>
      </c>
      <c r="D130" s="38" t="s">
        <v>44</v>
      </c>
      <c r="F130" s="38" t="s">
        <v>2274</v>
      </c>
      <c r="G130" s="38" t="s">
        <v>2275</v>
      </c>
      <c r="H130" s="38" t="s">
        <v>2470</v>
      </c>
      <c r="R130" s="90">
        <v>120.0</v>
      </c>
      <c r="S130" s="90"/>
      <c r="T130" s="90"/>
      <c r="V130" s="93" t="s">
        <v>1505</v>
      </c>
    </row>
    <row r="131">
      <c r="A131" s="37">
        <v>44764.36973994213</v>
      </c>
      <c r="B131" s="38" t="s">
        <v>1756</v>
      </c>
      <c r="C131" s="38" t="s">
        <v>1120</v>
      </c>
      <c r="D131" s="38" t="s">
        <v>95</v>
      </c>
      <c r="F131" s="38" t="s">
        <v>2264</v>
      </c>
      <c r="J131" s="38" t="s">
        <v>2471</v>
      </c>
      <c r="K131" s="38" t="s">
        <v>2462</v>
      </c>
      <c r="L131" s="38">
        <v>1.0</v>
      </c>
      <c r="R131" s="90">
        <v>121.0</v>
      </c>
      <c r="S131" s="90"/>
      <c r="T131" s="90"/>
      <c r="V131" s="94" t="s">
        <v>1627</v>
      </c>
    </row>
    <row r="132">
      <c r="A132" s="37">
        <v>44764.38450638889</v>
      </c>
      <c r="B132" s="38" t="s">
        <v>1758</v>
      </c>
      <c r="C132" s="38" t="s">
        <v>19</v>
      </c>
      <c r="D132" s="38" t="s">
        <v>16</v>
      </c>
      <c r="F132" s="38" t="s">
        <v>2264</v>
      </c>
      <c r="J132" s="38" t="s">
        <v>10</v>
      </c>
      <c r="K132" s="38" t="s">
        <v>2472</v>
      </c>
      <c r="L132" s="38">
        <v>1.0</v>
      </c>
      <c r="R132" s="90">
        <v>122.0</v>
      </c>
      <c r="S132" s="90"/>
      <c r="T132" s="90"/>
      <c r="V132" s="93" t="s">
        <v>1505</v>
      </c>
    </row>
    <row r="133">
      <c r="A133" s="37">
        <v>44764.39811184027</v>
      </c>
      <c r="B133" s="38" t="s">
        <v>1758</v>
      </c>
      <c r="C133" s="38" t="s">
        <v>19</v>
      </c>
      <c r="D133" s="38" t="s">
        <v>16</v>
      </c>
      <c r="F133" s="38" t="s">
        <v>2264</v>
      </c>
      <c r="J133" s="38" t="s">
        <v>2473</v>
      </c>
      <c r="K133" s="38" t="s">
        <v>2474</v>
      </c>
      <c r="L133" s="38">
        <v>1.0</v>
      </c>
      <c r="R133" s="90">
        <v>123.0</v>
      </c>
      <c r="S133" s="90"/>
      <c r="T133" s="90"/>
      <c r="V133" s="93" t="s">
        <v>1505</v>
      </c>
    </row>
    <row r="134">
      <c r="A134" s="37">
        <v>44764.46053861111</v>
      </c>
      <c r="B134" s="38" t="s">
        <v>1764</v>
      </c>
      <c r="C134" s="38" t="s">
        <v>1063</v>
      </c>
      <c r="D134" s="38" t="s">
        <v>35</v>
      </c>
      <c r="F134" s="38" t="s">
        <v>2274</v>
      </c>
      <c r="G134" s="38" t="s">
        <v>2275</v>
      </c>
      <c r="H134" s="38" t="s">
        <v>2475</v>
      </c>
      <c r="I134" s="85" t="s">
        <v>2476</v>
      </c>
      <c r="R134" s="90">
        <v>124.0</v>
      </c>
      <c r="S134" s="90"/>
      <c r="T134" s="90"/>
      <c r="V134" s="94" t="s">
        <v>1627</v>
      </c>
    </row>
    <row r="135">
      <c r="A135" s="37">
        <v>44768.52258454861</v>
      </c>
      <c r="B135" s="38" t="s">
        <v>1713</v>
      </c>
      <c r="C135" s="38" t="s">
        <v>2272</v>
      </c>
      <c r="D135" s="38" t="s">
        <v>44</v>
      </c>
      <c r="F135" s="38" t="s">
        <v>2274</v>
      </c>
      <c r="G135" s="38" t="s">
        <v>2477</v>
      </c>
      <c r="H135" s="38" t="s">
        <v>2478</v>
      </c>
      <c r="R135" s="90">
        <v>125.0</v>
      </c>
      <c r="S135" s="90"/>
      <c r="T135" s="90"/>
      <c r="V135" s="94" t="s">
        <v>1627</v>
      </c>
    </row>
    <row r="136">
      <c r="A136" s="37">
        <v>44768.54688552083</v>
      </c>
      <c r="B136" s="38" t="s">
        <v>1713</v>
      </c>
      <c r="C136" s="38" t="s">
        <v>2272</v>
      </c>
      <c r="D136" s="38" t="s">
        <v>44</v>
      </c>
      <c r="F136" s="38" t="s">
        <v>2274</v>
      </c>
      <c r="G136" s="38" t="s">
        <v>2249</v>
      </c>
      <c r="H136" s="38" t="s">
        <v>2479</v>
      </c>
      <c r="R136" s="90">
        <v>126.0</v>
      </c>
      <c r="S136" s="90"/>
      <c r="T136" s="90"/>
      <c r="V136" s="94" t="s">
        <v>1627</v>
      </c>
    </row>
    <row r="137">
      <c r="A137" s="37">
        <v>44769.40809319445</v>
      </c>
      <c r="B137" s="38" t="s">
        <v>1657</v>
      </c>
      <c r="C137" s="38" t="s">
        <v>1120</v>
      </c>
      <c r="D137" s="38" t="s">
        <v>95</v>
      </c>
      <c r="F137" s="38" t="s">
        <v>2264</v>
      </c>
      <c r="J137" s="38" t="s">
        <v>2480</v>
      </c>
      <c r="K137" s="38" t="s">
        <v>2481</v>
      </c>
      <c r="L137" s="38">
        <v>1.0</v>
      </c>
      <c r="R137" s="90">
        <v>127.0</v>
      </c>
      <c r="S137" s="90"/>
      <c r="T137" s="90"/>
      <c r="V137" s="94" t="s">
        <v>1627</v>
      </c>
    </row>
    <row r="138">
      <c r="A138" s="37">
        <v>44769.59089496528</v>
      </c>
      <c r="B138" s="38" t="s">
        <v>1713</v>
      </c>
      <c r="C138" s="38" t="s">
        <v>2272</v>
      </c>
      <c r="D138" s="38" t="s">
        <v>44</v>
      </c>
      <c r="F138" s="38" t="s">
        <v>2274</v>
      </c>
      <c r="G138" s="38" t="s">
        <v>2275</v>
      </c>
      <c r="H138" s="38" t="s">
        <v>2482</v>
      </c>
      <c r="R138" s="90">
        <v>128.0</v>
      </c>
      <c r="S138" s="90"/>
      <c r="T138" s="90"/>
      <c r="V138" s="94" t="s">
        <v>1627</v>
      </c>
    </row>
    <row r="139">
      <c r="A139" s="37">
        <v>44769.59754778935</v>
      </c>
      <c r="B139" s="38" t="s">
        <v>1717</v>
      </c>
      <c r="C139" s="38" t="s">
        <v>24</v>
      </c>
      <c r="D139" s="38" t="s">
        <v>16</v>
      </c>
      <c r="F139" s="38" t="s">
        <v>2264</v>
      </c>
      <c r="J139" s="38" t="s">
        <v>2483</v>
      </c>
      <c r="K139" s="38" t="s">
        <v>2484</v>
      </c>
      <c r="L139" s="38">
        <v>1.0</v>
      </c>
      <c r="R139" s="90">
        <v>129.0</v>
      </c>
      <c r="S139" s="90"/>
      <c r="T139" s="90"/>
      <c r="V139" s="94" t="s">
        <v>1627</v>
      </c>
    </row>
    <row r="140">
      <c r="A140" s="37">
        <v>44771.63189719907</v>
      </c>
      <c r="B140" s="38" t="s">
        <v>1644</v>
      </c>
      <c r="C140" s="38" t="s">
        <v>2485</v>
      </c>
      <c r="D140" s="38" t="s">
        <v>916</v>
      </c>
      <c r="F140" s="38" t="s">
        <v>2274</v>
      </c>
      <c r="G140" s="38" t="s">
        <v>2241</v>
      </c>
      <c r="H140" s="38" t="s">
        <v>2486</v>
      </c>
      <c r="R140" s="90">
        <v>130.0</v>
      </c>
      <c r="S140" s="90"/>
      <c r="T140" s="90"/>
      <c r="V140" s="94" t="s">
        <v>1627</v>
      </c>
    </row>
    <row r="141">
      <c r="A141" s="37">
        <v>44771.6429367824</v>
      </c>
      <c r="B141" s="38" t="s">
        <v>1719</v>
      </c>
      <c r="C141" s="38" t="s">
        <v>2487</v>
      </c>
      <c r="D141" s="38" t="s">
        <v>878</v>
      </c>
      <c r="F141" s="38" t="s">
        <v>2264</v>
      </c>
      <c r="J141" s="38" t="s">
        <v>883</v>
      </c>
      <c r="K141" s="38" t="s">
        <v>2488</v>
      </c>
      <c r="L141" s="38">
        <v>1.0</v>
      </c>
      <c r="R141" s="90">
        <v>131.0</v>
      </c>
      <c r="S141" s="90"/>
      <c r="T141" s="90"/>
      <c r="V141" s="94" t="s">
        <v>1627</v>
      </c>
    </row>
    <row r="142">
      <c r="A142" s="37">
        <v>44774.37703603009</v>
      </c>
      <c r="B142" s="38" t="s">
        <v>827</v>
      </c>
      <c r="C142" s="38" t="s">
        <v>419</v>
      </c>
      <c r="D142" s="38" t="s">
        <v>52</v>
      </c>
      <c r="F142" s="38" t="s">
        <v>2274</v>
      </c>
      <c r="G142" s="38" t="s">
        <v>2489</v>
      </c>
      <c r="H142" s="38" t="s">
        <v>2490</v>
      </c>
      <c r="R142" s="90">
        <v>132.0</v>
      </c>
      <c r="S142" s="90"/>
      <c r="T142" s="90"/>
      <c r="V142" s="94" t="s">
        <v>1627</v>
      </c>
    </row>
    <row r="143">
      <c r="A143" s="37">
        <v>44774.42755872685</v>
      </c>
      <c r="B143" s="38" t="s">
        <v>827</v>
      </c>
      <c r="C143" s="38" t="s">
        <v>2267</v>
      </c>
      <c r="D143" s="38" t="s">
        <v>95</v>
      </c>
      <c r="F143" s="38" t="s">
        <v>2274</v>
      </c>
      <c r="G143" s="38" t="s">
        <v>2249</v>
      </c>
      <c r="H143" s="38" t="s">
        <v>2259</v>
      </c>
      <c r="R143" s="90">
        <v>133.0</v>
      </c>
      <c r="S143" s="90"/>
      <c r="T143" s="90"/>
      <c r="V143" s="94" t="s">
        <v>1627</v>
      </c>
    </row>
    <row r="144">
      <c r="A144" s="37">
        <v>44774.4390275926</v>
      </c>
      <c r="B144" s="38" t="s">
        <v>827</v>
      </c>
      <c r="C144" s="38" t="s">
        <v>2491</v>
      </c>
      <c r="D144" s="38" t="s">
        <v>95</v>
      </c>
      <c r="F144" s="38" t="s">
        <v>2274</v>
      </c>
      <c r="G144" s="38" t="s">
        <v>2241</v>
      </c>
      <c r="H144" s="38" t="s">
        <v>2492</v>
      </c>
      <c r="R144" s="90">
        <v>134.0</v>
      </c>
      <c r="S144" s="90"/>
      <c r="T144" s="90"/>
      <c r="V144" s="94" t="s">
        <v>1627</v>
      </c>
    </row>
    <row r="145">
      <c r="A145" s="37">
        <v>44774.516151689815</v>
      </c>
      <c r="B145" s="38" t="s">
        <v>827</v>
      </c>
      <c r="C145" s="38" t="s">
        <v>2372</v>
      </c>
      <c r="D145" s="38" t="s">
        <v>95</v>
      </c>
      <c r="F145" s="38" t="s">
        <v>2274</v>
      </c>
      <c r="G145" s="38" t="s">
        <v>2249</v>
      </c>
      <c r="H145" s="38" t="s">
        <v>2493</v>
      </c>
    </row>
    <row r="146">
      <c r="A146" s="37">
        <v>44775.337221863425</v>
      </c>
      <c r="B146" s="38" t="s">
        <v>827</v>
      </c>
      <c r="C146" s="38" t="s">
        <v>2327</v>
      </c>
      <c r="D146" s="38" t="s">
        <v>95</v>
      </c>
      <c r="F146" s="38" t="s">
        <v>2264</v>
      </c>
      <c r="J146" s="38" t="s">
        <v>2494</v>
      </c>
      <c r="K146" s="38" t="s">
        <v>2495</v>
      </c>
      <c r="L146" s="38">
        <v>2.0</v>
      </c>
    </row>
    <row r="147">
      <c r="A147" s="37">
        <v>44775.347804895835</v>
      </c>
      <c r="B147" s="38" t="s">
        <v>827</v>
      </c>
      <c r="C147" s="38" t="s">
        <v>2496</v>
      </c>
      <c r="D147" s="38" t="s">
        <v>95</v>
      </c>
      <c r="F147" s="38" t="s">
        <v>2264</v>
      </c>
      <c r="J147" s="38" t="s">
        <v>2497</v>
      </c>
      <c r="K147" s="38" t="s">
        <v>2402</v>
      </c>
      <c r="L147" s="38">
        <v>2.0</v>
      </c>
    </row>
    <row r="148">
      <c r="A148" s="37">
        <v>44775.38236418982</v>
      </c>
      <c r="B148" s="38" t="s">
        <v>827</v>
      </c>
      <c r="C148" s="38" t="s">
        <v>1519</v>
      </c>
      <c r="D148" s="38" t="s">
        <v>95</v>
      </c>
      <c r="F148" s="38" t="s">
        <v>2274</v>
      </c>
      <c r="G148" s="38" t="s">
        <v>2241</v>
      </c>
      <c r="H148" s="38" t="s">
        <v>1519</v>
      </c>
      <c r="R148" s="84">
        <v>1.0</v>
      </c>
      <c r="S148" s="84"/>
      <c r="T148" s="84"/>
      <c r="X148" s="39" t="str">
        <f>VLOOKUP($R148,'Detailed Approval Records Forme'!$C:$O,3,false)</f>
        <v>Complete</v>
      </c>
    </row>
    <row r="149">
      <c r="A149" s="37">
        <v>44775.38773857639</v>
      </c>
      <c r="B149" s="38" t="s">
        <v>827</v>
      </c>
      <c r="C149" s="38" t="s">
        <v>2498</v>
      </c>
      <c r="D149" s="38" t="s">
        <v>95</v>
      </c>
      <c r="F149" s="38" t="s">
        <v>2264</v>
      </c>
      <c r="J149" s="38" t="s">
        <v>292</v>
      </c>
      <c r="K149" s="38" t="s">
        <v>2499</v>
      </c>
      <c r="L149" s="38">
        <v>1.0</v>
      </c>
      <c r="R149" s="84">
        <v>2.0</v>
      </c>
      <c r="S149" s="84"/>
      <c r="T149" s="84"/>
      <c r="X149" s="39" t="str">
        <f>VLOOKUP($R149,'Detailed Approval Records Forme'!$C:$O,3,false)</f>
        <v>Complete</v>
      </c>
    </row>
    <row r="150">
      <c r="A150" s="37">
        <v>44775.44234476852</v>
      </c>
      <c r="B150" s="38" t="s">
        <v>827</v>
      </c>
      <c r="C150" s="38" t="s">
        <v>2322</v>
      </c>
      <c r="D150" s="38" t="s">
        <v>35</v>
      </c>
      <c r="F150" s="38" t="s">
        <v>2264</v>
      </c>
      <c r="J150" s="38" t="s">
        <v>2500</v>
      </c>
      <c r="K150" s="38" t="s">
        <v>2501</v>
      </c>
      <c r="L150" s="38">
        <v>1.0</v>
      </c>
      <c r="M150" s="38" t="s">
        <v>2502</v>
      </c>
      <c r="N150" s="84"/>
      <c r="O150" s="84"/>
      <c r="P150" s="84"/>
      <c r="Q150" s="84"/>
      <c r="R150" s="84">
        <v>3.0</v>
      </c>
      <c r="S150" s="84"/>
      <c r="T150" s="84"/>
      <c r="X150" s="39" t="str">
        <f>VLOOKUP($R150,'Detailed Approval Records Forme'!$C:$O,3,false)</f>
        <v>Complete</v>
      </c>
    </row>
    <row r="151">
      <c r="A151" s="37">
        <v>44775.479016296296</v>
      </c>
      <c r="B151" s="38" t="s">
        <v>827</v>
      </c>
      <c r="C151" s="38" t="s">
        <v>2259</v>
      </c>
      <c r="D151" s="38" t="s">
        <v>95</v>
      </c>
      <c r="F151" s="38" t="s">
        <v>2274</v>
      </c>
      <c r="G151" s="38" t="s">
        <v>1519</v>
      </c>
      <c r="H151" s="38" t="s">
        <v>1519</v>
      </c>
      <c r="R151" s="84">
        <v>4.0</v>
      </c>
      <c r="S151" s="84"/>
      <c r="T151" s="84"/>
      <c r="X151" s="39" t="str">
        <f>VLOOKUP($R151,'Detailed Approval Records Forme'!$C:$O,3,false)</f>
        <v>Complete</v>
      </c>
    </row>
    <row r="152">
      <c r="A152" s="37">
        <v>44775.49031275463</v>
      </c>
      <c r="B152" s="38" t="s">
        <v>827</v>
      </c>
      <c r="C152" s="38" t="s">
        <v>1125</v>
      </c>
      <c r="D152" s="38" t="s">
        <v>916</v>
      </c>
      <c r="F152" s="38" t="s">
        <v>2274</v>
      </c>
      <c r="G152" s="38" t="s">
        <v>2503</v>
      </c>
      <c r="H152" s="38" t="s">
        <v>2504</v>
      </c>
      <c r="R152" s="84">
        <v>5.0</v>
      </c>
      <c r="S152" s="84"/>
      <c r="T152" s="84"/>
      <c r="X152" s="39" t="str">
        <f>VLOOKUP($R152,'Detailed Approval Records Forme'!$C:$O,3,false)</f>
        <v>Complete</v>
      </c>
    </row>
    <row r="153">
      <c r="A153" s="37">
        <v>44775.61617119213</v>
      </c>
      <c r="B153" s="38" t="s">
        <v>827</v>
      </c>
      <c r="C153" s="38" t="s">
        <v>1639</v>
      </c>
      <c r="D153" s="38" t="s">
        <v>35</v>
      </c>
      <c r="F153" s="38" t="s">
        <v>2264</v>
      </c>
      <c r="J153" s="38" t="s">
        <v>2505</v>
      </c>
      <c r="K153" s="38" t="s">
        <v>2506</v>
      </c>
      <c r="L153" s="38">
        <v>1.0</v>
      </c>
      <c r="N153" s="38" t="s">
        <v>2322</v>
      </c>
      <c r="O153" s="84"/>
      <c r="P153" s="84"/>
      <c r="Q153" s="84"/>
      <c r="R153" s="84">
        <v>6.0</v>
      </c>
      <c r="S153" s="84"/>
      <c r="T153" s="84"/>
      <c r="X153" s="39" t="str">
        <f>VLOOKUP($R153,'Detailed Approval Records Forme'!$C:$O,3,false)</f>
        <v>In progress</v>
      </c>
    </row>
    <row r="154">
      <c r="A154" s="37">
        <v>44775.70317663194</v>
      </c>
      <c r="B154" s="38" t="s">
        <v>827</v>
      </c>
      <c r="C154" s="38" t="s">
        <v>1635</v>
      </c>
      <c r="D154" s="38" t="s">
        <v>316</v>
      </c>
      <c r="F154" s="38" t="s">
        <v>2274</v>
      </c>
      <c r="G154" s="38" t="s">
        <v>2507</v>
      </c>
      <c r="H154" s="38" t="s">
        <v>2508</v>
      </c>
      <c r="N154" s="38" t="s">
        <v>2509</v>
      </c>
      <c r="O154" s="84"/>
      <c r="P154" s="84"/>
      <c r="Q154" s="84"/>
      <c r="R154" s="84">
        <v>7.0</v>
      </c>
      <c r="S154" s="84"/>
      <c r="T154" s="84"/>
      <c r="X154" s="39" t="str">
        <f>VLOOKUP($R154,'Detailed Approval Records Forme'!$C:$O,3,false)</f>
        <v>Complete</v>
      </c>
    </row>
    <row r="155">
      <c r="A155" s="37">
        <v>44776.49000642361</v>
      </c>
      <c r="B155" s="38" t="s">
        <v>827</v>
      </c>
      <c r="C155" s="38" t="s">
        <v>1980</v>
      </c>
      <c r="D155" s="38" t="s">
        <v>316</v>
      </c>
      <c r="F155" s="38" t="s">
        <v>2274</v>
      </c>
      <c r="G155" s="38" t="s">
        <v>2510</v>
      </c>
      <c r="H155" s="38" t="s">
        <v>2511</v>
      </c>
      <c r="N155" s="38" t="s">
        <v>2512</v>
      </c>
      <c r="O155" s="84"/>
      <c r="P155" s="84"/>
      <c r="Q155" s="84"/>
      <c r="R155" s="84">
        <v>8.0</v>
      </c>
      <c r="S155" s="84"/>
      <c r="T155" s="84"/>
      <c r="X155" s="39" t="str">
        <f>VLOOKUP($R155,'Detailed Approval Records Forme'!$C:$O,3,false)</f>
        <v>Complete</v>
      </c>
    </row>
    <row r="156">
      <c r="A156" s="37">
        <v>44776.59718378472</v>
      </c>
      <c r="B156" s="38" t="s">
        <v>827</v>
      </c>
      <c r="C156" s="38" t="s">
        <v>2513</v>
      </c>
      <c r="D156" s="38" t="s">
        <v>916</v>
      </c>
      <c r="F156" s="38" t="s">
        <v>2264</v>
      </c>
      <c r="J156" s="38" t="s">
        <v>2514</v>
      </c>
      <c r="K156" s="38" t="s">
        <v>2515</v>
      </c>
      <c r="L156" s="38">
        <v>1.0</v>
      </c>
      <c r="N156" s="38" t="s">
        <v>2516</v>
      </c>
      <c r="O156" s="84"/>
      <c r="P156" s="84"/>
      <c r="Q156" s="84"/>
      <c r="R156" s="84">
        <v>9.0</v>
      </c>
      <c r="S156" s="84"/>
      <c r="T156" s="84"/>
      <c r="X156" s="39" t="str">
        <f>VLOOKUP($R156,'Detailed Approval Records Forme'!$C:$O,3,false)</f>
        <v>Complete</v>
      </c>
    </row>
    <row r="157">
      <c r="A157" s="37">
        <v>44776.66758333333</v>
      </c>
      <c r="B157" s="38" t="s">
        <v>827</v>
      </c>
      <c r="C157" s="38" t="s">
        <v>1713</v>
      </c>
      <c r="D157" s="38" t="s">
        <v>44</v>
      </c>
      <c r="F157" s="38" t="s">
        <v>2274</v>
      </c>
      <c r="G157" s="38" t="s">
        <v>2388</v>
      </c>
      <c r="H157" s="38" t="s">
        <v>2517</v>
      </c>
      <c r="N157" s="38" t="s">
        <v>2272</v>
      </c>
      <c r="O157" s="84"/>
      <c r="P157" s="84"/>
      <c r="Q157" s="84"/>
      <c r="R157" s="84">
        <v>10.0</v>
      </c>
      <c r="S157" s="84"/>
      <c r="T157" s="84"/>
      <c r="X157" s="39" t="str">
        <f>VLOOKUP($R157,'Detailed Approval Records Forme'!$C:$O,3,false)</f>
        <v>Complete</v>
      </c>
    </row>
    <row r="158">
      <c r="A158" s="37">
        <v>44777.413306793984</v>
      </c>
      <c r="B158" s="38" t="s">
        <v>827</v>
      </c>
      <c r="C158" s="38" t="s">
        <v>2518</v>
      </c>
      <c r="D158" s="38" t="s">
        <v>316</v>
      </c>
      <c r="F158" s="38" t="s">
        <v>2274</v>
      </c>
      <c r="G158" s="38" t="s">
        <v>2241</v>
      </c>
      <c r="H158" s="38" t="s">
        <v>2519</v>
      </c>
      <c r="I158" s="85" t="s">
        <v>2520</v>
      </c>
      <c r="N158" s="38" t="s">
        <v>2521</v>
      </c>
      <c r="O158" s="84"/>
      <c r="P158" s="84"/>
      <c r="Q158" s="84"/>
      <c r="R158" s="84">
        <v>11.0</v>
      </c>
      <c r="S158" s="84"/>
      <c r="T158" s="84"/>
      <c r="X158" s="39" t="str">
        <f>VLOOKUP($R158,'Detailed Approval Records Forme'!$C:$O,3,false)</f>
        <v>In progress</v>
      </c>
    </row>
    <row r="159">
      <c r="A159" s="37">
        <v>44777.422398298615</v>
      </c>
      <c r="B159" s="38" t="s">
        <v>827</v>
      </c>
      <c r="C159" s="38" t="s">
        <v>1632</v>
      </c>
      <c r="D159" s="38" t="s">
        <v>916</v>
      </c>
      <c r="F159" s="38" t="s">
        <v>2274</v>
      </c>
      <c r="G159" s="38" t="s">
        <v>2522</v>
      </c>
      <c r="H159" s="38" t="s">
        <v>2523</v>
      </c>
      <c r="N159" s="38" t="s">
        <v>2381</v>
      </c>
      <c r="O159" s="84"/>
      <c r="P159" s="84"/>
      <c r="Q159" s="84"/>
      <c r="R159" s="84">
        <v>12.0</v>
      </c>
      <c r="S159" s="84"/>
      <c r="T159" s="84"/>
      <c r="X159" s="39" t="str">
        <f>VLOOKUP($R159,'Detailed Approval Records Forme'!$C:$O,3,false)</f>
        <v>Complete</v>
      </c>
    </row>
    <row r="160">
      <c r="A160" s="37">
        <v>44777.48970706019</v>
      </c>
      <c r="B160" s="38" t="s">
        <v>827</v>
      </c>
      <c r="C160" s="38" t="s">
        <v>1639</v>
      </c>
      <c r="D160" s="38" t="s">
        <v>35</v>
      </c>
      <c r="F160" s="38" t="s">
        <v>2264</v>
      </c>
      <c r="J160" s="38" t="s">
        <v>306</v>
      </c>
      <c r="K160" s="38" t="s">
        <v>2524</v>
      </c>
      <c r="L160" s="38">
        <v>1.0</v>
      </c>
      <c r="N160" s="38" t="s">
        <v>2322</v>
      </c>
      <c r="O160" s="84"/>
      <c r="P160" s="84"/>
      <c r="Q160" s="84"/>
      <c r="R160" s="84">
        <v>13.0</v>
      </c>
      <c r="S160" s="84"/>
      <c r="T160" s="84"/>
      <c r="X160" s="39" t="str">
        <f>VLOOKUP($R160,'Detailed Approval Records Forme'!$C:$O,3,false)</f>
        <v>Complete</v>
      </c>
    </row>
    <row r="161">
      <c r="A161" s="37">
        <v>44781.49041614583</v>
      </c>
      <c r="B161" s="38" t="s">
        <v>827</v>
      </c>
      <c r="C161" s="38" t="s">
        <v>1714</v>
      </c>
      <c r="D161" s="38" t="s">
        <v>82</v>
      </c>
      <c r="F161" s="38" t="s">
        <v>2274</v>
      </c>
      <c r="G161" s="38" t="s">
        <v>2525</v>
      </c>
      <c r="H161" s="38" t="s">
        <v>2526</v>
      </c>
      <c r="N161" s="38" t="s">
        <v>85</v>
      </c>
      <c r="O161" s="84"/>
      <c r="P161" s="84"/>
      <c r="Q161" s="84"/>
      <c r="R161" s="84">
        <v>14.0</v>
      </c>
      <c r="S161" s="84"/>
      <c r="T161" s="84"/>
      <c r="X161" s="39" t="str">
        <f>VLOOKUP($R161,'Detailed Approval Records Forme'!$C:$O,3,false)</f>
        <v>In progress</v>
      </c>
    </row>
    <row r="162">
      <c r="A162" s="37">
        <v>44781.68221079861</v>
      </c>
      <c r="B162" s="38" t="s">
        <v>827</v>
      </c>
      <c r="C162" s="38" t="s">
        <v>2527</v>
      </c>
      <c r="D162" s="38" t="s">
        <v>95</v>
      </c>
      <c r="F162" s="38" t="s">
        <v>2264</v>
      </c>
      <c r="J162" s="38" t="s">
        <v>306</v>
      </c>
      <c r="K162" s="38" t="s">
        <v>2528</v>
      </c>
      <c r="L162" s="38">
        <v>1.0</v>
      </c>
      <c r="N162" s="38" t="s">
        <v>120</v>
      </c>
      <c r="O162" s="84"/>
      <c r="P162" s="84"/>
      <c r="Q162" s="84"/>
      <c r="R162" s="84">
        <v>15.0</v>
      </c>
      <c r="S162" s="84"/>
      <c r="T162" s="84"/>
      <c r="X162" s="39" t="str">
        <f>VLOOKUP($R162,'Detailed Approval Records Forme'!$C:$O,3,false)</f>
        <v>In progress</v>
      </c>
    </row>
    <row r="163">
      <c r="A163" s="37">
        <v>44783.38050109954</v>
      </c>
      <c r="B163" s="38" t="s">
        <v>827</v>
      </c>
      <c r="C163" s="38" t="s">
        <v>2529</v>
      </c>
      <c r="D163" s="38" t="s">
        <v>316</v>
      </c>
      <c r="F163" s="38" t="s">
        <v>2264</v>
      </c>
      <c r="J163" s="38" t="s">
        <v>306</v>
      </c>
      <c r="K163" s="38" t="s">
        <v>2402</v>
      </c>
      <c r="L163" s="38">
        <v>1.0</v>
      </c>
      <c r="N163" s="38" t="s">
        <v>2298</v>
      </c>
      <c r="O163" s="84"/>
      <c r="P163" s="84"/>
      <c r="Q163" s="84"/>
      <c r="R163" s="84">
        <v>16.0</v>
      </c>
      <c r="S163" s="84"/>
      <c r="T163" s="84"/>
      <c r="X163" s="39" t="str">
        <f>VLOOKUP($R163,'Detailed Approval Records Forme'!$C:$O,3,false)</f>
        <v>Complete</v>
      </c>
    </row>
    <row r="164">
      <c r="A164" s="37">
        <v>44783.39247832176</v>
      </c>
      <c r="B164" s="38" t="s">
        <v>827</v>
      </c>
      <c r="C164" s="38" t="s">
        <v>1657</v>
      </c>
      <c r="D164" s="38" t="s">
        <v>95</v>
      </c>
      <c r="F164" s="38" t="s">
        <v>2264</v>
      </c>
      <c r="J164" s="38" t="s">
        <v>10</v>
      </c>
      <c r="K164" s="38" t="s">
        <v>2530</v>
      </c>
      <c r="L164" s="38">
        <v>1.0</v>
      </c>
      <c r="N164" s="38" t="s">
        <v>1120</v>
      </c>
      <c r="O164" s="84"/>
      <c r="P164" s="84"/>
      <c r="Q164" s="84"/>
      <c r="R164" s="84">
        <v>17.0</v>
      </c>
      <c r="S164" s="84"/>
      <c r="T164" s="84"/>
      <c r="X164" s="39" t="str">
        <f>VLOOKUP($R164,'Detailed Approval Records Forme'!$C:$O,3,false)</f>
        <v>Complete</v>
      </c>
    </row>
    <row r="165">
      <c r="A165" s="37">
        <v>44784.64677721065</v>
      </c>
      <c r="B165" s="38" t="s">
        <v>827</v>
      </c>
      <c r="C165" s="38" t="s">
        <v>1639</v>
      </c>
      <c r="D165" s="38" t="s">
        <v>35</v>
      </c>
      <c r="F165" s="38" t="s">
        <v>2264</v>
      </c>
      <c r="J165" s="38" t="s">
        <v>2531</v>
      </c>
      <c r="K165" s="38" t="s">
        <v>2532</v>
      </c>
      <c r="L165" s="38">
        <v>1.0</v>
      </c>
      <c r="N165" s="38" t="s">
        <v>2322</v>
      </c>
      <c r="O165" s="84"/>
      <c r="P165" s="84"/>
      <c r="Q165" s="84"/>
      <c r="R165" s="84">
        <v>18.0</v>
      </c>
      <c r="S165" s="84"/>
      <c r="T165" s="84"/>
      <c r="X165" s="39" t="str">
        <f>VLOOKUP($R165,'Detailed Approval Records Forme'!$C:$O,3,false)</f>
        <v>In progress</v>
      </c>
    </row>
    <row r="166">
      <c r="A166" s="37">
        <v>44785.33903243055</v>
      </c>
      <c r="B166" s="38" t="s">
        <v>827</v>
      </c>
      <c r="C166" s="38" t="s">
        <v>1988</v>
      </c>
      <c r="D166" s="38" t="s">
        <v>95</v>
      </c>
      <c r="F166" s="38" t="s">
        <v>2264</v>
      </c>
      <c r="J166" s="38" t="s">
        <v>2461</v>
      </c>
      <c r="K166" s="38" t="s">
        <v>2533</v>
      </c>
      <c r="L166" s="38">
        <v>1.0</v>
      </c>
      <c r="N166" s="38" t="s">
        <v>2327</v>
      </c>
      <c r="O166" s="84"/>
      <c r="P166" s="84"/>
      <c r="Q166" s="84"/>
      <c r="R166" s="84">
        <v>19.0</v>
      </c>
      <c r="S166" s="84"/>
      <c r="T166" s="84"/>
      <c r="X166" s="39" t="str">
        <f>VLOOKUP($R166,'Detailed Approval Records Forme'!$C:$O,3,false)</f>
        <v>Complete</v>
      </c>
    </row>
    <row r="167">
      <c r="A167" s="37">
        <v>44788.660663055554</v>
      </c>
      <c r="B167" s="38" t="s">
        <v>827</v>
      </c>
      <c r="C167" s="38" t="s">
        <v>2534</v>
      </c>
      <c r="D167" s="38" t="s">
        <v>95</v>
      </c>
      <c r="F167" s="38" t="s">
        <v>2274</v>
      </c>
      <c r="G167" s="38" t="s">
        <v>2388</v>
      </c>
      <c r="H167" s="38" t="s">
        <v>2535</v>
      </c>
      <c r="I167" s="85" t="s">
        <v>2536</v>
      </c>
      <c r="N167" s="38" t="s">
        <v>37</v>
      </c>
      <c r="O167" s="84"/>
      <c r="P167" s="84"/>
      <c r="Q167" s="84"/>
      <c r="R167" s="84">
        <v>20.0</v>
      </c>
      <c r="S167" s="84"/>
      <c r="T167" s="84"/>
      <c r="X167" s="39" t="str">
        <f>VLOOKUP($R167,'Detailed Approval Records Forme'!$C:$O,3,false)</f>
        <v>Complete</v>
      </c>
    </row>
    <row r="168">
      <c r="A168" s="37">
        <v>44788.74233152778</v>
      </c>
      <c r="B168" s="38" t="s">
        <v>827</v>
      </c>
      <c r="C168" s="38" t="s">
        <v>1731</v>
      </c>
      <c r="D168" s="38" t="s">
        <v>316</v>
      </c>
      <c r="F168" s="38" t="s">
        <v>2274</v>
      </c>
      <c r="G168" s="38" t="s">
        <v>2275</v>
      </c>
      <c r="H168" s="38" t="s">
        <v>2537</v>
      </c>
      <c r="I168" s="85" t="s">
        <v>2538</v>
      </c>
      <c r="N168" s="38" t="s">
        <v>2453</v>
      </c>
      <c r="O168" s="84"/>
      <c r="P168" s="84"/>
      <c r="Q168" s="84"/>
    </row>
    <row r="169">
      <c r="A169" s="37">
        <v>44789.3407259375</v>
      </c>
      <c r="B169" s="38" t="s">
        <v>827</v>
      </c>
      <c r="C169" s="38" t="s">
        <v>1632</v>
      </c>
      <c r="D169" s="38" t="s">
        <v>916</v>
      </c>
      <c r="F169" s="38" t="s">
        <v>2274</v>
      </c>
      <c r="G169" s="38" t="s">
        <v>2539</v>
      </c>
      <c r="H169" s="38" t="s">
        <v>2539</v>
      </c>
      <c r="N169" s="38" t="s">
        <v>2381</v>
      </c>
      <c r="O169" s="84"/>
      <c r="P169" s="84"/>
      <c r="Q169" s="84"/>
    </row>
    <row r="170">
      <c r="A170" s="37">
        <v>44790.3899322338</v>
      </c>
      <c r="B170" s="38" t="s">
        <v>827</v>
      </c>
      <c r="C170" s="38" t="s">
        <v>1632</v>
      </c>
      <c r="D170" s="38" t="s">
        <v>916</v>
      </c>
      <c r="F170" s="38" t="s">
        <v>2264</v>
      </c>
      <c r="J170" s="38" t="s">
        <v>2540</v>
      </c>
      <c r="K170" s="38" t="s">
        <v>213</v>
      </c>
      <c r="L170" s="38">
        <v>1.0</v>
      </c>
      <c r="N170" s="38" t="s">
        <v>2381</v>
      </c>
      <c r="O170" s="84"/>
      <c r="P170" s="84"/>
      <c r="Q170" s="84"/>
    </row>
    <row r="171">
      <c r="A171" s="37">
        <v>44790.41369527778</v>
      </c>
      <c r="B171" s="38" t="s">
        <v>827</v>
      </c>
      <c r="C171" s="38" t="s">
        <v>1637</v>
      </c>
      <c r="D171" s="38" t="s">
        <v>16</v>
      </c>
      <c r="F171" s="38" t="s">
        <v>2274</v>
      </c>
      <c r="G171" s="38" t="s">
        <v>2275</v>
      </c>
      <c r="H171" s="38" t="s">
        <v>2541</v>
      </c>
      <c r="N171" s="38" t="s">
        <v>11</v>
      </c>
      <c r="O171" s="84"/>
      <c r="P171" s="84"/>
      <c r="Q171" s="84"/>
    </row>
    <row r="172">
      <c r="A172" s="37">
        <v>44791.52850137731</v>
      </c>
      <c r="B172" s="38" t="s">
        <v>827</v>
      </c>
      <c r="C172" s="38" t="s">
        <v>1637</v>
      </c>
      <c r="D172" s="38" t="s">
        <v>16</v>
      </c>
      <c r="F172" s="38" t="s">
        <v>2264</v>
      </c>
      <c r="J172" s="38" t="s">
        <v>2542</v>
      </c>
      <c r="K172" s="38" t="s">
        <v>2543</v>
      </c>
      <c r="L172" s="38">
        <v>1.0</v>
      </c>
      <c r="N172" s="38" t="s">
        <v>11</v>
      </c>
      <c r="O172" s="84"/>
      <c r="P172" s="84"/>
      <c r="Q172" s="84"/>
    </row>
    <row r="173">
      <c r="A173" s="37">
        <v>44792.39807229167</v>
      </c>
      <c r="B173" s="38" t="s">
        <v>827</v>
      </c>
      <c r="C173" s="38" t="s">
        <v>1657</v>
      </c>
      <c r="D173" s="38" t="s">
        <v>95</v>
      </c>
      <c r="F173" s="38" t="s">
        <v>2264</v>
      </c>
      <c r="J173" s="38" t="s">
        <v>306</v>
      </c>
      <c r="K173" s="38" t="s">
        <v>2544</v>
      </c>
      <c r="L173" s="38">
        <v>1.0</v>
      </c>
      <c r="N173" s="38" t="s">
        <v>1120</v>
      </c>
      <c r="O173" s="84"/>
      <c r="P173" s="84"/>
      <c r="Q173" s="84"/>
    </row>
    <row r="174">
      <c r="A174" s="37">
        <v>44795.46317045139</v>
      </c>
      <c r="B174" s="38" t="s">
        <v>827</v>
      </c>
      <c r="C174" s="38" t="s">
        <v>1726</v>
      </c>
      <c r="D174" s="38" t="s">
        <v>95</v>
      </c>
      <c r="F174" s="38" t="s">
        <v>2264</v>
      </c>
      <c r="J174" s="38" t="s">
        <v>2545</v>
      </c>
      <c r="K174" s="38" t="s">
        <v>2546</v>
      </c>
      <c r="L174" s="38">
        <v>2.0</v>
      </c>
      <c r="N174" s="38" t="s">
        <v>128</v>
      </c>
      <c r="O174" s="84"/>
      <c r="P174" s="84"/>
      <c r="Q174" s="84"/>
    </row>
    <row r="175">
      <c r="A175" s="37">
        <v>44795.48219914352</v>
      </c>
      <c r="B175" s="38" t="s">
        <v>827</v>
      </c>
      <c r="C175" s="38" t="s">
        <v>1726</v>
      </c>
      <c r="D175" s="38" t="s">
        <v>95</v>
      </c>
      <c r="F175" s="38" t="s">
        <v>2264</v>
      </c>
      <c r="J175" s="38" t="s">
        <v>2547</v>
      </c>
      <c r="K175" s="38" t="s">
        <v>2548</v>
      </c>
      <c r="L175" s="38">
        <v>2.0</v>
      </c>
      <c r="N175" s="38" t="s">
        <v>128</v>
      </c>
      <c r="O175" s="84"/>
      <c r="P175" s="84"/>
      <c r="Q175" s="84"/>
    </row>
    <row r="176">
      <c r="A176" s="37">
        <v>44796.68111016204</v>
      </c>
      <c r="B176" s="38" t="s">
        <v>827</v>
      </c>
      <c r="C176" s="38" t="s">
        <v>1713</v>
      </c>
      <c r="D176" s="38" t="s">
        <v>44</v>
      </c>
      <c r="F176" s="38" t="s">
        <v>2274</v>
      </c>
      <c r="G176" s="38" t="s">
        <v>2275</v>
      </c>
      <c r="H176" s="38" t="s">
        <v>2549</v>
      </c>
      <c r="N176" s="38" t="s">
        <v>2272</v>
      </c>
      <c r="O176" s="84"/>
      <c r="P176" s="84"/>
      <c r="Q176" s="84"/>
    </row>
    <row r="177">
      <c r="A177" s="37">
        <v>44804.35273387731</v>
      </c>
      <c r="B177" s="38" t="s">
        <v>827</v>
      </c>
      <c r="C177" s="38" t="s">
        <v>1758</v>
      </c>
      <c r="D177" s="38" t="s">
        <v>16</v>
      </c>
      <c r="F177" s="38" t="s">
        <v>2264</v>
      </c>
      <c r="J177" s="38" t="s">
        <v>2550</v>
      </c>
      <c r="K177" s="38" t="s">
        <v>2551</v>
      </c>
      <c r="L177" s="38">
        <v>1.0</v>
      </c>
      <c r="N177" s="38" t="s">
        <v>19</v>
      </c>
      <c r="O177" s="84"/>
      <c r="P177" s="84"/>
      <c r="Q177" s="84"/>
    </row>
    <row r="178">
      <c r="A178" s="37">
        <v>44804.470756689814</v>
      </c>
      <c r="B178" s="38" t="s">
        <v>827</v>
      </c>
      <c r="C178" s="38" t="s">
        <v>2231</v>
      </c>
      <c r="D178" s="38" t="s">
        <v>916</v>
      </c>
      <c r="F178" s="38" t="s">
        <v>2274</v>
      </c>
      <c r="G178" s="38" t="s">
        <v>2388</v>
      </c>
      <c r="H178" s="38" t="s">
        <v>2552</v>
      </c>
      <c r="N178" s="38" t="s">
        <v>2248</v>
      </c>
      <c r="O178" s="84"/>
      <c r="P178" s="84"/>
      <c r="Q178" s="84"/>
    </row>
    <row r="179">
      <c r="A179" s="37">
        <v>44810.38582846065</v>
      </c>
      <c r="B179" s="38" t="s">
        <v>827</v>
      </c>
      <c r="C179" s="38" t="s">
        <v>1749</v>
      </c>
      <c r="D179" s="38" t="s">
        <v>95</v>
      </c>
      <c r="F179" s="38" t="s">
        <v>2264</v>
      </c>
      <c r="J179" s="38" t="s">
        <v>2553</v>
      </c>
      <c r="K179" s="38" t="s">
        <v>2554</v>
      </c>
      <c r="L179" s="38" t="s">
        <v>2555</v>
      </c>
      <c r="N179" s="38" t="s">
        <v>1105</v>
      </c>
      <c r="O179" s="84"/>
      <c r="P179" s="84"/>
      <c r="Q179" s="84"/>
    </row>
    <row r="180">
      <c r="A180" s="37">
        <v>44810.723962372685</v>
      </c>
      <c r="B180" s="38" t="s">
        <v>827</v>
      </c>
      <c r="C180" s="38" t="s">
        <v>2556</v>
      </c>
      <c r="D180" s="38" t="s">
        <v>870</v>
      </c>
      <c r="F180" s="38" t="s">
        <v>2264</v>
      </c>
      <c r="J180" s="38" t="s">
        <v>292</v>
      </c>
      <c r="K180" s="38" t="s">
        <v>2557</v>
      </c>
      <c r="L180" s="38">
        <v>1.0</v>
      </c>
      <c r="P180" s="84"/>
      <c r="Q180" s="84"/>
    </row>
    <row r="181">
      <c r="A181" s="37">
        <v>44811.42726094907</v>
      </c>
      <c r="B181" s="38" t="s">
        <v>827</v>
      </c>
      <c r="C181" s="38" t="s">
        <v>2215</v>
      </c>
      <c r="D181" s="38" t="s">
        <v>95</v>
      </c>
      <c r="F181" s="38" t="s">
        <v>2274</v>
      </c>
      <c r="G181" s="38" t="s">
        <v>2364</v>
      </c>
      <c r="H181" s="38" t="s">
        <v>2259</v>
      </c>
      <c r="N181" s="38" t="s">
        <v>2267</v>
      </c>
      <c r="O181" s="84"/>
      <c r="P181" s="84"/>
      <c r="Q181" s="84"/>
      <c r="R181" s="90">
        <v>135.0</v>
      </c>
      <c r="S181" s="90"/>
      <c r="T181" s="90"/>
      <c r="V181" s="92" t="s">
        <v>1621</v>
      </c>
    </row>
    <row r="182">
      <c r="A182" s="37">
        <v>44813.4134066088</v>
      </c>
      <c r="B182" s="38" t="s">
        <v>827</v>
      </c>
      <c r="C182" s="38" t="s">
        <v>2558</v>
      </c>
      <c r="D182" s="38" t="s">
        <v>916</v>
      </c>
      <c r="F182" s="38" t="s">
        <v>2264</v>
      </c>
      <c r="J182" s="38" t="s">
        <v>2461</v>
      </c>
      <c r="K182" s="38" t="s">
        <v>2559</v>
      </c>
      <c r="L182" s="38">
        <v>1.0</v>
      </c>
      <c r="N182" s="38" t="s">
        <v>2496</v>
      </c>
      <c r="O182" s="84"/>
      <c r="P182" s="84"/>
      <c r="Q182" s="84"/>
      <c r="R182" s="90">
        <v>136.0</v>
      </c>
      <c r="S182" s="90"/>
      <c r="T182" s="90"/>
      <c r="V182" s="93" t="s">
        <v>1505</v>
      </c>
    </row>
    <row r="183">
      <c r="A183" s="37">
        <v>44816.35820606482</v>
      </c>
      <c r="B183" s="38" t="s">
        <v>827</v>
      </c>
      <c r="C183" s="38" t="s">
        <v>1715</v>
      </c>
      <c r="D183" s="38" t="s">
        <v>52</v>
      </c>
      <c r="F183" s="38" t="s">
        <v>2274</v>
      </c>
      <c r="G183" s="38" t="s">
        <v>2241</v>
      </c>
      <c r="H183" s="38" t="s">
        <v>2560</v>
      </c>
      <c r="N183" s="38" t="s">
        <v>2431</v>
      </c>
      <c r="O183" s="84"/>
      <c r="P183" s="84"/>
      <c r="Q183" s="84"/>
      <c r="R183" s="90">
        <v>137.0</v>
      </c>
      <c r="S183" s="90"/>
      <c r="T183" s="90"/>
      <c r="V183" s="94" t="s">
        <v>1627</v>
      </c>
    </row>
    <row r="184">
      <c r="A184" s="37">
        <v>44816.45516241898</v>
      </c>
      <c r="B184" s="38" t="s">
        <v>827</v>
      </c>
      <c r="C184" s="38" t="s">
        <v>2561</v>
      </c>
      <c r="D184" s="38" t="s">
        <v>1261</v>
      </c>
      <c r="F184" s="38" t="s">
        <v>2274</v>
      </c>
      <c r="G184" s="38" t="s">
        <v>2275</v>
      </c>
      <c r="H184" s="38" t="s">
        <v>2562</v>
      </c>
      <c r="N184" s="38" t="s">
        <v>2563</v>
      </c>
      <c r="O184" s="84"/>
      <c r="P184" s="84"/>
      <c r="Q184" s="84"/>
      <c r="R184" s="90">
        <v>138.0</v>
      </c>
      <c r="S184" s="90"/>
      <c r="T184" s="90"/>
      <c r="V184" s="93" t="s">
        <v>1505</v>
      </c>
    </row>
    <row r="185">
      <c r="A185" s="37">
        <v>44817.34682366898</v>
      </c>
      <c r="B185" s="38" t="s">
        <v>827</v>
      </c>
      <c r="C185" s="38" t="s">
        <v>1657</v>
      </c>
      <c r="D185" s="38" t="s">
        <v>95</v>
      </c>
      <c r="F185" s="38" t="s">
        <v>2264</v>
      </c>
      <c r="J185" s="38" t="s">
        <v>10</v>
      </c>
      <c r="K185" s="38" t="s">
        <v>2564</v>
      </c>
      <c r="L185" s="38">
        <v>1.0</v>
      </c>
      <c r="N185" s="38" t="s">
        <v>1120</v>
      </c>
      <c r="O185" s="84"/>
      <c r="P185" s="84"/>
      <c r="Q185" s="84"/>
      <c r="R185" s="90">
        <v>139.0</v>
      </c>
      <c r="S185" s="90"/>
      <c r="T185" s="90"/>
      <c r="V185" s="93" t="s">
        <v>1505</v>
      </c>
    </row>
    <row r="186">
      <c r="A186" s="37">
        <v>44817.46368299768</v>
      </c>
      <c r="B186" s="38" t="s">
        <v>827</v>
      </c>
      <c r="C186" s="38" t="s">
        <v>1657</v>
      </c>
      <c r="D186" s="38" t="s">
        <v>95</v>
      </c>
      <c r="F186" s="38" t="s">
        <v>2274</v>
      </c>
      <c r="G186" s="38" t="s">
        <v>2505</v>
      </c>
      <c r="H186" s="38" t="s">
        <v>2565</v>
      </c>
      <c r="N186" s="38" t="s">
        <v>2220</v>
      </c>
      <c r="O186" s="84"/>
      <c r="P186" s="84"/>
      <c r="Q186" s="84"/>
      <c r="R186" s="90">
        <v>140.0</v>
      </c>
      <c r="S186" s="90"/>
      <c r="T186" s="90"/>
      <c r="V186" s="93" t="s">
        <v>1505</v>
      </c>
    </row>
    <row r="187">
      <c r="A187" s="37">
        <v>44817.610858935186</v>
      </c>
      <c r="B187" s="38" t="s">
        <v>827</v>
      </c>
      <c r="C187" s="38" t="s">
        <v>2566</v>
      </c>
      <c r="D187" s="38" t="s">
        <v>82</v>
      </c>
      <c r="F187" s="38" t="s">
        <v>2274</v>
      </c>
      <c r="G187" s="38" t="s">
        <v>2275</v>
      </c>
      <c r="H187" s="38" t="s">
        <v>2567</v>
      </c>
      <c r="N187" s="38" t="s">
        <v>80</v>
      </c>
      <c r="O187" s="84"/>
      <c r="P187" s="84"/>
      <c r="Q187" s="84"/>
      <c r="R187" s="90">
        <v>141.0</v>
      </c>
      <c r="S187" s="90"/>
      <c r="T187" s="90"/>
      <c r="V187" s="93" t="s">
        <v>1505</v>
      </c>
    </row>
    <row r="188">
      <c r="A188" s="37">
        <v>44818.44688239583</v>
      </c>
      <c r="B188" s="38" t="s">
        <v>827</v>
      </c>
      <c r="C188" s="38" t="s">
        <v>1715</v>
      </c>
      <c r="D188" s="38" t="s">
        <v>52</v>
      </c>
      <c r="F188" s="38" t="s">
        <v>2264</v>
      </c>
      <c r="J188" s="38" t="s">
        <v>10</v>
      </c>
      <c r="K188" s="38" t="s">
        <v>2568</v>
      </c>
      <c r="L188" s="38">
        <v>1.0</v>
      </c>
      <c r="N188" s="38" t="s">
        <v>2431</v>
      </c>
      <c r="O188" s="84"/>
      <c r="P188" s="84"/>
      <c r="Q188" s="84"/>
      <c r="R188" s="90">
        <v>142.0</v>
      </c>
      <c r="S188" s="90"/>
      <c r="T188" s="90"/>
      <c r="V188" s="93" t="s">
        <v>1505</v>
      </c>
    </row>
    <row r="189">
      <c r="A189" s="37">
        <v>44819.366013680556</v>
      </c>
      <c r="B189" s="38" t="s">
        <v>827</v>
      </c>
      <c r="C189" s="38" t="s">
        <v>2569</v>
      </c>
      <c r="D189" s="38" t="s">
        <v>44</v>
      </c>
      <c r="F189" s="38" t="s">
        <v>2264</v>
      </c>
      <c r="J189" s="38" t="s">
        <v>2570</v>
      </c>
      <c r="K189" s="38" t="s">
        <v>2571</v>
      </c>
      <c r="L189" s="38" t="s">
        <v>2572</v>
      </c>
      <c r="N189" s="38" t="s">
        <v>2491</v>
      </c>
      <c r="O189" s="84"/>
      <c r="P189" s="84"/>
      <c r="Q189" s="84"/>
      <c r="R189" s="90">
        <v>143.0</v>
      </c>
      <c r="S189" s="90"/>
      <c r="T189" s="90"/>
      <c r="V189" s="93" t="s">
        <v>1505</v>
      </c>
    </row>
    <row r="190">
      <c r="A190" s="37">
        <v>44819.420401932875</v>
      </c>
      <c r="B190" s="38" t="s">
        <v>827</v>
      </c>
      <c r="C190" s="38" t="s">
        <v>2573</v>
      </c>
      <c r="D190" s="38" t="s">
        <v>44</v>
      </c>
      <c r="F190" s="38" t="s">
        <v>2264</v>
      </c>
      <c r="J190" s="38" t="s">
        <v>2574</v>
      </c>
      <c r="K190" s="38" t="s">
        <v>2575</v>
      </c>
      <c r="L190" s="38">
        <v>1.0</v>
      </c>
      <c r="N190" s="38" t="s">
        <v>42</v>
      </c>
      <c r="O190" s="84"/>
      <c r="P190" s="84"/>
      <c r="Q190" s="84"/>
      <c r="R190" s="90">
        <v>144.0</v>
      </c>
      <c r="S190" s="90"/>
      <c r="T190" s="90"/>
      <c r="V190" s="93" t="s">
        <v>1505</v>
      </c>
    </row>
    <row r="191">
      <c r="A191" s="37">
        <v>44819.54291736111</v>
      </c>
      <c r="B191" s="38" t="s">
        <v>827</v>
      </c>
      <c r="C191" s="38" t="s">
        <v>2576</v>
      </c>
      <c r="D191" s="38" t="s">
        <v>95</v>
      </c>
      <c r="F191" s="38" t="s">
        <v>2264</v>
      </c>
      <c r="J191" s="38" t="s">
        <v>2461</v>
      </c>
      <c r="K191" s="38" t="s">
        <v>2577</v>
      </c>
      <c r="L191" s="38">
        <v>1.0</v>
      </c>
      <c r="N191" s="38" t="s">
        <v>100</v>
      </c>
      <c r="O191" s="84"/>
      <c r="P191" s="84"/>
      <c r="Q191" s="84"/>
      <c r="R191" s="90">
        <v>145.0</v>
      </c>
      <c r="S191" s="90"/>
      <c r="T191" s="90"/>
      <c r="V191" s="93" t="s">
        <v>1505</v>
      </c>
    </row>
    <row r="192">
      <c r="A192" s="37">
        <v>44819.707733738425</v>
      </c>
      <c r="B192" s="38" t="s">
        <v>827</v>
      </c>
      <c r="C192" s="38" t="s">
        <v>1979</v>
      </c>
      <c r="D192" s="38" t="s">
        <v>40</v>
      </c>
      <c r="F192" s="38" t="s">
        <v>2264</v>
      </c>
      <c r="J192" s="38" t="s">
        <v>2578</v>
      </c>
      <c r="K192" s="38" t="s">
        <v>2579</v>
      </c>
      <c r="L192" s="38">
        <v>1.0</v>
      </c>
      <c r="N192" s="38" t="s">
        <v>104</v>
      </c>
      <c r="O192" s="84"/>
      <c r="P192" s="84"/>
      <c r="Q192" s="84"/>
      <c r="R192" s="90">
        <v>146.0</v>
      </c>
      <c r="S192" s="90"/>
      <c r="T192" s="90"/>
      <c r="V192" s="93" t="s">
        <v>1505</v>
      </c>
    </row>
    <row r="193">
      <c r="A193" s="37">
        <v>44819.72677592593</v>
      </c>
      <c r="B193" s="38" t="s">
        <v>827</v>
      </c>
      <c r="C193" s="38" t="s">
        <v>2580</v>
      </c>
      <c r="D193" s="38" t="s">
        <v>44</v>
      </c>
      <c r="F193" s="38" t="s">
        <v>2264</v>
      </c>
      <c r="J193" s="38" t="s">
        <v>2581</v>
      </c>
      <c r="K193" s="38" t="s">
        <v>2582</v>
      </c>
      <c r="L193" s="38">
        <v>1.0</v>
      </c>
      <c r="N193" s="38" t="s">
        <v>2583</v>
      </c>
      <c r="O193" s="84"/>
      <c r="P193" s="84"/>
      <c r="Q193" s="84"/>
      <c r="R193" s="90">
        <v>147.0</v>
      </c>
      <c r="S193" s="90"/>
      <c r="T193" s="90"/>
      <c r="V193" s="94" t="s">
        <v>1627</v>
      </c>
    </row>
    <row r="194">
      <c r="A194" s="37">
        <v>44820.457993240736</v>
      </c>
      <c r="B194" s="38" t="s">
        <v>827</v>
      </c>
      <c r="C194" s="38" t="s">
        <v>2584</v>
      </c>
      <c r="D194" s="38" t="s">
        <v>40</v>
      </c>
      <c r="F194" s="38" t="s">
        <v>2274</v>
      </c>
      <c r="G194" s="38" t="s">
        <v>2585</v>
      </c>
      <c r="H194" s="38" t="s">
        <v>2586</v>
      </c>
      <c r="N194" s="38" t="s">
        <v>2587</v>
      </c>
      <c r="O194" s="84"/>
      <c r="P194" s="84"/>
      <c r="Q194" s="84"/>
      <c r="R194" s="90">
        <v>148.0</v>
      </c>
      <c r="S194" s="90"/>
      <c r="T194" s="90"/>
      <c r="V194" s="94" t="s">
        <v>1794</v>
      </c>
    </row>
    <row r="195">
      <c r="A195" s="37">
        <v>44820.47657608797</v>
      </c>
      <c r="B195" s="38" t="s">
        <v>827</v>
      </c>
      <c r="C195" s="38" t="s">
        <v>2576</v>
      </c>
      <c r="D195" s="38" t="s">
        <v>95</v>
      </c>
      <c r="F195" s="38" t="s">
        <v>2274</v>
      </c>
      <c r="G195" s="38" t="s">
        <v>2249</v>
      </c>
      <c r="H195" s="38" t="s">
        <v>2588</v>
      </c>
      <c r="N195" s="38" t="s">
        <v>100</v>
      </c>
      <c r="O195" s="84"/>
      <c r="P195" s="84"/>
      <c r="Q195" s="84"/>
      <c r="R195" s="90">
        <v>149.0</v>
      </c>
      <c r="S195" s="90"/>
      <c r="T195" s="90"/>
      <c r="V195" s="93" t="s">
        <v>1505</v>
      </c>
    </row>
    <row r="196">
      <c r="A196" s="37">
        <v>44820.6476459838</v>
      </c>
      <c r="B196" s="38" t="s">
        <v>827</v>
      </c>
      <c r="C196" s="38" t="s">
        <v>2589</v>
      </c>
      <c r="D196" s="38" t="s">
        <v>95</v>
      </c>
      <c r="F196" s="38" t="s">
        <v>2264</v>
      </c>
      <c r="J196" s="38" t="s">
        <v>2590</v>
      </c>
      <c r="K196" s="38" t="s">
        <v>2591</v>
      </c>
      <c r="L196" s="38" t="s">
        <v>357</v>
      </c>
      <c r="N196" s="38" t="s">
        <v>97</v>
      </c>
      <c r="O196" s="84"/>
      <c r="P196" s="84"/>
      <c r="Q196" s="84"/>
      <c r="R196" s="90">
        <v>150.0</v>
      </c>
      <c r="S196" s="90"/>
      <c r="T196" s="90"/>
      <c r="V196" s="93" t="s">
        <v>1505</v>
      </c>
    </row>
    <row r="197">
      <c r="A197" s="37">
        <v>44823.30620502315</v>
      </c>
      <c r="B197" s="38" t="s">
        <v>827</v>
      </c>
      <c r="C197" s="38" t="s">
        <v>2592</v>
      </c>
      <c r="D197" s="38" t="s">
        <v>1261</v>
      </c>
      <c r="F197" s="38" t="s">
        <v>2274</v>
      </c>
      <c r="G197" s="38" t="s">
        <v>2275</v>
      </c>
      <c r="H197" s="38" t="s">
        <v>2593</v>
      </c>
      <c r="N197" s="38" t="s">
        <v>2563</v>
      </c>
      <c r="O197" s="84"/>
      <c r="P197" s="84"/>
      <c r="Q197" s="84"/>
      <c r="R197" s="90">
        <v>151.0</v>
      </c>
      <c r="T197" s="90">
        <v>151.0</v>
      </c>
      <c r="V197" s="93" t="s">
        <v>1505</v>
      </c>
    </row>
    <row r="198">
      <c r="A198" s="37">
        <v>44823.32862606482</v>
      </c>
      <c r="B198" s="38" t="s">
        <v>827</v>
      </c>
      <c r="C198" s="38" t="s">
        <v>1979</v>
      </c>
      <c r="D198" s="38" t="s">
        <v>40</v>
      </c>
      <c r="F198" s="38" t="s">
        <v>2264</v>
      </c>
      <c r="J198" s="38" t="s">
        <v>213</v>
      </c>
      <c r="K198" s="38" t="s">
        <v>2594</v>
      </c>
      <c r="L198" s="38">
        <v>1.0</v>
      </c>
      <c r="N198" s="38" t="s">
        <v>104</v>
      </c>
      <c r="O198" s="84"/>
      <c r="P198" s="84"/>
      <c r="Q198" s="84"/>
      <c r="R198" s="90">
        <v>152.0</v>
      </c>
      <c r="T198" s="90">
        <v>152.0</v>
      </c>
      <c r="V198" s="93" t="s">
        <v>1505</v>
      </c>
    </row>
    <row r="199">
      <c r="A199" s="37">
        <v>44823.38682179398</v>
      </c>
      <c r="B199" s="38" t="s">
        <v>827</v>
      </c>
      <c r="C199" s="38" t="s">
        <v>2595</v>
      </c>
      <c r="D199" s="38" t="s">
        <v>52</v>
      </c>
      <c r="F199" s="38" t="s">
        <v>2274</v>
      </c>
      <c r="G199" s="38" t="s">
        <v>2232</v>
      </c>
      <c r="H199" s="38" t="s">
        <v>2596</v>
      </c>
      <c r="N199" s="38" t="s">
        <v>2597</v>
      </c>
      <c r="O199" s="84"/>
      <c r="P199" s="84"/>
      <c r="Q199" s="84"/>
      <c r="R199" s="90">
        <v>153.0</v>
      </c>
      <c r="T199" s="90">
        <v>153.0</v>
      </c>
      <c r="V199" s="93" t="s">
        <v>1505</v>
      </c>
    </row>
    <row r="200">
      <c r="A200" s="37">
        <v>44823.45334068287</v>
      </c>
      <c r="B200" s="38" t="s">
        <v>827</v>
      </c>
      <c r="C200" s="38" t="s">
        <v>2598</v>
      </c>
      <c r="D200" s="38" t="s">
        <v>40</v>
      </c>
      <c r="F200" s="38" t="s">
        <v>2274</v>
      </c>
      <c r="G200" s="38" t="s">
        <v>2275</v>
      </c>
      <c r="H200" s="38" t="s">
        <v>2599</v>
      </c>
      <c r="N200" s="38" t="s">
        <v>2600</v>
      </c>
      <c r="O200" s="84"/>
      <c r="P200" s="84"/>
      <c r="Q200" s="84"/>
      <c r="R200" s="90">
        <v>154.0</v>
      </c>
      <c r="T200" s="90">
        <v>154.0</v>
      </c>
      <c r="V200" s="93" t="s">
        <v>1505</v>
      </c>
    </row>
    <row r="201">
      <c r="A201" s="37">
        <v>44823.63545931713</v>
      </c>
      <c r="B201" s="38" t="s">
        <v>827</v>
      </c>
      <c r="C201" s="38" t="s">
        <v>2601</v>
      </c>
      <c r="D201" s="38" t="s">
        <v>82</v>
      </c>
      <c r="F201" s="38" t="s">
        <v>2274</v>
      </c>
      <c r="G201" s="38" t="s">
        <v>2241</v>
      </c>
      <c r="H201" s="38" t="s">
        <v>2602</v>
      </c>
      <c r="N201" s="38" t="s">
        <v>382</v>
      </c>
      <c r="O201" s="84"/>
      <c r="P201" s="84"/>
      <c r="Q201" s="84"/>
      <c r="R201" s="90">
        <v>155.0</v>
      </c>
      <c r="T201" s="90">
        <v>155.0</v>
      </c>
      <c r="V201" s="93" t="s">
        <v>1505</v>
      </c>
    </row>
    <row r="202">
      <c r="A202" s="37">
        <v>44823.77002270833</v>
      </c>
      <c r="B202" s="38" t="s">
        <v>827</v>
      </c>
      <c r="C202" s="38" t="s">
        <v>2603</v>
      </c>
      <c r="D202" s="38" t="s">
        <v>878</v>
      </c>
      <c r="F202" s="38" t="s">
        <v>2274</v>
      </c>
      <c r="G202" s="38" t="s">
        <v>2275</v>
      </c>
      <c r="H202" s="38" t="s">
        <v>2604</v>
      </c>
      <c r="N202" s="38" t="s">
        <v>2605</v>
      </c>
      <c r="O202" s="84"/>
      <c r="P202" s="84"/>
      <c r="Q202" s="84"/>
      <c r="R202" s="90">
        <v>156.0</v>
      </c>
      <c r="T202" s="90">
        <v>156.0</v>
      </c>
      <c r="V202" s="93" t="s">
        <v>1505</v>
      </c>
    </row>
    <row r="203">
      <c r="A203" s="37">
        <v>44823.8706094213</v>
      </c>
      <c r="B203" s="38" t="s">
        <v>827</v>
      </c>
      <c r="C203" s="38" t="s">
        <v>1713</v>
      </c>
      <c r="D203" s="38" t="s">
        <v>44</v>
      </c>
      <c r="F203" s="38" t="s">
        <v>2274</v>
      </c>
      <c r="G203" s="38" t="s">
        <v>2275</v>
      </c>
      <c r="H203" s="38" t="s">
        <v>2606</v>
      </c>
      <c r="N203" s="38" t="s">
        <v>2272</v>
      </c>
      <c r="O203" s="84"/>
      <c r="P203" s="84"/>
      <c r="Q203" s="84"/>
      <c r="R203" s="90">
        <v>157.0</v>
      </c>
      <c r="T203" s="90">
        <v>157.0</v>
      </c>
      <c r="V203" s="93" t="s">
        <v>1505</v>
      </c>
    </row>
    <row r="204">
      <c r="A204" s="37">
        <v>44825.41677974537</v>
      </c>
      <c r="B204" s="38" t="s">
        <v>827</v>
      </c>
      <c r="C204" s="38" t="s">
        <v>1652</v>
      </c>
      <c r="D204" s="38" t="s">
        <v>35</v>
      </c>
      <c r="F204" s="38" t="s">
        <v>2264</v>
      </c>
      <c r="J204" s="38" t="s">
        <v>2607</v>
      </c>
      <c r="K204" s="38" t="s">
        <v>2608</v>
      </c>
      <c r="L204" s="38">
        <v>1.0</v>
      </c>
      <c r="N204" s="38" t="s">
        <v>1063</v>
      </c>
      <c r="O204" s="84"/>
      <c r="P204" s="84"/>
      <c r="Q204" s="84"/>
      <c r="R204" s="90">
        <v>158.0</v>
      </c>
      <c r="T204" s="90">
        <v>158.0</v>
      </c>
      <c r="V204" s="93" t="s">
        <v>1505</v>
      </c>
    </row>
    <row r="205">
      <c r="A205" s="37">
        <v>44825.43261704862</v>
      </c>
      <c r="B205" s="38" t="s">
        <v>827</v>
      </c>
      <c r="C205" s="38" t="s">
        <v>2598</v>
      </c>
      <c r="D205" s="38" t="s">
        <v>40</v>
      </c>
      <c r="F205" s="38" t="s">
        <v>2274</v>
      </c>
      <c r="G205" s="38" t="s">
        <v>2241</v>
      </c>
      <c r="H205" s="38" t="s">
        <v>2609</v>
      </c>
      <c r="N205" s="38" t="s">
        <v>2600</v>
      </c>
      <c r="O205" s="84"/>
      <c r="P205" s="84"/>
      <c r="Q205" s="84"/>
      <c r="R205" s="90">
        <v>159.0</v>
      </c>
      <c r="T205" s="90">
        <v>159.0</v>
      </c>
      <c r="V205" s="93" t="s">
        <v>1505</v>
      </c>
    </row>
    <row r="206">
      <c r="A206" s="37">
        <v>44825.44295862269</v>
      </c>
      <c r="B206" s="38" t="s">
        <v>827</v>
      </c>
      <c r="C206" s="38" t="s">
        <v>2610</v>
      </c>
      <c r="D206" s="38" t="s">
        <v>916</v>
      </c>
      <c r="F206" s="38" t="s">
        <v>2274</v>
      </c>
      <c r="G206" s="38" t="s">
        <v>2611</v>
      </c>
      <c r="H206" s="38" t="s">
        <v>2612</v>
      </c>
      <c r="N206" s="38" t="s">
        <v>2613</v>
      </c>
      <c r="O206" s="84"/>
      <c r="P206" s="84"/>
      <c r="Q206" s="84"/>
      <c r="R206" s="90">
        <v>160.0</v>
      </c>
      <c r="T206" s="90">
        <v>160.0</v>
      </c>
      <c r="V206" s="93" t="s">
        <v>1505</v>
      </c>
    </row>
    <row r="207">
      <c r="A207" s="37">
        <v>44825.48986097222</v>
      </c>
      <c r="B207" s="38" t="s">
        <v>827</v>
      </c>
      <c r="C207" s="38" t="s">
        <v>1717</v>
      </c>
      <c r="D207" s="38" t="s">
        <v>16</v>
      </c>
      <c r="F207" s="38" t="s">
        <v>2264</v>
      </c>
      <c r="J207" s="38" t="s">
        <v>2614</v>
      </c>
      <c r="K207" s="38" t="s">
        <v>2615</v>
      </c>
      <c r="L207" s="38">
        <v>1.0</v>
      </c>
      <c r="N207" s="38" t="s">
        <v>24</v>
      </c>
      <c r="O207" s="84"/>
      <c r="P207" s="84"/>
      <c r="Q207" s="84"/>
      <c r="R207" s="90">
        <v>161.0</v>
      </c>
      <c r="T207" s="90">
        <v>161.0</v>
      </c>
      <c r="V207" s="93" t="s">
        <v>1505</v>
      </c>
    </row>
    <row r="208">
      <c r="A208" s="37">
        <v>44825.67885326389</v>
      </c>
      <c r="B208" s="38" t="s">
        <v>827</v>
      </c>
      <c r="C208" s="38" t="s">
        <v>1715</v>
      </c>
      <c r="D208" s="38" t="s">
        <v>52</v>
      </c>
      <c r="F208" s="38" t="s">
        <v>2274</v>
      </c>
      <c r="G208" s="38" t="s">
        <v>2241</v>
      </c>
      <c r="H208" s="38" t="s">
        <v>2616</v>
      </c>
      <c r="N208" s="38" t="s">
        <v>374</v>
      </c>
      <c r="O208" s="84"/>
      <c r="P208" s="84"/>
      <c r="Q208" s="84"/>
      <c r="R208" s="90">
        <v>162.0</v>
      </c>
      <c r="T208" s="90">
        <v>162.0</v>
      </c>
      <c r="V208" s="93" t="s">
        <v>1505</v>
      </c>
    </row>
    <row r="209">
      <c r="A209" s="37">
        <v>44826.427233993054</v>
      </c>
      <c r="B209" s="38" t="s">
        <v>827</v>
      </c>
      <c r="C209" s="38" t="s">
        <v>1646</v>
      </c>
      <c r="D209" s="38" t="s">
        <v>52</v>
      </c>
      <c r="F209" s="38" t="s">
        <v>2274</v>
      </c>
      <c r="G209" s="38" t="s">
        <v>2241</v>
      </c>
      <c r="H209" s="38" t="s">
        <v>2617</v>
      </c>
      <c r="N209" s="38" t="s">
        <v>419</v>
      </c>
      <c r="O209" s="84"/>
      <c r="P209" s="84"/>
      <c r="Q209" s="84"/>
      <c r="R209" s="90">
        <v>163.0</v>
      </c>
      <c r="T209" s="90">
        <v>163.0</v>
      </c>
      <c r="V209" s="94" t="s">
        <v>1627</v>
      </c>
    </row>
    <row r="210">
      <c r="A210" s="37">
        <v>44826.58251678241</v>
      </c>
      <c r="B210" s="38" t="s">
        <v>827</v>
      </c>
      <c r="C210" s="38" t="s">
        <v>2576</v>
      </c>
      <c r="D210" s="38" t="s">
        <v>95</v>
      </c>
      <c r="F210" s="38" t="s">
        <v>2264</v>
      </c>
      <c r="J210" s="38" t="s">
        <v>2461</v>
      </c>
      <c r="K210" s="38" t="s">
        <v>2577</v>
      </c>
      <c r="L210" s="38">
        <v>1.0</v>
      </c>
      <c r="N210" s="38" t="s">
        <v>100</v>
      </c>
      <c r="O210" s="84"/>
      <c r="P210" s="84"/>
      <c r="Q210" s="84"/>
      <c r="R210" s="90">
        <v>164.0</v>
      </c>
      <c r="T210" s="90">
        <v>164.0</v>
      </c>
      <c r="V210" s="94" t="s">
        <v>1627</v>
      </c>
    </row>
    <row r="211">
      <c r="A211" s="37">
        <v>44826.64571427084</v>
      </c>
      <c r="B211" s="38" t="s">
        <v>827</v>
      </c>
      <c r="C211" s="38" t="s">
        <v>1717</v>
      </c>
      <c r="D211" s="38" t="s">
        <v>16</v>
      </c>
      <c r="F211" s="38" t="s">
        <v>2274</v>
      </c>
      <c r="G211" s="38" t="s">
        <v>2241</v>
      </c>
      <c r="H211" s="38" t="s">
        <v>2618</v>
      </c>
      <c r="N211" s="38" t="s">
        <v>24</v>
      </c>
      <c r="O211" s="84"/>
      <c r="P211" s="84"/>
      <c r="Q211" s="84"/>
      <c r="R211" s="90">
        <v>165.0</v>
      </c>
      <c r="T211" s="90">
        <v>165.0</v>
      </c>
      <c r="V211" s="94" t="s">
        <v>1627</v>
      </c>
    </row>
    <row r="212">
      <c r="A212" s="37">
        <v>44827.36453375</v>
      </c>
      <c r="B212" s="38" t="s">
        <v>827</v>
      </c>
      <c r="C212" s="38" t="s">
        <v>2619</v>
      </c>
      <c r="D212" s="38" t="s">
        <v>52</v>
      </c>
      <c r="F212" s="38" t="s">
        <v>2274</v>
      </c>
      <c r="G212" s="38" t="s">
        <v>2241</v>
      </c>
      <c r="H212" s="38" t="s">
        <v>2620</v>
      </c>
      <c r="N212" s="38" t="s">
        <v>2621</v>
      </c>
      <c r="O212" s="84"/>
      <c r="P212" s="84"/>
      <c r="Q212" s="84"/>
      <c r="R212" s="90">
        <v>166.0</v>
      </c>
      <c r="T212" s="90">
        <v>166.0</v>
      </c>
      <c r="V212" s="94" t="s">
        <v>1627</v>
      </c>
    </row>
    <row r="213">
      <c r="A213" s="37">
        <v>44827.422504664355</v>
      </c>
      <c r="B213" s="38" t="s">
        <v>827</v>
      </c>
      <c r="C213" s="38" t="s">
        <v>1713</v>
      </c>
      <c r="D213" s="38" t="s">
        <v>44</v>
      </c>
      <c r="F213" s="38" t="s">
        <v>2274</v>
      </c>
      <c r="G213" s="38" t="s">
        <v>2275</v>
      </c>
      <c r="H213" s="38" t="s">
        <v>2622</v>
      </c>
      <c r="N213" s="38" t="s">
        <v>2272</v>
      </c>
      <c r="O213" s="84"/>
      <c r="P213" s="84"/>
      <c r="Q213" s="84"/>
      <c r="R213" s="90">
        <v>167.0</v>
      </c>
      <c r="T213" s="90">
        <v>167.0</v>
      </c>
      <c r="V213" s="94" t="s">
        <v>1627</v>
      </c>
    </row>
    <row r="214">
      <c r="A214" s="37">
        <v>44827.48004943287</v>
      </c>
      <c r="B214" s="38" t="s">
        <v>827</v>
      </c>
      <c r="C214" s="38" t="s">
        <v>1639</v>
      </c>
      <c r="D214" s="38" t="s">
        <v>35</v>
      </c>
      <c r="F214" s="38" t="s">
        <v>2274</v>
      </c>
      <c r="G214" s="38" t="s">
        <v>2275</v>
      </c>
      <c r="H214" s="38" t="s">
        <v>2623</v>
      </c>
      <c r="N214" s="38" t="s">
        <v>32</v>
      </c>
      <c r="O214" s="84"/>
      <c r="P214" s="84"/>
      <c r="Q214" s="84"/>
      <c r="R214" s="90">
        <v>168.0</v>
      </c>
      <c r="T214" s="90">
        <v>168.0</v>
      </c>
      <c r="V214" s="94" t="s">
        <v>1627</v>
      </c>
    </row>
    <row r="215">
      <c r="A215" s="37">
        <v>44830.466097847224</v>
      </c>
      <c r="B215" s="38" t="s">
        <v>827</v>
      </c>
      <c r="C215" s="38" t="s">
        <v>1713</v>
      </c>
      <c r="D215" s="38" t="s">
        <v>44</v>
      </c>
      <c r="F215" s="38" t="s">
        <v>2274</v>
      </c>
      <c r="G215" s="38" t="s">
        <v>2232</v>
      </c>
      <c r="H215" s="38" t="s">
        <v>2624</v>
      </c>
      <c r="I215" s="106" t="s">
        <v>2625</v>
      </c>
      <c r="N215" s="38" t="s">
        <v>2272</v>
      </c>
      <c r="O215" s="84"/>
      <c r="P215" s="84"/>
      <c r="Q215" s="84"/>
      <c r="R215" s="90">
        <v>169.0</v>
      </c>
      <c r="T215" s="90">
        <v>169.0</v>
      </c>
      <c r="V215" s="93" t="s">
        <v>1505</v>
      </c>
    </row>
    <row r="216">
      <c r="A216" s="37">
        <v>44830.48914372685</v>
      </c>
      <c r="B216" s="38" t="s">
        <v>827</v>
      </c>
      <c r="C216" s="38" t="s">
        <v>2626</v>
      </c>
      <c r="D216" s="38" t="s">
        <v>196</v>
      </c>
      <c r="F216" s="38" t="s">
        <v>2264</v>
      </c>
      <c r="J216" s="38" t="s">
        <v>2627</v>
      </c>
      <c r="K216" s="38" t="s">
        <v>2628</v>
      </c>
      <c r="L216" s="38">
        <v>1.0</v>
      </c>
      <c r="N216" s="38" t="s">
        <v>120</v>
      </c>
      <c r="O216" s="84"/>
      <c r="P216" s="84"/>
      <c r="Q216" s="84"/>
      <c r="R216" s="90">
        <v>170.0</v>
      </c>
      <c r="T216" s="90">
        <v>170.0</v>
      </c>
      <c r="V216" s="93" t="s">
        <v>1505</v>
      </c>
    </row>
    <row r="217">
      <c r="A217" s="37">
        <v>44830.58085039352</v>
      </c>
      <c r="B217" s="38" t="s">
        <v>827</v>
      </c>
      <c r="C217" s="38" t="s">
        <v>1719</v>
      </c>
      <c r="D217" s="38" t="s">
        <v>878</v>
      </c>
      <c r="F217" s="38" t="s">
        <v>2274</v>
      </c>
      <c r="G217" s="38" t="s">
        <v>2629</v>
      </c>
      <c r="H217" s="38" t="s">
        <v>2630</v>
      </c>
      <c r="N217" s="38" t="s">
        <v>2631</v>
      </c>
      <c r="O217" s="84"/>
      <c r="P217" s="84"/>
      <c r="Q217" s="84"/>
      <c r="R217" s="90">
        <v>171.0</v>
      </c>
      <c r="T217" s="90">
        <v>171.0</v>
      </c>
      <c r="V217" s="93" t="s">
        <v>1505</v>
      </c>
    </row>
    <row r="218">
      <c r="A218" s="37">
        <v>44830.62605136574</v>
      </c>
      <c r="B218" s="38" t="s">
        <v>827</v>
      </c>
      <c r="C218" s="38" t="s">
        <v>2632</v>
      </c>
      <c r="D218" s="38" t="s">
        <v>316</v>
      </c>
      <c r="F218" s="38" t="s">
        <v>2274</v>
      </c>
      <c r="G218" s="38" t="s">
        <v>2275</v>
      </c>
      <c r="H218" s="38" t="s">
        <v>2633</v>
      </c>
      <c r="I218" s="38" t="s">
        <v>2634</v>
      </c>
      <c r="N218" s="38" t="s">
        <v>569</v>
      </c>
      <c r="O218" s="84"/>
      <c r="P218" s="84"/>
      <c r="Q218" s="84"/>
      <c r="R218" s="90">
        <v>172.0</v>
      </c>
      <c r="T218" s="90">
        <v>172.0</v>
      </c>
      <c r="V218" s="93" t="s">
        <v>1505</v>
      </c>
    </row>
    <row r="219">
      <c r="A219" s="37">
        <v>44831.284702488425</v>
      </c>
      <c r="B219" s="38" t="s">
        <v>827</v>
      </c>
      <c r="C219" s="38" t="s">
        <v>2626</v>
      </c>
      <c r="D219" s="38" t="s">
        <v>196</v>
      </c>
      <c r="F219" s="38" t="s">
        <v>2264</v>
      </c>
      <c r="J219" s="38" t="s">
        <v>2635</v>
      </c>
      <c r="K219" s="38" t="s">
        <v>2636</v>
      </c>
      <c r="L219" s="38">
        <v>1.0</v>
      </c>
      <c r="N219" s="38" t="s">
        <v>2637</v>
      </c>
      <c r="O219" s="84"/>
      <c r="P219" s="84"/>
      <c r="Q219" s="84"/>
      <c r="R219" s="90">
        <v>173.0</v>
      </c>
      <c r="T219" s="90">
        <v>173.0</v>
      </c>
      <c r="V219" s="93" t="s">
        <v>1505</v>
      </c>
    </row>
    <row r="220">
      <c r="A220" s="37">
        <v>44831.3317258912</v>
      </c>
      <c r="B220" s="38" t="s">
        <v>827</v>
      </c>
      <c r="C220" s="38" t="s">
        <v>1995</v>
      </c>
      <c r="D220" s="38" t="s">
        <v>40</v>
      </c>
      <c r="F220" s="38" t="s">
        <v>2274</v>
      </c>
      <c r="G220" s="38" t="s">
        <v>2275</v>
      </c>
      <c r="H220" s="38" t="s">
        <v>2638</v>
      </c>
      <c r="N220" s="38" t="s">
        <v>417</v>
      </c>
      <c r="O220" s="84"/>
      <c r="P220" s="84"/>
      <c r="Q220" s="84"/>
      <c r="R220" s="90">
        <v>174.0</v>
      </c>
      <c r="T220" s="90">
        <v>174.0</v>
      </c>
      <c r="V220" s="93" t="s">
        <v>1505</v>
      </c>
    </row>
    <row r="221">
      <c r="A221" s="37">
        <v>44831.37807361111</v>
      </c>
      <c r="B221" s="38" t="s">
        <v>827</v>
      </c>
      <c r="C221" s="38" t="s">
        <v>1652</v>
      </c>
      <c r="D221" s="38" t="s">
        <v>35</v>
      </c>
      <c r="F221" s="38" t="s">
        <v>2274</v>
      </c>
      <c r="G221" s="38" t="s">
        <v>2639</v>
      </c>
      <c r="H221" s="38" t="s">
        <v>2640</v>
      </c>
      <c r="N221" s="38" t="s">
        <v>1063</v>
      </c>
      <c r="O221" s="84"/>
      <c r="P221" s="84"/>
      <c r="Q221" s="84"/>
      <c r="R221" s="90">
        <v>175.0</v>
      </c>
      <c r="T221" s="90">
        <v>175.0</v>
      </c>
      <c r="V221" s="93" t="s">
        <v>1505</v>
      </c>
    </row>
    <row r="222">
      <c r="A222" s="37">
        <v>44831.5420255787</v>
      </c>
      <c r="B222" s="38" t="s">
        <v>827</v>
      </c>
      <c r="C222" s="38" t="s">
        <v>2576</v>
      </c>
      <c r="D222" s="38" t="s">
        <v>95</v>
      </c>
      <c r="F222" s="38" t="s">
        <v>2264</v>
      </c>
      <c r="J222" s="38" t="s">
        <v>2461</v>
      </c>
      <c r="K222" s="38" t="s">
        <v>2641</v>
      </c>
      <c r="L222" s="38">
        <v>1.0</v>
      </c>
      <c r="N222" s="38" t="s">
        <v>100</v>
      </c>
      <c r="O222" s="84"/>
      <c r="P222" s="84"/>
      <c r="Q222" s="84"/>
      <c r="R222" s="90">
        <v>176.0</v>
      </c>
      <c r="T222" s="90">
        <v>176.0</v>
      </c>
      <c r="V222" s="93" t="s">
        <v>1505</v>
      </c>
    </row>
    <row r="223">
      <c r="A223" s="37">
        <v>44831.663254513885</v>
      </c>
      <c r="B223" s="38" t="s">
        <v>827</v>
      </c>
      <c r="C223" s="38" t="s">
        <v>1979</v>
      </c>
      <c r="D223" s="38" t="s">
        <v>40</v>
      </c>
      <c r="F223" s="38" t="s">
        <v>2264</v>
      </c>
      <c r="J223" s="38" t="s">
        <v>2642</v>
      </c>
      <c r="K223" s="38" t="s">
        <v>2643</v>
      </c>
      <c r="L223" s="38">
        <v>1.0</v>
      </c>
      <c r="N223" s="38" t="s">
        <v>104</v>
      </c>
      <c r="O223" s="84"/>
      <c r="P223" s="84"/>
      <c r="Q223" s="84"/>
      <c r="R223" s="90">
        <v>177.0</v>
      </c>
      <c r="T223" s="90">
        <v>177.0</v>
      </c>
      <c r="V223" s="93" t="s">
        <v>1505</v>
      </c>
    </row>
    <row r="224">
      <c r="A224" s="37">
        <v>44832.32301315972</v>
      </c>
      <c r="B224" s="38" t="s">
        <v>827</v>
      </c>
      <c r="C224" s="38" t="s">
        <v>2556</v>
      </c>
      <c r="D224" s="38" t="s">
        <v>870</v>
      </c>
      <c r="F224" s="38" t="s">
        <v>2274</v>
      </c>
      <c r="G224" s="38" t="s">
        <v>2275</v>
      </c>
      <c r="H224" s="38" t="s">
        <v>2644</v>
      </c>
      <c r="N224" s="38" t="s">
        <v>2645</v>
      </c>
      <c r="O224" s="84"/>
      <c r="P224" s="84"/>
      <c r="Q224" s="84"/>
      <c r="R224" s="90">
        <v>178.0</v>
      </c>
      <c r="T224" s="90">
        <v>178.0</v>
      </c>
      <c r="V224" s="93" t="s">
        <v>1505</v>
      </c>
    </row>
    <row r="225">
      <c r="A225" s="37">
        <v>44832.594905694445</v>
      </c>
      <c r="B225" s="38" t="s">
        <v>827</v>
      </c>
      <c r="C225" s="38" t="s">
        <v>2646</v>
      </c>
      <c r="D225" s="38" t="s">
        <v>95</v>
      </c>
      <c r="F225" s="38" t="s">
        <v>2264</v>
      </c>
      <c r="J225" s="38" t="s">
        <v>2647</v>
      </c>
      <c r="K225" s="38" t="s">
        <v>2648</v>
      </c>
      <c r="L225" s="38">
        <v>1.0</v>
      </c>
      <c r="N225" s="38" t="s">
        <v>128</v>
      </c>
      <c r="O225" s="84"/>
      <c r="P225" s="84"/>
      <c r="Q225" s="84"/>
      <c r="R225" s="90">
        <v>179.0</v>
      </c>
      <c r="T225" s="90">
        <v>179.0</v>
      </c>
      <c r="V225" s="93" t="s">
        <v>1505</v>
      </c>
    </row>
    <row r="226">
      <c r="A226" s="37">
        <v>44833.53363449074</v>
      </c>
      <c r="B226" s="38" t="s">
        <v>827</v>
      </c>
      <c r="C226" s="38" t="s">
        <v>2646</v>
      </c>
      <c r="D226" s="38" t="s">
        <v>95</v>
      </c>
      <c r="F226" s="38" t="s">
        <v>2264</v>
      </c>
      <c r="J226" s="38" t="s">
        <v>2649</v>
      </c>
      <c r="K226" s="38" t="s">
        <v>2650</v>
      </c>
      <c r="L226" s="38">
        <v>1.0</v>
      </c>
      <c r="N226" s="38" t="s">
        <v>128</v>
      </c>
      <c r="O226" s="84"/>
      <c r="P226" s="84"/>
      <c r="Q226" s="84"/>
      <c r="R226" s="90">
        <v>180.0</v>
      </c>
      <c r="T226" s="90">
        <v>180.0</v>
      </c>
      <c r="V226" s="93" t="s">
        <v>1505</v>
      </c>
    </row>
    <row r="227">
      <c r="A227" s="37">
        <v>44833.63500309028</v>
      </c>
      <c r="B227" s="38" t="s">
        <v>827</v>
      </c>
      <c r="C227" s="38" t="s">
        <v>1715</v>
      </c>
      <c r="D227" s="38" t="s">
        <v>52</v>
      </c>
      <c r="F227" s="38" t="s">
        <v>2274</v>
      </c>
      <c r="G227" s="38" t="s">
        <v>2249</v>
      </c>
      <c r="H227" s="38" t="s">
        <v>2651</v>
      </c>
      <c r="N227" s="38" t="s">
        <v>855</v>
      </c>
      <c r="O227" s="84"/>
      <c r="P227" s="84"/>
      <c r="Q227" s="84"/>
      <c r="R227" s="90">
        <v>181.0</v>
      </c>
      <c r="T227" s="90">
        <v>181.0</v>
      </c>
      <c r="V227" s="93" t="s">
        <v>1505</v>
      </c>
    </row>
    <row r="228">
      <c r="A228" s="37">
        <v>44834.38216707176</v>
      </c>
      <c r="B228" s="38" t="s">
        <v>827</v>
      </c>
      <c r="C228" s="38" t="s">
        <v>1713</v>
      </c>
      <c r="D228" s="38" t="s">
        <v>44</v>
      </c>
      <c r="F228" s="38" t="s">
        <v>2274</v>
      </c>
      <c r="G228" s="38" t="s">
        <v>2249</v>
      </c>
      <c r="H228" s="38" t="s">
        <v>2652</v>
      </c>
      <c r="N228" s="38" t="s">
        <v>2272</v>
      </c>
      <c r="O228" s="84"/>
      <c r="P228" s="84"/>
      <c r="Q228" s="84"/>
      <c r="R228" s="90">
        <v>182.0</v>
      </c>
      <c r="T228" s="90">
        <v>182.0</v>
      </c>
      <c r="V228" s="93" t="s">
        <v>1505</v>
      </c>
    </row>
    <row r="229">
      <c r="A229" s="37">
        <v>44834.38400013889</v>
      </c>
      <c r="B229" s="38" t="s">
        <v>827</v>
      </c>
      <c r="C229" s="38" t="s">
        <v>1713</v>
      </c>
      <c r="D229" s="38" t="s">
        <v>44</v>
      </c>
      <c r="F229" s="38" t="s">
        <v>2264</v>
      </c>
      <c r="J229" s="38" t="s">
        <v>2653</v>
      </c>
      <c r="K229" s="38" t="s">
        <v>2654</v>
      </c>
      <c r="L229" s="38">
        <v>1.0</v>
      </c>
      <c r="N229" s="38" t="s">
        <v>2272</v>
      </c>
      <c r="O229" s="84"/>
      <c r="P229" s="84"/>
      <c r="Q229" s="84"/>
      <c r="R229" s="90">
        <v>183.0</v>
      </c>
      <c r="T229" s="90">
        <v>183.0</v>
      </c>
      <c r="V229" s="94" t="s">
        <v>1627</v>
      </c>
    </row>
    <row r="230">
      <c r="A230" s="37">
        <v>44837.39297232639</v>
      </c>
      <c r="B230" s="38" t="s">
        <v>827</v>
      </c>
      <c r="C230" s="38" t="s">
        <v>2561</v>
      </c>
      <c r="D230" s="38" t="s">
        <v>1261</v>
      </c>
      <c r="F230" s="38" t="s">
        <v>2274</v>
      </c>
      <c r="G230" s="38" t="s">
        <v>2249</v>
      </c>
      <c r="H230" s="38" t="s">
        <v>2655</v>
      </c>
      <c r="N230" s="38" t="s">
        <v>2563</v>
      </c>
      <c r="O230" s="84"/>
      <c r="P230" s="84"/>
      <c r="Q230" s="84"/>
      <c r="R230" s="90">
        <v>184.0</v>
      </c>
      <c r="T230" s="90">
        <v>184.0</v>
      </c>
      <c r="V230" s="93" t="s">
        <v>1505</v>
      </c>
    </row>
    <row r="231">
      <c r="A231" s="37">
        <v>44837.44980607639</v>
      </c>
      <c r="B231" s="38" t="s">
        <v>827</v>
      </c>
      <c r="C231" s="38" t="s">
        <v>1713</v>
      </c>
      <c r="D231" s="38" t="s">
        <v>44</v>
      </c>
      <c r="F231" s="38" t="s">
        <v>2274</v>
      </c>
      <c r="G231" s="38" t="s">
        <v>2275</v>
      </c>
      <c r="H231" s="38" t="s">
        <v>2656</v>
      </c>
      <c r="N231" s="38" t="s">
        <v>2272</v>
      </c>
      <c r="O231" s="84"/>
      <c r="P231" s="84"/>
      <c r="Q231" s="84"/>
      <c r="R231" s="90">
        <v>185.0</v>
      </c>
      <c r="T231" s="90">
        <v>185.0</v>
      </c>
      <c r="V231" s="93" t="s">
        <v>1505</v>
      </c>
    </row>
    <row r="232">
      <c r="A232" s="37">
        <v>44837.49607057871</v>
      </c>
      <c r="B232" s="38" t="s">
        <v>827</v>
      </c>
      <c r="C232" s="38" t="s">
        <v>2576</v>
      </c>
      <c r="D232" s="38" t="s">
        <v>95</v>
      </c>
      <c r="F232" s="38" t="s">
        <v>2264</v>
      </c>
      <c r="J232" s="38" t="s">
        <v>2461</v>
      </c>
      <c r="K232" s="38" t="s">
        <v>2577</v>
      </c>
      <c r="L232" s="38">
        <v>1.0</v>
      </c>
      <c r="N232" s="38" t="s">
        <v>100</v>
      </c>
      <c r="O232" s="84"/>
      <c r="P232" s="84"/>
      <c r="Q232" s="84"/>
      <c r="R232" s="90">
        <v>186.0</v>
      </c>
      <c r="T232" s="90">
        <v>186.0</v>
      </c>
      <c r="V232" s="93" t="s">
        <v>1505</v>
      </c>
    </row>
    <row r="233">
      <c r="A233" s="37">
        <v>44839.337951747686</v>
      </c>
      <c r="B233" s="38" t="s">
        <v>827</v>
      </c>
      <c r="C233" s="38" t="s">
        <v>2657</v>
      </c>
      <c r="D233" s="38" t="s">
        <v>1261</v>
      </c>
      <c r="F233" s="38" t="s">
        <v>2274</v>
      </c>
      <c r="G233" s="38" t="s">
        <v>2658</v>
      </c>
      <c r="H233" s="38" t="s">
        <v>2659</v>
      </c>
      <c r="N233" s="38" t="s">
        <v>1260</v>
      </c>
      <c r="O233" s="84"/>
      <c r="P233" s="84"/>
      <c r="Q233" s="84"/>
      <c r="R233" s="90">
        <v>187.0</v>
      </c>
      <c r="T233" s="90">
        <v>187.0</v>
      </c>
      <c r="V233" s="93" t="s">
        <v>1505</v>
      </c>
    </row>
    <row r="234">
      <c r="A234" s="37">
        <v>44839.43554863426</v>
      </c>
      <c r="B234" s="38" t="s">
        <v>827</v>
      </c>
      <c r="C234" s="38" t="s">
        <v>1988</v>
      </c>
      <c r="D234" s="38" t="s">
        <v>40</v>
      </c>
      <c r="F234" s="38" t="s">
        <v>2264</v>
      </c>
      <c r="J234" s="38" t="s">
        <v>213</v>
      </c>
      <c r="K234" s="38" t="s">
        <v>2660</v>
      </c>
      <c r="L234" s="38">
        <v>1.0</v>
      </c>
      <c r="N234" s="38" t="s">
        <v>2327</v>
      </c>
      <c r="O234" s="84"/>
      <c r="P234" s="84"/>
      <c r="Q234" s="84"/>
      <c r="R234" s="90">
        <v>188.0</v>
      </c>
      <c r="T234" s="90">
        <v>188.0</v>
      </c>
      <c r="V234" s="94" t="s">
        <v>1627</v>
      </c>
    </row>
    <row r="235">
      <c r="A235" s="37">
        <v>44839.43954006945</v>
      </c>
      <c r="B235" s="38" t="s">
        <v>827</v>
      </c>
      <c r="C235" s="38" t="s">
        <v>1988</v>
      </c>
      <c r="D235" s="38" t="s">
        <v>40</v>
      </c>
      <c r="F235" s="38" t="s">
        <v>2264</v>
      </c>
      <c r="J235" s="38" t="s">
        <v>292</v>
      </c>
      <c r="K235" s="38" t="s">
        <v>213</v>
      </c>
      <c r="L235" s="38">
        <v>1.0</v>
      </c>
      <c r="N235" s="38" t="s">
        <v>2327</v>
      </c>
      <c r="O235" s="84"/>
      <c r="P235" s="84"/>
      <c r="Q235" s="84"/>
      <c r="R235" s="90">
        <v>189.0</v>
      </c>
      <c r="T235" s="90">
        <v>189.0</v>
      </c>
      <c r="V235" s="94" t="s">
        <v>1627</v>
      </c>
    </row>
    <row r="236">
      <c r="A236" s="37">
        <v>44839.46457107639</v>
      </c>
      <c r="B236" s="38" t="s">
        <v>827</v>
      </c>
      <c r="C236" s="38" t="s">
        <v>1975</v>
      </c>
      <c r="D236" s="38" t="s">
        <v>916</v>
      </c>
      <c r="F236" s="38" t="s">
        <v>2274</v>
      </c>
      <c r="G236" s="38" t="s">
        <v>2275</v>
      </c>
      <c r="H236" s="38" t="s">
        <v>2661</v>
      </c>
      <c r="N236" s="38" t="s">
        <v>2662</v>
      </c>
      <c r="O236" s="84"/>
      <c r="P236" s="84"/>
      <c r="Q236" s="84"/>
      <c r="R236" s="90">
        <v>190.0</v>
      </c>
      <c r="T236" s="90">
        <v>190.0</v>
      </c>
      <c r="V236" s="94" t="s">
        <v>1627</v>
      </c>
    </row>
    <row r="237">
      <c r="A237" s="37">
        <v>44840.46337291667</v>
      </c>
      <c r="B237" s="38" t="s">
        <v>827</v>
      </c>
      <c r="C237" s="38" t="s">
        <v>1713</v>
      </c>
      <c r="D237" s="38" t="s">
        <v>44</v>
      </c>
      <c r="F237" s="38" t="s">
        <v>2274</v>
      </c>
      <c r="G237" s="38" t="s">
        <v>2249</v>
      </c>
      <c r="H237" s="38" t="s">
        <v>2663</v>
      </c>
      <c r="N237" s="38" t="s">
        <v>2272</v>
      </c>
      <c r="O237" s="84"/>
      <c r="P237" s="84"/>
      <c r="Q237" s="84"/>
      <c r="R237" s="90">
        <v>191.0</v>
      </c>
      <c r="T237" s="90">
        <v>191.0</v>
      </c>
      <c r="V237" s="94" t="s">
        <v>1627</v>
      </c>
    </row>
    <row r="238">
      <c r="A238" s="37">
        <v>44844.42513880787</v>
      </c>
      <c r="B238" s="38" t="s">
        <v>827</v>
      </c>
      <c r="C238" s="38" t="s">
        <v>2626</v>
      </c>
      <c r="D238" s="38" t="s">
        <v>196</v>
      </c>
      <c r="F238" s="38" t="s">
        <v>2264</v>
      </c>
      <c r="J238" s="38" t="s">
        <v>213</v>
      </c>
      <c r="K238" s="38" t="s">
        <v>2664</v>
      </c>
      <c r="L238" s="38">
        <v>1.0</v>
      </c>
      <c r="N238" s="38" t="s">
        <v>120</v>
      </c>
      <c r="O238" s="84"/>
      <c r="P238" s="84"/>
      <c r="Q238" s="84"/>
      <c r="R238" s="90">
        <v>192.0</v>
      </c>
      <c r="T238" s="90">
        <v>192.0</v>
      </c>
      <c r="V238" s="94" t="s">
        <v>1627</v>
      </c>
    </row>
    <row r="239">
      <c r="A239" s="37">
        <v>44844.42777434028</v>
      </c>
      <c r="B239" s="38" t="s">
        <v>827</v>
      </c>
      <c r="C239" s="38" t="s">
        <v>2665</v>
      </c>
      <c r="D239" s="38" t="s">
        <v>44</v>
      </c>
      <c r="F239" s="38" t="s">
        <v>2274</v>
      </c>
      <c r="G239" s="38" t="s">
        <v>2666</v>
      </c>
      <c r="H239" s="38" t="s">
        <v>2667</v>
      </c>
      <c r="N239" s="38" t="s">
        <v>42</v>
      </c>
      <c r="O239" s="84"/>
      <c r="P239" s="84"/>
      <c r="Q239" s="84"/>
      <c r="R239" s="90">
        <v>193.0</v>
      </c>
      <c r="T239" s="90">
        <v>193.0</v>
      </c>
      <c r="V239" s="94" t="s">
        <v>1627</v>
      </c>
    </row>
    <row r="240">
      <c r="A240" s="37">
        <v>44844.53188241898</v>
      </c>
      <c r="B240" s="38" t="s">
        <v>827</v>
      </c>
      <c r="C240" s="38" t="s">
        <v>1979</v>
      </c>
      <c r="D240" s="38" t="s">
        <v>40</v>
      </c>
      <c r="F240" s="38" t="s">
        <v>2274</v>
      </c>
      <c r="G240" s="38" t="s">
        <v>2275</v>
      </c>
      <c r="H240" s="38" t="s">
        <v>2668</v>
      </c>
      <c r="N240" s="38" t="s">
        <v>104</v>
      </c>
      <c r="O240" s="84"/>
      <c r="P240" s="84"/>
      <c r="Q240" s="84"/>
      <c r="R240" s="90">
        <v>194.0</v>
      </c>
      <c r="T240" s="90">
        <v>194.0</v>
      </c>
      <c r="V240" s="93" t="s">
        <v>1505</v>
      </c>
    </row>
    <row r="241">
      <c r="A241" s="37">
        <v>44845.46445332176</v>
      </c>
      <c r="B241" s="38" t="s">
        <v>827</v>
      </c>
      <c r="C241" s="38" t="s">
        <v>1715</v>
      </c>
      <c r="D241" s="38" t="s">
        <v>52</v>
      </c>
      <c r="F241" s="38" t="s">
        <v>2274</v>
      </c>
      <c r="G241" s="38" t="s">
        <v>2249</v>
      </c>
      <c r="H241" s="38" t="s">
        <v>2669</v>
      </c>
      <c r="N241" s="38" t="s">
        <v>855</v>
      </c>
      <c r="O241" s="84"/>
      <c r="P241" s="84"/>
      <c r="Q241" s="84"/>
      <c r="R241" s="90">
        <v>195.0</v>
      </c>
      <c r="T241" s="90">
        <v>195.0</v>
      </c>
      <c r="V241" s="93" t="s">
        <v>1505</v>
      </c>
    </row>
    <row r="242">
      <c r="A242" s="37">
        <v>44845.51513457176</v>
      </c>
      <c r="B242" s="38" t="s">
        <v>827</v>
      </c>
      <c r="C242" s="38" t="s">
        <v>2670</v>
      </c>
      <c r="D242" s="38" t="s">
        <v>40</v>
      </c>
      <c r="F242" s="38" t="s">
        <v>2264</v>
      </c>
      <c r="J242" s="38" t="s">
        <v>2574</v>
      </c>
      <c r="K242" s="38" t="s">
        <v>2671</v>
      </c>
      <c r="L242" s="38">
        <v>1.0</v>
      </c>
      <c r="M242" s="85" t="s">
        <v>2672</v>
      </c>
      <c r="N242" s="38" t="s">
        <v>2673</v>
      </c>
      <c r="O242" s="84"/>
      <c r="P242" s="84"/>
      <c r="Q242" s="84"/>
      <c r="R242" s="90">
        <v>196.0</v>
      </c>
      <c r="T242" s="90">
        <v>196.0</v>
      </c>
      <c r="V242" s="93" t="s">
        <v>1505</v>
      </c>
    </row>
    <row r="243">
      <c r="A243" s="37">
        <v>44845.519714131944</v>
      </c>
      <c r="B243" s="38" t="s">
        <v>827</v>
      </c>
      <c r="C243" s="38" t="s">
        <v>2573</v>
      </c>
      <c r="D243" s="38" t="s">
        <v>44</v>
      </c>
      <c r="F243" s="38" t="s">
        <v>2274</v>
      </c>
      <c r="G243" s="38" t="s">
        <v>2241</v>
      </c>
      <c r="H243" s="38" t="s">
        <v>2674</v>
      </c>
      <c r="N243" s="38" t="s">
        <v>42</v>
      </c>
      <c r="O243" s="84"/>
      <c r="P243" s="84"/>
      <c r="Q243" s="84"/>
      <c r="R243" s="90">
        <v>197.0</v>
      </c>
      <c r="T243" s="90">
        <v>197.0</v>
      </c>
      <c r="V243" s="93" t="s">
        <v>1505</v>
      </c>
    </row>
    <row r="244">
      <c r="A244" s="37">
        <v>44845.607275057875</v>
      </c>
      <c r="B244" s="38" t="s">
        <v>827</v>
      </c>
      <c r="C244" s="38" t="s">
        <v>1639</v>
      </c>
      <c r="D244" s="38" t="s">
        <v>35</v>
      </c>
      <c r="F244" s="38" t="s">
        <v>2274</v>
      </c>
      <c r="G244" s="38" t="s">
        <v>2249</v>
      </c>
      <c r="H244" s="38" t="s">
        <v>2675</v>
      </c>
      <c r="N244" s="38" t="s">
        <v>2322</v>
      </c>
      <c r="O244" s="84"/>
      <c r="P244" s="84"/>
      <c r="Q244" s="84"/>
      <c r="R244" s="90">
        <v>198.0</v>
      </c>
      <c r="T244" s="90">
        <v>198.0</v>
      </c>
      <c r="V244" s="93" t="s">
        <v>1505</v>
      </c>
    </row>
    <row r="245">
      <c r="A245" s="37">
        <v>44845.61531815972</v>
      </c>
      <c r="B245" s="38" t="s">
        <v>827</v>
      </c>
      <c r="C245" s="38" t="s">
        <v>1639</v>
      </c>
      <c r="D245" s="38" t="s">
        <v>35</v>
      </c>
      <c r="F245" s="38" t="s">
        <v>2274</v>
      </c>
      <c r="G245" s="38" t="s">
        <v>2275</v>
      </c>
      <c r="H245" s="38" t="s">
        <v>2676</v>
      </c>
      <c r="N245" s="38" t="s">
        <v>2322</v>
      </c>
      <c r="O245" s="84"/>
      <c r="P245" s="84"/>
      <c r="Q245" s="84"/>
      <c r="R245" s="90">
        <v>199.0</v>
      </c>
      <c r="T245" s="90">
        <v>199.0</v>
      </c>
      <c r="V245" s="94" t="s">
        <v>1627</v>
      </c>
    </row>
    <row r="246">
      <c r="A246" s="37">
        <v>44846.375334537035</v>
      </c>
      <c r="B246" s="38" t="s">
        <v>827</v>
      </c>
      <c r="C246" s="38" t="s">
        <v>1713</v>
      </c>
      <c r="D246" s="38" t="s">
        <v>44</v>
      </c>
      <c r="F246" s="38" t="s">
        <v>2274</v>
      </c>
      <c r="G246" s="38" t="s">
        <v>2249</v>
      </c>
      <c r="H246" s="38" t="s">
        <v>2677</v>
      </c>
      <c r="N246" s="38" t="s">
        <v>2272</v>
      </c>
      <c r="O246" s="84"/>
      <c r="P246" s="84"/>
      <c r="Q246" s="84"/>
      <c r="R246" s="90">
        <v>200.0</v>
      </c>
      <c r="T246" s="90">
        <v>200.0</v>
      </c>
      <c r="V246" s="93" t="s">
        <v>1505</v>
      </c>
    </row>
    <row r="247">
      <c r="A247" s="37">
        <v>44846.6692237963</v>
      </c>
      <c r="B247" s="38" t="s">
        <v>827</v>
      </c>
      <c r="C247" s="38" t="s">
        <v>1639</v>
      </c>
      <c r="D247" s="38" t="s">
        <v>35</v>
      </c>
      <c r="F247" s="38" t="s">
        <v>2274</v>
      </c>
      <c r="G247" s="38" t="s">
        <v>2241</v>
      </c>
      <c r="H247" s="38" t="s">
        <v>2678</v>
      </c>
      <c r="N247" s="38" t="s">
        <v>2322</v>
      </c>
      <c r="O247" s="84"/>
      <c r="P247" s="84"/>
      <c r="Q247" s="84"/>
      <c r="R247" s="90">
        <v>201.0</v>
      </c>
      <c r="T247" s="90">
        <v>201.0</v>
      </c>
      <c r="V247" s="93" t="s">
        <v>1505</v>
      </c>
    </row>
    <row r="248">
      <c r="A248" s="37">
        <v>44847.37342148148</v>
      </c>
      <c r="B248" s="38" t="s">
        <v>827</v>
      </c>
      <c r="C248" s="38" t="s">
        <v>1975</v>
      </c>
      <c r="D248" s="38" t="s">
        <v>916</v>
      </c>
      <c r="F248" s="38" t="s">
        <v>2274</v>
      </c>
      <c r="G248" s="38" t="s">
        <v>2275</v>
      </c>
      <c r="H248" s="38" t="s">
        <v>2679</v>
      </c>
      <c r="N248" s="38" t="s">
        <v>2662</v>
      </c>
      <c r="O248" s="84"/>
      <c r="P248" s="84"/>
      <c r="Q248" s="84"/>
      <c r="R248" s="90">
        <v>202.0</v>
      </c>
      <c r="T248" s="90">
        <v>202.0</v>
      </c>
      <c r="V248" s="93" t="s">
        <v>1505</v>
      </c>
    </row>
    <row r="249">
      <c r="A249" s="37">
        <v>44848.43009288194</v>
      </c>
      <c r="B249" s="38" t="s">
        <v>827</v>
      </c>
      <c r="C249" s="38" t="s">
        <v>2610</v>
      </c>
      <c r="D249" s="38" t="s">
        <v>916</v>
      </c>
      <c r="F249" s="38" t="s">
        <v>2274</v>
      </c>
      <c r="G249" s="38" t="s">
        <v>2680</v>
      </c>
      <c r="H249" s="38" t="s">
        <v>2681</v>
      </c>
      <c r="N249" s="38" t="s">
        <v>2516</v>
      </c>
      <c r="O249" s="84"/>
      <c r="P249" s="84"/>
      <c r="Q249" s="84"/>
      <c r="R249" s="90">
        <v>203.0</v>
      </c>
      <c r="T249" s="90">
        <v>203.0</v>
      </c>
      <c r="V249" s="93" t="s">
        <v>1505</v>
      </c>
    </row>
    <row r="250">
      <c r="A250" s="37">
        <v>44851.6228825</v>
      </c>
      <c r="B250" s="38" t="s">
        <v>827</v>
      </c>
      <c r="C250" s="38" t="s">
        <v>2682</v>
      </c>
      <c r="D250" s="38" t="s">
        <v>316</v>
      </c>
      <c r="F250" s="38" t="s">
        <v>2264</v>
      </c>
      <c r="J250" s="38" t="s">
        <v>2683</v>
      </c>
      <c r="K250" s="38" t="s">
        <v>2667</v>
      </c>
      <c r="L250" s="38">
        <v>1.0</v>
      </c>
      <c r="N250" s="38" t="s">
        <v>2684</v>
      </c>
      <c r="O250" s="84"/>
      <c r="P250" s="84"/>
      <c r="Q250" s="84"/>
      <c r="R250" s="90">
        <v>204.0</v>
      </c>
      <c r="T250" s="90">
        <v>204.0</v>
      </c>
      <c r="V250" s="93" t="s">
        <v>1505</v>
      </c>
    </row>
    <row r="251">
      <c r="A251" s="37">
        <v>44851.66530350695</v>
      </c>
      <c r="B251" s="38" t="s">
        <v>827</v>
      </c>
      <c r="C251" s="38" t="s">
        <v>2685</v>
      </c>
      <c r="D251" s="38" t="s">
        <v>196</v>
      </c>
      <c r="F251" s="38" t="s">
        <v>2264</v>
      </c>
      <c r="J251" s="38" t="s">
        <v>1139</v>
      </c>
      <c r="K251" s="38" t="s">
        <v>2686</v>
      </c>
      <c r="L251" s="38">
        <v>1.0</v>
      </c>
      <c r="N251" s="38" t="s">
        <v>2687</v>
      </c>
      <c r="O251" s="84"/>
      <c r="P251" s="84"/>
      <c r="Q251" s="84"/>
      <c r="R251" s="90">
        <v>205.0</v>
      </c>
      <c r="T251" s="90">
        <v>205.0</v>
      </c>
      <c r="V251" s="94" t="s">
        <v>1627</v>
      </c>
    </row>
    <row r="252">
      <c r="A252" s="37">
        <v>44852.45273076389</v>
      </c>
      <c r="B252" s="38" t="s">
        <v>827</v>
      </c>
      <c r="C252" s="38" t="s">
        <v>2252</v>
      </c>
      <c r="D252" s="38" t="s">
        <v>316</v>
      </c>
      <c r="F252" s="38" t="s">
        <v>2264</v>
      </c>
      <c r="J252" s="38" t="s">
        <v>2688</v>
      </c>
      <c r="K252" s="38" t="s">
        <v>2689</v>
      </c>
      <c r="L252" s="38" t="s">
        <v>2690</v>
      </c>
      <c r="N252" s="38" t="s">
        <v>2253</v>
      </c>
      <c r="O252" s="84"/>
      <c r="P252" s="84"/>
      <c r="Q252" s="84"/>
      <c r="R252" s="90">
        <v>206.0</v>
      </c>
      <c r="T252" s="90">
        <v>206.0</v>
      </c>
      <c r="V252" s="93" t="s">
        <v>1505</v>
      </c>
    </row>
    <row r="253">
      <c r="A253" s="37">
        <v>44852.462920590275</v>
      </c>
      <c r="B253" s="38" t="s">
        <v>827</v>
      </c>
      <c r="C253" s="38" t="s">
        <v>1975</v>
      </c>
      <c r="D253" s="38" t="s">
        <v>916</v>
      </c>
      <c r="F253" s="38" t="s">
        <v>2274</v>
      </c>
      <c r="G253" s="38" t="s">
        <v>2691</v>
      </c>
      <c r="H253" s="38" t="s">
        <v>2692</v>
      </c>
      <c r="N253" s="38" t="s">
        <v>89</v>
      </c>
      <c r="O253" s="84"/>
      <c r="P253" s="84"/>
      <c r="Q253" s="84"/>
      <c r="R253" s="90">
        <v>208.0</v>
      </c>
      <c r="T253" s="90">
        <v>208.0</v>
      </c>
      <c r="V253" s="93" t="s">
        <v>1505</v>
      </c>
    </row>
    <row r="254">
      <c r="A254" s="37">
        <v>44852.520477708335</v>
      </c>
      <c r="B254" s="38" t="s">
        <v>827</v>
      </c>
      <c r="C254" s="38" t="s">
        <v>2682</v>
      </c>
      <c r="D254" s="38" t="s">
        <v>316</v>
      </c>
      <c r="F254" s="38" t="s">
        <v>2264</v>
      </c>
      <c r="J254" s="38" t="s">
        <v>2581</v>
      </c>
      <c r="K254" s="38" t="s">
        <v>2693</v>
      </c>
      <c r="L254" s="38">
        <v>1.0</v>
      </c>
      <c r="M254" s="85" t="s">
        <v>2694</v>
      </c>
      <c r="N254" s="38" t="s">
        <v>2695</v>
      </c>
      <c r="O254" s="84"/>
      <c r="P254" s="84"/>
      <c r="Q254" s="84"/>
    </row>
    <row r="255">
      <c r="A255" s="37">
        <v>44852.5349184838</v>
      </c>
      <c r="B255" s="38" t="s">
        <v>827</v>
      </c>
      <c r="C255" s="38" t="s">
        <v>2682</v>
      </c>
      <c r="D255" s="38" t="s">
        <v>316</v>
      </c>
      <c r="F255" s="38" t="s">
        <v>2264</v>
      </c>
      <c r="J255" s="38" t="s">
        <v>2696</v>
      </c>
      <c r="K255" s="38" t="s">
        <v>2697</v>
      </c>
      <c r="L255" s="38" t="s">
        <v>2698</v>
      </c>
      <c r="M255" s="85" t="s">
        <v>2699</v>
      </c>
      <c r="N255" s="38" t="s">
        <v>2695</v>
      </c>
      <c r="O255" s="84"/>
      <c r="P255" s="84"/>
      <c r="Q255" s="84"/>
      <c r="R255" s="90">
        <v>209.0</v>
      </c>
      <c r="T255" s="90">
        <v>209.0</v>
      </c>
      <c r="V255" s="93" t="s">
        <v>1505</v>
      </c>
    </row>
    <row r="256">
      <c r="A256" s="37">
        <v>44852.61620040509</v>
      </c>
      <c r="B256" s="38" t="s">
        <v>827</v>
      </c>
      <c r="C256" s="38" t="s">
        <v>1645</v>
      </c>
      <c r="D256" s="38" t="s">
        <v>878</v>
      </c>
      <c r="F256" s="38" t="s">
        <v>2274</v>
      </c>
      <c r="G256" s="38" t="s">
        <v>2275</v>
      </c>
      <c r="H256" s="38" t="s">
        <v>2700</v>
      </c>
      <c r="N256" s="38" t="s">
        <v>2332</v>
      </c>
      <c r="O256" s="84"/>
      <c r="P256" s="84"/>
      <c r="Q256" s="84"/>
      <c r="R256" s="90">
        <v>210.0</v>
      </c>
      <c r="T256" s="90">
        <v>210.0</v>
      </c>
      <c r="V256" s="93" t="s">
        <v>1505</v>
      </c>
    </row>
    <row r="257">
      <c r="A257" s="37">
        <v>44852.724203171296</v>
      </c>
      <c r="B257" s="38" t="s">
        <v>827</v>
      </c>
      <c r="C257" s="38" t="s">
        <v>2534</v>
      </c>
      <c r="D257" s="38" t="s">
        <v>40</v>
      </c>
      <c r="F257" s="38" t="s">
        <v>2274</v>
      </c>
      <c r="G257" s="38" t="s">
        <v>2275</v>
      </c>
      <c r="H257" s="38" t="s">
        <v>2701</v>
      </c>
      <c r="I257" s="85" t="s">
        <v>2702</v>
      </c>
      <c r="N257" s="38" t="s">
        <v>37</v>
      </c>
      <c r="O257" s="84"/>
      <c r="P257" s="84"/>
      <c r="Q257" s="84"/>
      <c r="R257" s="90">
        <v>211.0</v>
      </c>
      <c r="T257" s="90">
        <v>211.0</v>
      </c>
      <c r="V257" s="94" t="s">
        <v>1627</v>
      </c>
    </row>
    <row r="258">
      <c r="A258" s="37">
        <v>44853.33021289352</v>
      </c>
      <c r="B258" s="38" t="s">
        <v>827</v>
      </c>
      <c r="C258" s="38" t="s">
        <v>1709</v>
      </c>
      <c r="D258" s="38" t="s">
        <v>316</v>
      </c>
      <c r="F258" s="38" t="s">
        <v>2264</v>
      </c>
      <c r="J258" s="38" t="s">
        <v>292</v>
      </c>
      <c r="K258" s="38" t="s">
        <v>2499</v>
      </c>
      <c r="L258" s="38">
        <v>1.0</v>
      </c>
      <c r="N258" s="38" t="s">
        <v>272</v>
      </c>
      <c r="O258" s="84"/>
      <c r="P258" s="84"/>
      <c r="Q258" s="84"/>
      <c r="R258" s="90">
        <v>212.0</v>
      </c>
      <c r="T258" s="90">
        <v>212.0</v>
      </c>
      <c r="V258" s="93" t="s">
        <v>1505</v>
      </c>
    </row>
    <row r="259">
      <c r="A259" s="37">
        <v>44853.379570185185</v>
      </c>
      <c r="B259" s="38" t="s">
        <v>827</v>
      </c>
      <c r="C259" s="38" t="s">
        <v>1713</v>
      </c>
      <c r="D259" s="38" t="s">
        <v>44</v>
      </c>
      <c r="F259" s="38" t="s">
        <v>2274</v>
      </c>
      <c r="G259" s="38" t="s">
        <v>2241</v>
      </c>
      <c r="H259" s="38" t="s">
        <v>2703</v>
      </c>
      <c r="N259" s="38" t="s">
        <v>2272</v>
      </c>
      <c r="O259" s="84"/>
      <c r="P259" s="84"/>
      <c r="Q259" s="84"/>
      <c r="R259" s="90">
        <v>213.0</v>
      </c>
      <c r="T259" s="90">
        <v>213.0</v>
      </c>
      <c r="V259" s="93" t="s">
        <v>1505</v>
      </c>
    </row>
    <row r="260">
      <c r="A260" s="37">
        <v>44853.41923509259</v>
      </c>
      <c r="B260" s="38" t="s">
        <v>827</v>
      </c>
      <c r="C260" s="38" t="s">
        <v>1715</v>
      </c>
      <c r="D260" s="38" t="s">
        <v>52</v>
      </c>
      <c r="F260" s="38" t="s">
        <v>2274</v>
      </c>
      <c r="G260" s="38" t="s">
        <v>2249</v>
      </c>
      <c r="H260" s="38" t="s">
        <v>2704</v>
      </c>
      <c r="N260" s="38" t="s">
        <v>374</v>
      </c>
      <c r="O260" s="84"/>
      <c r="P260" s="84"/>
      <c r="Q260" s="84"/>
      <c r="R260" s="90">
        <v>214.0</v>
      </c>
      <c r="T260" s="90">
        <v>214.0</v>
      </c>
      <c r="V260" s="93" t="s">
        <v>1505</v>
      </c>
    </row>
    <row r="261">
      <c r="A261" s="37">
        <v>44853.44086989583</v>
      </c>
      <c r="B261" s="38" t="s">
        <v>827</v>
      </c>
      <c r="C261" s="38" t="s">
        <v>2619</v>
      </c>
      <c r="D261" s="38" t="s">
        <v>40</v>
      </c>
      <c r="F261" s="38" t="s">
        <v>2264</v>
      </c>
      <c r="J261" s="38" t="s">
        <v>2705</v>
      </c>
      <c r="K261" s="38" t="s">
        <v>2706</v>
      </c>
      <c r="L261" s="38">
        <v>1.0</v>
      </c>
      <c r="N261" s="38" t="s">
        <v>47</v>
      </c>
      <c r="O261" s="84"/>
      <c r="P261" s="84"/>
      <c r="Q261" s="84"/>
      <c r="R261" s="90">
        <v>215.0</v>
      </c>
      <c r="T261" s="90">
        <v>215.0</v>
      </c>
      <c r="V261" s="93" t="s">
        <v>1505</v>
      </c>
    </row>
    <row r="262">
      <c r="A262" s="37">
        <v>44854.397420636575</v>
      </c>
      <c r="B262" s="38" t="s">
        <v>827</v>
      </c>
      <c r="C262" s="38" t="s">
        <v>1715</v>
      </c>
      <c r="D262" s="38" t="s">
        <v>52</v>
      </c>
      <c r="F262" s="38" t="s">
        <v>2274</v>
      </c>
      <c r="G262" s="38" t="s">
        <v>2249</v>
      </c>
      <c r="H262" s="38" t="s">
        <v>2259</v>
      </c>
      <c r="N262" s="38" t="s">
        <v>2431</v>
      </c>
      <c r="O262" s="84"/>
      <c r="P262" s="84"/>
      <c r="Q262" s="84"/>
      <c r="R262" s="90">
        <v>216.0</v>
      </c>
      <c r="T262" s="90">
        <v>216.0</v>
      </c>
      <c r="V262" s="92" t="s">
        <v>1621</v>
      </c>
    </row>
    <row r="263">
      <c r="A263" s="37">
        <v>44855.32490270834</v>
      </c>
      <c r="B263" s="38" t="s">
        <v>827</v>
      </c>
      <c r="C263" s="38" t="s">
        <v>2561</v>
      </c>
      <c r="D263" s="38" t="s">
        <v>1261</v>
      </c>
      <c r="F263" s="38" t="s">
        <v>2274</v>
      </c>
      <c r="G263" s="38" t="s">
        <v>2232</v>
      </c>
      <c r="H263" s="38" t="s">
        <v>2707</v>
      </c>
      <c r="N263" s="38" t="s">
        <v>2563</v>
      </c>
      <c r="O263" s="84"/>
      <c r="P263" s="84"/>
      <c r="Q263" s="84"/>
      <c r="R263" s="90">
        <v>217.0</v>
      </c>
      <c r="T263" s="90">
        <v>217.0</v>
      </c>
      <c r="V263" s="93" t="s">
        <v>1505</v>
      </c>
    </row>
    <row r="264">
      <c r="A264" s="37">
        <v>44858.48089310185</v>
      </c>
      <c r="B264" s="38" t="s">
        <v>827</v>
      </c>
      <c r="C264" s="38" t="s">
        <v>1639</v>
      </c>
      <c r="D264" s="38" t="s">
        <v>35</v>
      </c>
      <c r="F264" s="38" t="s">
        <v>2274</v>
      </c>
      <c r="G264" s="38" t="s">
        <v>2275</v>
      </c>
      <c r="H264" s="38" t="s">
        <v>2275</v>
      </c>
      <c r="N264" s="38" t="s">
        <v>32</v>
      </c>
      <c r="O264" s="84"/>
      <c r="R264" s="90">
        <v>218.0</v>
      </c>
      <c r="T264" s="90">
        <v>218.0</v>
      </c>
      <c r="V264" s="93" t="s">
        <v>1505</v>
      </c>
    </row>
    <row r="265">
      <c r="A265" s="37">
        <v>44858.49738486111</v>
      </c>
      <c r="B265" s="38" t="s">
        <v>827</v>
      </c>
      <c r="C265" s="38" t="s">
        <v>1636</v>
      </c>
      <c r="D265" s="38" t="s">
        <v>316</v>
      </c>
      <c r="F265" s="38" t="s">
        <v>2274</v>
      </c>
      <c r="G265" s="38" t="s">
        <v>2275</v>
      </c>
      <c r="H265" s="38" t="s">
        <v>2708</v>
      </c>
      <c r="N265" s="38" t="s">
        <v>2319</v>
      </c>
      <c r="O265" s="84"/>
      <c r="R265" s="90">
        <v>219.0</v>
      </c>
      <c r="T265" s="90">
        <v>219.0</v>
      </c>
      <c r="V265" s="94" t="s">
        <v>1627</v>
      </c>
    </row>
    <row r="266">
      <c r="A266" s="37">
        <v>44858.69392075231</v>
      </c>
      <c r="B266" s="38" t="s">
        <v>827</v>
      </c>
      <c r="C266" s="38" t="s">
        <v>2709</v>
      </c>
      <c r="D266" s="38" t="s">
        <v>916</v>
      </c>
      <c r="F266" s="38" t="s">
        <v>2274</v>
      </c>
      <c r="G266" s="38" t="s">
        <v>2710</v>
      </c>
      <c r="H266" s="38" t="s">
        <v>2711</v>
      </c>
      <c r="N266" s="38" t="s">
        <v>2384</v>
      </c>
      <c r="O266" s="84"/>
      <c r="R266" s="90">
        <v>220.0</v>
      </c>
      <c r="T266" s="90">
        <v>220.0</v>
      </c>
      <c r="V266" s="94" t="s">
        <v>1627</v>
      </c>
    </row>
    <row r="267">
      <c r="A267" s="37">
        <v>44858.70615686342</v>
      </c>
      <c r="B267" s="38" t="s">
        <v>827</v>
      </c>
      <c r="C267" s="38" t="s">
        <v>2231</v>
      </c>
      <c r="D267" s="38" t="s">
        <v>916</v>
      </c>
      <c r="F267" s="38" t="s">
        <v>2264</v>
      </c>
      <c r="J267" s="38" t="s">
        <v>2712</v>
      </c>
      <c r="K267" s="38" t="s">
        <v>2713</v>
      </c>
      <c r="L267" s="38">
        <v>1.0</v>
      </c>
      <c r="N267" s="38" t="s">
        <v>2248</v>
      </c>
      <c r="O267" s="84"/>
      <c r="R267" s="90">
        <v>221.0</v>
      </c>
      <c r="T267" s="90">
        <v>221.0</v>
      </c>
      <c r="V267" s="94" t="s">
        <v>1627</v>
      </c>
    </row>
    <row r="268">
      <c r="A268" s="37">
        <v>44860.42077149305</v>
      </c>
      <c r="B268" s="38" t="s">
        <v>827</v>
      </c>
      <c r="C268" s="38" t="s">
        <v>2231</v>
      </c>
      <c r="D268" s="38" t="s">
        <v>40</v>
      </c>
      <c r="F268" s="38" t="s">
        <v>2274</v>
      </c>
      <c r="G268" s="38" t="s">
        <v>2510</v>
      </c>
      <c r="H268" s="38" t="s">
        <v>2714</v>
      </c>
      <c r="N268" s="38" t="s">
        <v>2715</v>
      </c>
      <c r="O268" s="84"/>
      <c r="R268" s="90">
        <v>222.0</v>
      </c>
      <c r="T268" s="90">
        <v>222.0</v>
      </c>
      <c r="V268" s="94" t="s">
        <v>1627</v>
      </c>
    </row>
    <row r="269">
      <c r="A269" s="37">
        <v>44860.72225148148</v>
      </c>
      <c r="B269" s="38" t="s">
        <v>827</v>
      </c>
      <c r="C269" s="38" t="s">
        <v>1721</v>
      </c>
      <c r="D269" s="38" t="s">
        <v>95</v>
      </c>
      <c r="F269" s="38" t="s">
        <v>2264</v>
      </c>
      <c r="J269" s="38" t="s">
        <v>2716</v>
      </c>
      <c r="K269" s="38" t="s">
        <v>2717</v>
      </c>
      <c r="L269" s="38">
        <v>1.0</v>
      </c>
      <c r="N269" s="38" t="s">
        <v>2718</v>
      </c>
      <c r="O269" s="84"/>
      <c r="R269" s="90">
        <v>223.0</v>
      </c>
      <c r="T269" s="90">
        <v>223.0</v>
      </c>
      <c r="V269" s="94" t="s">
        <v>1627</v>
      </c>
    </row>
    <row r="270">
      <c r="A270" s="37">
        <v>44861.33795274305</v>
      </c>
      <c r="B270" s="38" t="s">
        <v>827</v>
      </c>
      <c r="C270" s="38" t="s">
        <v>2719</v>
      </c>
      <c r="D270" s="38" t="s">
        <v>35</v>
      </c>
      <c r="F270" s="38" t="s">
        <v>2264</v>
      </c>
      <c r="J270" s="38" t="s">
        <v>2720</v>
      </c>
      <c r="K270" s="38" t="s">
        <v>2721</v>
      </c>
      <c r="L270" s="38">
        <v>1.0</v>
      </c>
      <c r="N270" s="38" t="s">
        <v>2722</v>
      </c>
      <c r="O270" s="84"/>
      <c r="R270" s="90">
        <v>224.0</v>
      </c>
      <c r="T270" s="90">
        <v>224.0</v>
      </c>
      <c r="V270" s="93" t="s">
        <v>1505</v>
      </c>
    </row>
    <row r="271">
      <c r="A271" s="37">
        <v>44861.42913434027</v>
      </c>
      <c r="B271" s="38" t="s">
        <v>827</v>
      </c>
      <c r="C271" s="38" t="s">
        <v>1988</v>
      </c>
      <c r="D271" s="38" t="s">
        <v>40</v>
      </c>
      <c r="F271" s="38" t="s">
        <v>2264</v>
      </c>
      <c r="J271" s="38" t="s">
        <v>1249</v>
      </c>
      <c r="K271" s="38" t="s">
        <v>2723</v>
      </c>
      <c r="L271" s="38">
        <v>1.0</v>
      </c>
      <c r="N271" s="38" t="s">
        <v>2327</v>
      </c>
      <c r="O271" s="84"/>
      <c r="R271" s="90">
        <v>225.0</v>
      </c>
      <c r="T271" s="90">
        <v>225.0</v>
      </c>
      <c r="V271" s="92" t="s">
        <v>1621</v>
      </c>
    </row>
    <row r="272">
      <c r="A272" s="37">
        <v>44861.43402652778</v>
      </c>
      <c r="B272" s="38" t="s">
        <v>827</v>
      </c>
      <c r="C272" s="38" t="s">
        <v>2724</v>
      </c>
      <c r="D272" s="38" t="s">
        <v>35</v>
      </c>
      <c r="F272" s="38" t="s">
        <v>2264</v>
      </c>
      <c r="J272" s="38" t="s">
        <v>2720</v>
      </c>
      <c r="K272" s="38" t="s">
        <v>2725</v>
      </c>
      <c r="L272" s="38">
        <v>1.0</v>
      </c>
      <c r="N272" s="38" t="s">
        <v>2722</v>
      </c>
      <c r="O272" s="84"/>
      <c r="R272" s="90">
        <v>226.0</v>
      </c>
      <c r="T272" s="90">
        <v>226.0</v>
      </c>
      <c r="V272" s="92" t="s">
        <v>1621</v>
      </c>
    </row>
    <row r="273">
      <c r="A273" s="37">
        <v>44861.43613136574</v>
      </c>
      <c r="B273" s="38" t="s">
        <v>827</v>
      </c>
      <c r="C273" s="38" t="s">
        <v>1975</v>
      </c>
      <c r="D273" s="38" t="s">
        <v>916</v>
      </c>
      <c r="F273" s="38" t="s">
        <v>2274</v>
      </c>
      <c r="G273" s="38" t="s">
        <v>2726</v>
      </c>
      <c r="H273" s="38" t="s">
        <v>2727</v>
      </c>
      <c r="N273" s="38" t="s">
        <v>89</v>
      </c>
      <c r="O273" s="84"/>
      <c r="R273" s="90">
        <v>227.0</v>
      </c>
      <c r="T273" s="90">
        <v>227.0</v>
      </c>
      <c r="V273" s="94" t="s">
        <v>1627</v>
      </c>
    </row>
    <row r="274">
      <c r="A274" s="37">
        <v>44861.45884649306</v>
      </c>
      <c r="B274" s="38" t="s">
        <v>827</v>
      </c>
      <c r="C274" s="38" t="s">
        <v>1713</v>
      </c>
      <c r="D274" s="38" t="s">
        <v>44</v>
      </c>
      <c r="F274" s="38" t="s">
        <v>2274</v>
      </c>
      <c r="G274" s="38" t="s">
        <v>2728</v>
      </c>
      <c r="H274" s="38" t="s">
        <v>2729</v>
      </c>
      <c r="N274" s="38" t="s">
        <v>2730</v>
      </c>
      <c r="O274" s="84"/>
      <c r="R274" s="90">
        <v>228.0</v>
      </c>
      <c r="T274" s="90">
        <v>228.0</v>
      </c>
      <c r="V274" s="94" t="s">
        <v>1627</v>
      </c>
    </row>
    <row r="275">
      <c r="A275" s="37">
        <v>44862.32331600694</v>
      </c>
      <c r="B275" s="38" t="s">
        <v>827</v>
      </c>
      <c r="C275" s="38" t="s">
        <v>1758</v>
      </c>
      <c r="D275" s="38" t="s">
        <v>16</v>
      </c>
      <c r="F275" s="38" t="s">
        <v>2264</v>
      </c>
      <c r="J275" s="38" t="s">
        <v>2731</v>
      </c>
      <c r="K275" s="38" t="s">
        <v>2732</v>
      </c>
      <c r="L275" s="38">
        <v>1.0</v>
      </c>
      <c r="N275" s="38" t="s">
        <v>2733</v>
      </c>
      <c r="O275" s="84"/>
      <c r="R275" s="90">
        <v>229.0</v>
      </c>
      <c r="T275" s="90">
        <v>229.0</v>
      </c>
      <c r="V275" s="93" t="s">
        <v>1505</v>
      </c>
    </row>
    <row r="276">
      <c r="A276" s="37">
        <v>44866.39024842593</v>
      </c>
      <c r="B276" s="38" t="s">
        <v>827</v>
      </c>
      <c r="C276" s="38" t="s">
        <v>1633</v>
      </c>
      <c r="D276" s="38" t="s">
        <v>316</v>
      </c>
      <c r="F276" s="38" t="s">
        <v>2264</v>
      </c>
      <c r="J276" s="38" t="s">
        <v>2581</v>
      </c>
      <c r="K276" s="38" t="s">
        <v>2734</v>
      </c>
      <c r="L276" s="38">
        <v>1.0</v>
      </c>
      <c r="M276" s="38" t="s">
        <v>2735</v>
      </c>
      <c r="N276" s="38" t="s">
        <v>320</v>
      </c>
      <c r="O276" s="84"/>
      <c r="R276" s="90">
        <v>230.0</v>
      </c>
      <c r="T276" s="90">
        <v>230.0</v>
      </c>
      <c r="V276" s="94" t="s">
        <v>1627</v>
      </c>
    </row>
    <row r="277">
      <c r="A277" s="37">
        <v>44866.42459019676</v>
      </c>
      <c r="B277" s="38" t="s">
        <v>827</v>
      </c>
      <c r="C277" s="38" t="s">
        <v>2573</v>
      </c>
      <c r="D277" s="38" t="s">
        <v>44</v>
      </c>
      <c r="F277" s="38" t="s">
        <v>2264</v>
      </c>
      <c r="J277" s="38" t="s">
        <v>306</v>
      </c>
      <c r="K277" s="38" t="s">
        <v>2736</v>
      </c>
      <c r="L277" s="38">
        <v>1.0</v>
      </c>
      <c r="N277" s="38" t="s">
        <v>42</v>
      </c>
      <c r="O277" s="84"/>
      <c r="R277" s="90">
        <v>231.0</v>
      </c>
      <c r="T277" s="90">
        <v>231.0</v>
      </c>
      <c r="V277" s="92" t="s">
        <v>1621</v>
      </c>
    </row>
    <row r="278">
      <c r="A278" s="37">
        <v>44866.631122673614</v>
      </c>
      <c r="B278" s="38" t="s">
        <v>827</v>
      </c>
      <c r="C278" s="38" t="s">
        <v>2737</v>
      </c>
      <c r="D278" s="38" t="s">
        <v>1261</v>
      </c>
      <c r="F278" s="38" t="s">
        <v>2264</v>
      </c>
      <c r="J278" s="38" t="s">
        <v>10</v>
      </c>
      <c r="K278" s="38" t="s">
        <v>2738</v>
      </c>
      <c r="L278" s="38">
        <v>1.0</v>
      </c>
      <c r="N278" s="38" t="s">
        <v>2739</v>
      </c>
      <c r="O278" s="84"/>
      <c r="R278" s="90">
        <v>232.0</v>
      </c>
      <c r="T278" s="90">
        <v>232.0</v>
      </c>
      <c r="V278" s="93" t="s">
        <v>1505</v>
      </c>
    </row>
    <row r="279">
      <c r="A279" s="37">
        <v>44867.42154607639</v>
      </c>
      <c r="B279" s="38" t="s">
        <v>827</v>
      </c>
      <c r="C279" s="38" t="s">
        <v>2740</v>
      </c>
      <c r="D279" s="38" t="s">
        <v>316</v>
      </c>
      <c r="F279" s="38" t="s">
        <v>2264</v>
      </c>
      <c r="J279" s="38" t="s">
        <v>2741</v>
      </c>
      <c r="K279" s="38" t="s">
        <v>2742</v>
      </c>
      <c r="L279" s="38">
        <v>3.0</v>
      </c>
      <c r="M279" s="85" t="s">
        <v>2743</v>
      </c>
      <c r="N279" s="38" t="s">
        <v>2744</v>
      </c>
      <c r="O279" s="84"/>
      <c r="R279" s="90">
        <v>233.0</v>
      </c>
      <c r="T279" s="90">
        <v>233.0</v>
      </c>
      <c r="V279" s="93" t="s">
        <v>1505</v>
      </c>
    </row>
    <row r="280">
      <c r="A280" s="37">
        <v>44868.31063118056</v>
      </c>
      <c r="B280" s="38" t="s">
        <v>827</v>
      </c>
      <c r="C280" s="38" t="s">
        <v>2745</v>
      </c>
      <c r="D280" s="38" t="s">
        <v>35</v>
      </c>
      <c r="F280" s="38" t="s">
        <v>2274</v>
      </c>
      <c r="G280" s="38" t="s">
        <v>2275</v>
      </c>
      <c r="H280" s="38" t="s">
        <v>2746</v>
      </c>
      <c r="N280" s="38" t="s">
        <v>2722</v>
      </c>
      <c r="O280" s="84"/>
      <c r="R280" s="90">
        <v>234.0</v>
      </c>
      <c r="T280" s="90">
        <v>234.0</v>
      </c>
      <c r="V280" s="93" t="s">
        <v>1505</v>
      </c>
    </row>
    <row r="281">
      <c r="A281" s="38" t="s">
        <v>336</v>
      </c>
      <c r="B281" s="38" t="s">
        <v>827</v>
      </c>
      <c r="C281" s="38" t="s">
        <v>2670</v>
      </c>
      <c r="D281" s="38" t="s">
        <v>316</v>
      </c>
      <c r="F281" s="38" t="s">
        <v>2274</v>
      </c>
      <c r="G281" s="38" t="s">
        <v>2747</v>
      </c>
      <c r="H281" s="38" t="s">
        <v>2748</v>
      </c>
      <c r="N281" s="38" t="s">
        <v>2673</v>
      </c>
      <c r="O281" s="84"/>
      <c r="R281" s="90">
        <v>235.0</v>
      </c>
      <c r="T281" s="90">
        <v>235.0</v>
      </c>
      <c r="V281" s="93" t="s">
        <v>1505</v>
      </c>
    </row>
    <row r="282">
      <c r="A282" s="37">
        <v>44873.37729171297</v>
      </c>
      <c r="B282" s="38" t="s">
        <v>827</v>
      </c>
      <c r="C282" s="38" t="s">
        <v>2670</v>
      </c>
      <c r="D282" s="38" t="s">
        <v>316</v>
      </c>
      <c r="F282" s="38" t="s">
        <v>2264</v>
      </c>
      <c r="J282" s="38" t="s">
        <v>2747</v>
      </c>
      <c r="K282" s="38" t="s">
        <v>2749</v>
      </c>
      <c r="L282" s="38">
        <v>1.0</v>
      </c>
      <c r="M282" s="85" t="s">
        <v>2750</v>
      </c>
      <c r="N282" s="38" t="s">
        <v>2673</v>
      </c>
      <c r="O282" s="84"/>
      <c r="R282" s="90">
        <v>236.0</v>
      </c>
      <c r="T282" s="90">
        <v>236.0</v>
      </c>
      <c r="V282" s="93" t="s">
        <v>1505</v>
      </c>
    </row>
    <row r="283">
      <c r="A283" s="37">
        <v>44873.40865902777</v>
      </c>
      <c r="B283" s="38" t="s">
        <v>827</v>
      </c>
      <c r="C283" s="38" t="s">
        <v>1657</v>
      </c>
      <c r="D283" s="38" t="s">
        <v>95</v>
      </c>
      <c r="F283" s="38" t="s">
        <v>2264</v>
      </c>
      <c r="J283" s="38" t="s">
        <v>1396</v>
      </c>
      <c r="K283" s="38" t="s">
        <v>2751</v>
      </c>
      <c r="L283" s="38">
        <v>1.0</v>
      </c>
      <c r="N283" s="38" t="s">
        <v>1120</v>
      </c>
      <c r="O283" s="84"/>
      <c r="R283" s="90">
        <v>237.0</v>
      </c>
      <c r="T283" s="90">
        <v>237.0</v>
      </c>
      <c r="V283" s="94" t="s">
        <v>1627</v>
      </c>
    </row>
    <row r="284">
      <c r="A284" s="37">
        <v>44873.442261805554</v>
      </c>
      <c r="B284" s="38" t="s">
        <v>827</v>
      </c>
      <c r="C284" s="38" t="s">
        <v>2752</v>
      </c>
      <c r="D284" s="38" t="s">
        <v>316</v>
      </c>
      <c r="F284" s="38" t="s">
        <v>2264</v>
      </c>
      <c r="J284" s="38" t="s">
        <v>883</v>
      </c>
      <c r="K284" s="38" t="s">
        <v>2753</v>
      </c>
      <c r="L284" s="38">
        <v>1.0</v>
      </c>
      <c r="M284" s="85" t="s">
        <v>2754</v>
      </c>
      <c r="N284" s="38" t="s">
        <v>2755</v>
      </c>
      <c r="O284" s="84"/>
      <c r="R284" s="90">
        <v>238.0</v>
      </c>
      <c r="T284" s="90">
        <v>238.0</v>
      </c>
      <c r="V284" s="94" t="s">
        <v>1627</v>
      </c>
    </row>
    <row r="285">
      <c r="A285" s="37">
        <v>44873.473874999996</v>
      </c>
      <c r="B285" s="38" t="s">
        <v>827</v>
      </c>
      <c r="C285" s="38" t="s">
        <v>2569</v>
      </c>
      <c r="D285" s="38" t="s">
        <v>196</v>
      </c>
      <c r="F285" s="38" t="s">
        <v>2264</v>
      </c>
      <c r="J285" s="38" t="s">
        <v>2756</v>
      </c>
      <c r="K285" s="38" t="s">
        <v>2757</v>
      </c>
      <c r="L285" s="38" t="s">
        <v>2758</v>
      </c>
      <c r="N285" s="38" t="s">
        <v>2759</v>
      </c>
      <c r="O285" s="84"/>
      <c r="R285" s="90">
        <v>239.0</v>
      </c>
      <c r="T285" s="90">
        <v>239.0</v>
      </c>
      <c r="V285" s="94" t="s">
        <v>1627</v>
      </c>
    </row>
    <row r="286">
      <c r="A286" s="37">
        <v>44873.544422430554</v>
      </c>
      <c r="B286" s="38" t="s">
        <v>827</v>
      </c>
      <c r="C286" s="38" t="s">
        <v>2760</v>
      </c>
      <c r="D286" s="38" t="s">
        <v>316</v>
      </c>
      <c r="F286" s="38" t="s">
        <v>2264</v>
      </c>
      <c r="J286" s="38" t="s">
        <v>2761</v>
      </c>
      <c r="K286" s="38" t="s">
        <v>2762</v>
      </c>
      <c r="L286" s="38" t="s">
        <v>2763</v>
      </c>
      <c r="M286" s="85" t="s">
        <v>2764</v>
      </c>
      <c r="N286" s="38" t="s">
        <v>2765</v>
      </c>
      <c r="O286" s="84"/>
      <c r="R286" s="90">
        <v>240.0</v>
      </c>
      <c r="T286" s="90">
        <v>240.0</v>
      </c>
      <c r="V286" s="94" t="s">
        <v>1627</v>
      </c>
    </row>
    <row r="287">
      <c r="A287" s="37">
        <v>44874.291057106486</v>
      </c>
      <c r="B287" s="38" t="s">
        <v>827</v>
      </c>
      <c r="C287" s="38" t="s">
        <v>1643</v>
      </c>
      <c r="D287" s="38" t="s">
        <v>40</v>
      </c>
      <c r="F287" s="38" t="s">
        <v>2264</v>
      </c>
      <c r="J287" s="38" t="s">
        <v>292</v>
      </c>
      <c r="K287" s="38" t="s">
        <v>2766</v>
      </c>
      <c r="L287" s="38">
        <v>1.0</v>
      </c>
      <c r="N287" s="38" t="s">
        <v>2498</v>
      </c>
      <c r="O287" s="84"/>
      <c r="R287" s="90">
        <v>241.0</v>
      </c>
      <c r="T287" s="90">
        <v>241.0</v>
      </c>
      <c r="V287" s="93" t="s">
        <v>1505</v>
      </c>
    </row>
    <row r="288">
      <c r="A288" s="37">
        <v>44874.50626430556</v>
      </c>
      <c r="B288" s="38" t="s">
        <v>827</v>
      </c>
      <c r="C288" s="38" t="s">
        <v>1717</v>
      </c>
      <c r="D288" s="38" t="s">
        <v>16</v>
      </c>
      <c r="F288" s="38" t="s">
        <v>2274</v>
      </c>
      <c r="G288" s="38" t="s">
        <v>2241</v>
      </c>
      <c r="H288" s="38" t="s">
        <v>2767</v>
      </c>
      <c r="N288" s="38" t="s">
        <v>24</v>
      </c>
      <c r="O288" s="84"/>
      <c r="R288" s="90">
        <v>242.0</v>
      </c>
      <c r="T288" s="90">
        <v>242.0</v>
      </c>
      <c r="V288" s="94" t="s">
        <v>1627</v>
      </c>
    </row>
    <row r="289">
      <c r="A289" s="37">
        <v>44875.358845925926</v>
      </c>
      <c r="B289" s="38" t="s">
        <v>827</v>
      </c>
      <c r="C289" s="38" t="s">
        <v>2768</v>
      </c>
      <c r="D289" s="38" t="s">
        <v>95</v>
      </c>
      <c r="F289" s="38" t="s">
        <v>2264</v>
      </c>
      <c r="J289" s="38" t="s">
        <v>2769</v>
      </c>
      <c r="K289" s="38" t="s">
        <v>2770</v>
      </c>
      <c r="L289" s="38">
        <v>1.0</v>
      </c>
      <c r="N289" s="38" t="s">
        <v>2771</v>
      </c>
      <c r="O289" s="84"/>
      <c r="R289" s="90">
        <v>243.0</v>
      </c>
      <c r="T289" s="90">
        <v>243.0</v>
      </c>
      <c r="V289" s="93" t="s">
        <v>1505</v>
      </c>
    </row>
    <row r="290">
      <c r="A290" s="37">
        <v>44876.55722672454</v>
      </c>
      <c r="B290" s="38" t="s">
        <v>827</v>
      </c>
      <c r="C290" s="38" t="s">
        <v>1646</v>
      </c>
      <c r="D290" s="38" t="s">
        <v>52</v>
      </c>
      <c r="F290" s="38" t="s">
        <v>2274</v>
      </c>
      <c r="G290" s="38" t="s">
        <v>2772</v>
      </c>
      <c r="H290" s="38" t="s">
        <v>2773</v>
      </c>
      <c r="N290" s="38" t="s">
        <v>419</v>
      </c>
      <c r="O290" s="84"/>
      <c r="R290" s="90">
        <v>244.0</v>
      </c>
      <c r="T290" s="90">
        <v>244.0</v>
      </c>
      <c r="V290" s="93" t="s">
        <v>1505</v>
      </c>
    </row>
    <row r="291">
      <c r="A291" s="37">
        <v>44876.792162303245</v>
      </c>
      <c r="B291" s="38" t="s">
        <v>827</v>
      </c>
      <c r="C291" s="38" t="s">
        <v>2670</v>
      </c>
      <c r="D291" s="38" t="s">
        <v>316</v>
      </c>
      <c r="F291" s="38" t="s">
        <v>2274</v>
      </c>
      <c r="G291" s="38" t="s">
        <v>2747</v>
      </c>
      <c r="H291" s="38" t="s">
        <v>2774</v>
      </c>
      <c r="N291" s="38" t="s">
        <v>2673</v>
      </c>
      <c r="O291" s="84"/>
      <c r="R291" s="90">
        <v>245.0</v>
      </c>
      <c r="T291" s="90">
        <v>245.0</v>
      </c>
      <c r="V291" s="94" t="s">
        <v>1627</v>
      </c>
    </row>
    <row r="292">
      <c r="A292" s="37">
        <v>44879.31777959491</v>
      </c>
      <c r="B292" s="38" t="s">
        <v>827</v>
      </c>
      <c r="C292" s="38" t="s">
        <v>2737</v>
      </c>
      <c r="D292" s="38" t="s">
        <v>1261</v>
      </c>
      <c r="F292" s="38" t="s">
        <v>2274</v>
      </c>
      <c r="G292" s="38" t="s">
        <v>2275</v>
      </c>
      <c r="H292" s="38" t="s">
        <v>2775</v>
      </c>
      <c r="N292" s="38" t="s">
        <v>2776</v>
      </c>
      <c r="O292" s="84"/>
      <c r="R292" s="90">
        <v>246.0</v>
      </c>
      <c r="T292" s="90">
        <v>246.0</v>
      </c>
      <c r="V292" s="93" t="s">
        <v>1505</v>
      </c>
    </row>
    <row r="293">
      <c r="A293" s="37">
        <v>44879.41348116898</v>
      </c>
      <c r="B293" s="38" t="s">
        <v>827</v>
      </c>
      <c r="C293" s="38" t="s">
        <v>2626</v>
      </c>
      <c r="D293" s="38" t="s">
        <v>196</v>
      </c>
      <c r="F293" s="38" t="s">
        <v>2274</v>
      </c>
      <c r="G293" s="38" t="s">
        <v>2777</v>
      </c>
      <c r="H293" s="38" t="s">
        <v>2778</v>
      </c>
      <c r="N293" s="38" t="s">
        <v>120</v>
      </c>
      <c r="O293" s="84"/>
      <c r="R293" s="90">
        <v>247.0</v>
      </c>
      <c r="T293" s="90">
        <v>247.0</v>
      </c>
      <c r="V293" s="94" t="s">
        <v>1627</v>
      </c>
    </row>
    <row r="294">
      <c r="A294" s="37">
        <v>44879.41763818287</v>
      </c>
      <c r="B294" s="38" t="s">
        <v>827</v>
      </c>
      <c r="C294" s="38" t="s">
        <v>2626</v>
      </c>
      <c r="D294" s="38" t="s">
        <v>196</v>
      </c>
      <c r="F294" s="38" t="s">
        <v>2264</v>
      </c>
      <c r="J294" s="38" t="s">
        <v>2779</v>
      </c>
      <c r="K294" s="38" t="s">
        <v>2780</v>
      </c>
      <c r="L294" s="38">
        <v>1.0</v>
      </c>
      <c r="N294" s="38" t="s">
        <v>120</v>
      </c>
      <c r="O294" s="84"/>
      <c r="R294" s="90">
        <v>248.0</v>
      </c>
      <c r="T294" s="90">
        <v>248.0</v>
      </c>
      <c r="V294" s="94" t="s">
        <v>1627</v>
      </c>
    </row>
    <row r="295">
      <c r="A295" s="37">
        <v>44879.470271875005</v>
      </c>
      <c r="B295" s="38" t="s">
        <v>827</v>
      </c>
      <c r="C295" s="38" t="s">
        <v>2745</v>
      </c>
      <c r="D295" s="38" t="s">
        <v>35</v>
      </c>
      <c r="F295" s="38" t="s">
        <v>2274</v>
      </c>
      <c r="G295" s="38" t="s">
        <v>2275</v>
      </c>
      <c r="H295" s="38" t="s">
        <v>2781</v>
      </c>
      <c r="N295" s="38" t="s">
        <v>2722</v>
      </c>
      <c r="O295" s="84"/>
      <c r="R295" s="90">
        <v>249.0</v>
      </c>
      <c r="T295" s="90">
        <v>249.0</v>
      </c>
      <c r="V295" s="94" t="s">
        <v>1627</v>
      </c>
    </row>
    <row r="296">
      <c r="A296" s="37">
        <v>44880.617447233795</v>
      </c>
      <c r="B296" s="38" t="s">
        <v>827</v>
      </c>
      <c r="C296" s="38" t="s">
        <v>1713</v>
      </c>
      <c r="D296" s="38" t="s">
        <v>44</v>
      </c>
      <c r="F296" s="38" t="s">
        <v>2274</v>
      </c>
      <c r="G296" s="38" t="s">
        <v>2782</v>
      </c>
      <c r="H296" s="38" t="s">
        <v>2783</v>
      </c>
      <c r="N296" s="38" t="s">
        <v>2272</v>
      </c>
      <c r="O296" s="84"/>
      <c r="R296" s="90">
        <v>250.0</v>
      </c>
      <c r="T296" s="90">
        <v>250.0</v>
      </c>
      <c r="V296" s="94" t="s">
        <v>1627</v>
      </c>
    </row>
    <row r="297">
      <c r="A297" s="37">
        <v>44880.624553518515</v>
      </c>
      <c r="B297" s="38" t="s">
        <v>827</v>
      </c>
      <c r="C297" s="38" t="s">
        <v>2595</v>
      </c>
      <c r="D297" s="38" t="s">
        <v>52</v>
      </c>
      <c r="F297" s="38" t="s">
        <v>2274</v>
      </c>
      <c r="G297" s="38" t="s">
        <v>2784</v>
      </c>
      <c r="H297" s="38" t="s">
        <v>2784</v>
      </c>
      <c r="N297" s="38" t="s">
        <v>2785</v>
      </c>
      <c r="O297" s="84"/>
      <c r="R297" s="90">
        <v>251.0</v>
      </c>
      <c r="T297" s="90">
        <v>251.0</v>
      </c>
      <c r="V297" s="94" t="s">
        <v>1627</v>
      </c>
    </row>
    <row r="298">
      <c r="A298" s="37">
        <v>44880.62511217593</v>
      </c>
      <c r="B298" s="38" t="s">
        <v>827</v>
      </c>
      <c r="C298" s="38" t="s">
        <v>1646</v>
      </c>
      <c r="D298" s="38" t="s">
        <v>52</v>
      </c>
      <c r="F298" s="38" t="s">
        <v>2274</v>
      </c>
      <c r="G298" s="38" t="s">
        <v>2786</v>
      </c>
      <c r="H298" s="38" t="s">
        <v>2787</v>
      </c>
      <c r="N298" s="38" t="s">
        <v>419</v>
      </c>
      <c r="O298" s="84"/>
      <c r="R298" s="90">
        <v>252.0</v>
      </c>
      <c r="T298" s="90">
        <v>252.0</v>
      </c>
      <c r="V298" s="94" t="s">
        <v>1627</v>
      </c>
    </row>
    <row r="299">
      <c r="A299" s="37">
        <v>44880.72844806713</v>
      </c>
      <c r="B299" s="38" t="s">
        <v>827</v>
      </c>
      <c r="C299" s="38" t="s">
        <v>2670</v>
      </c>
      <c r="D299" s="38" t="s">
        <v>316</v>
      </c>
      <c r="F299" s="38" t="s">
        <v>2264</v>
      </c>
      <c r="J299" s="38" t="s">
        <v>2747</v>
      </c>
      <c r="K299" s="38" t="s">
        <v>2788</v>
      </c>
      <c r="L299" s="38">
        <v>1.0</v>
      </c>
      <c r="M299" s="85" t="s">
        <v>2789</v>
      </c>
      <c r="N299" s="38" t="s">
        <v>2673</v>
      </c>
      <c r="O299" s="84"/>
      <c r="R299" s="90">
        <v>253.0</v>
      </c>
      <c r="T299" s="90">
        <v>253.0</v>
      </c>
      <c r="V299" s="93" t="s">
        <v>1505</v>
      </c>
    </row>
    <row r="300">
      <c r="A300" s="37">
        <v>44880.732252835645</v>
      </c>
      <c r="B300" s="38" t="s">
        <v>827</v>
      </c>
      <c r="C300" s="38" t="s">
        <v>2670</v>
      </c>
      <c r="D300" s="38" t="s">
        <v>316</v>
      </c>
      <c r="F300" s="38" t="s">
        <v>2264</v>
      </c>
      <c r="J300" s="38" t="s">
        <v>2790</v>
      </c>
      <c r="K300" s="38" t="s">
        <v>2788</v>
      </c>
      <c r="L300" s="38">
        <v>1.0</v>
      </c>
      <c r="M300" s="106" t="s">
        <v>2791</v>
      </c>
      <c r="N300" s="38" t="s">
        <v>2673</v>
      </c>
      <c r="O300" s="84"/>
      <c r="R300" s="90">
        <v>254.0</v>
      </c>
      <c r="T300" s="90">
        <v>254.0</v>
      </c>
      <c r="V300" s="93" t="s">
        <v>1505</v>
      </c>
    </row>
    <row r="301">
      <c r="A301" s="37">
        <v>44881.39402939814</v>
      </c>
      <c r="B301" s="38" t="s">
        <v>827</v>
      </c>
      <c r="C301" s="38" t="s">
        <v>2760</v>
      </c>
      <c r="D301" s="38" t="s">
        <v>316</v>
      </c>
      <c r="F301" s="38" t="s">
        <v>2264</v>
      </c>
      <c r="J301" s="38" t="s">
        <v>883</v>
      </c>
      <c r="K301" s="38" t="s">
        <v>2792</v>
      </c>
      <c r="L301" s="38">
        <v>1.0</v>
      </c>
      <c r="N301" s="38" t="s">
        <v>2793</v>
      </c>
      <c r="O301" s="84"/>
      <c r="R301" s="90">
        <v>255.0</v>
      </c>
      <c r="T301" s="90">
        <v>255.0</v>
      </c>
      <c r="V301" s="93" t="s">
        <v>1505</v>
      </c>
    </row>
    <row r="302">
      <c r="A302" s="37">
        <v>44881.47114922454</v>
      </c>
      <c r="B302" s="38" t="s">
        <v>827</v>
      </c>
      <c r="C302" s="38" t="s">
        <v>1713</v>
      </c>
      <c r="D302" s="38" t="s">
        <v>44</v>
      </c>
      <c r="F302" s="38" t="s">
        <v>2274</v>
      </c>
      <c r="G302" s="38" t="s">
        <v>2249</v>
      </c>
      <c r="H302" s="38" t="s">
        <v>2794</v>
      </c>
      <c r="N302" s="38" t="s">
        <v>2272</v>
      </c>
      <c r="O302" s="84"/>
      <c r="R302" s="90">
        <v>256.0</v>
      </c>
      <c r="T302" s="90">
        <v>256.0</v>
      </c>
      <c r="V302" s="94" t="s">
        <v>1627</v>
      </c>
    </row>
    <row r="303">
      <c r="A303" s="37">
        <v>44881.49948239583</v>
      </c>
      <c r="B303" s="38" t="s">
        <v>827</v>
      </c>
      <c r="C303" s="38" t="s">
        <v>1717</v>
      </c>
      <c r="D303" s="38" t="s">
        <v>16</v>
      </c>
      <c r="F303" s="38" t="s">
        <v>2274</v>
      </c>
      <c r="G303" s="38" t="s">
        <v>2241</v>
      </c>
      <c r="H303" s="38" t="s">
        <v>2795</v>
      </c>
      <c r="N303" s="38" t="s">
        <v>24</v>
      </c>
      <c r="O303" s="84"/>
      <c r="R303" s="90">
        <v>257.0</v>
      </c>
      <c r="T303" s="90">
        <v>257.0</v>
      </c>
      <c r="V303" s="94" t="s">
        <v>1627</v>
      </c>
    </row>
    <row r="304">
      <c r="A304" s="37">
        <v>44882.617500277775</v>
      </c>
      <c r="B304" s="38" t="s">
        <v>827</v>
      </c>
      <c r="C304" s="38" t="s">
        <v>1634</v>
      </c>
      <c r="D304" s="38" t="s">
        <v>316</v>
      </c>
      <c r="F304" s="38" t="s">
        <v>2264</v>
      </c>
      <c r="J304" s="38" t="s">
        <v>883</v>
      </c>
      <c r="K304" s="38" t="s">
        <v>2402</v>
      </c>
      <c r="L304" s="38">
        <v>1.0</v>
      </c>
      <c r="M304" s="106" t="s">
        <v>2796</v>
      </c>
      <c r="N304" s="38" t="s">
        <v>312</v>
      </c>
      <c r="O304" s="84"/>
      <c r="R304" s="90">
        <v>258.0</v>
      </c>
      <c r="T304" s="90">
        <v>258.0</v>
      </c>
      <c r="V304" s="94" t="s">
        <v>1627</v>
      </c>
    </row>
    <row r="305">
      <c r="A305" s="37">
        <v>44882.63585173611</v>
      </c>
      <c r="B305" s="38" t="s">
        <v>827</v>
      </c>
      <c r="C305" s="38" t="s">
        <v>2797</v>
      </c>
      <c r="D305" s="38" t="s">
        <v>316</v>
      </c>
      <c r="F305" s="38" t="s">
        <v>2264</v>
      </c>
      <c r="J305" s="38" t="s">
        <v>883</v>
      </c>
      <c r="K305" s="38" t="s">
        <v>2798</v>
      </c>
      <c r="L305" s="38">
        <v>1.0</v>
      </c>
      <c r="M305" s="106" t="s">
        <v>2799</v>
      </c>
      <c r="N305" s="38" t="s">
        <v>555</v>
      </c>
      <c r="O305" s="84"/>
      <c r="R305" s="90">
        <v>259.0</v>
      </c>
      <c r="T305" s="90">
        <v>259.0</v>
      </c>
      <c r="V305" s="93" t="s">
        <v>1505</v>
      </c>
    </row>
    <row r="306">
      <c r="A306" s="37">
        <v>44882.64399585648</v>
      </c>
      <c r="B306" s="38" t="s">
        <v>827</v>
      </c>
      <c r="C306" s="38" t="s">
        <v>2752</v>
      </c>
      <c r="D306" s="38" t="s">
        <v>316</v>
      </c>
      <c r="F306" s="38" t="s">
        <v>2264</v>
      </c>
      <c r="J306" s="38" t="s">
        <v>883</v>
      </c>
      <c r="K306" s="38" t="s">
        <v>2800</v>
      </c>
      <c r="L306" s="38">
        <v>1.0</v>
      </c>
      <c r="M306" s="106" t="s">
        <v>2801</v>
      </c>
      <c r="N306" s="38" t="s">
        <v>2755</v>
      </c>
      <c r="O306" s="84"/>
      <c r="R306" s="90">
        <v>260.0</v>
      </c>
      <c r="T306" s="90">
        <v>260.0</v>
      </c>
      <c r="V306" s="93" t="s">
        <v>1505</v>
      </c>
    </row>
    <row r="307">
      <c r="A307" s="37">
        <v>44886.41253523148</v>
      </c>
      <c r="B307" s="38" t="s">
        <v>827</v>
      </c>
      <c r="C307" s="38" t="s">
        <v>2760</v>
      </c>
      <c r="D307" s="38" t="s">
        <v>316</v>
      </c>
      <c r="F307" s="38" t="s">
        <v>2274</v>
      </c>
      <c r="G307" s="38" t="s">
        <v>2275</v>
      </c>
      <c r="H307" s="38" t="s">
        <v>2802</v>
      </c>
      <c r="N307" s="38" t="s">
        <v>2793</v>
      </c>
      <c r="O307" s="84"/>
      <c r="R307" s="90">
        <v>261.0</v>
      </c>
      <c r="T307" s="90">
        <v>261.0</v>
      </c>
      <c r="V307" s="94" t="s">
        <v>1627</v>
      </c>
    </row>
    <row r="308">
      <c r="A308" s="37">
        <v>44886.52837881944</v>
      </c>
      <c r="B308" s="38" t="s">
        <v>827</v>
      </c>
      <c r="C308" s="38" t="s">
        <v>1636</v>
      </c>
      <c r="D308" s="38" t="s">
        <v>40</v>
      </c>
      <c r="F308" s="38" t="s">
        <v>2274</v>
      </c>
      <c r="G308" s="38" t="s">
        <v>2275</v>
      </c>
      <c r="H308" s="38" t="s">
        <v>2803</v>
      </c>
      <c r="N308" s="38" t="s">
        <v>2319</v>
      </c>
      <c r="O308" s="84"/>
      <c r="R308" s="90">
        <v>262.0</v>
      </c>
      <c r="T308" s="90">
        <v>262.0</v>
      </c>
      <c r="V308" s="93" t="s">
        <v>1505</v>
      </c>
    </row>
    <row r="309">
      <c r="A309" s="37">
        <v>44886.532816736115</v>
      </c>
      <c r="B309" s="38" t="s">
        <v>827</v>
      </c>
      <c r="C309" s="38" t="s">
        <v>1634</v>
      </c>
      <c r="D309" s="38" t="s">
        <v>316</v>
      </c>
      <c r="F309" s="38" t="s">
        <v>2274</v>
      </c>
      <c r="G309" s="38" t="s">
        <v>2275</v>
      </c>
      <c r="H309" s="38" t="s">
        <v>2804</v>
      </c>
      <c r="N309" s="38" t="s">
        <v>312</v>
      </c>
      <c r="O309" s="84"/>
      <c r="R309" s="90">
        <v>263.0</v>
      </c>
      <c r="T309" s="90">
        <v>263.0</v>
      </c>
      <c r="V309" s="94" t="s">
        <v>1627</v>
      </c>
    </row>
    <row r="310">
      <c r="A310" s="37">
        <v>44886.60304523148</v>
      </c>
      <c r="B310" s="38" t="s">
        <v>827</v>
      </c>
      <c r="C310" s="38" t="s">
        <v>1640</v>
      </c>
      <c r="D310" s="38" t="s">
        <v>916</v>
      </c>
      <c r="F310" s="38" t="s">
        <v>2274</v>
      </c>
      <c r="G310" s="38" t="s">
        <v>2275</v>
      </c>
      <c r="H310" s="38" t="s">
        <v>2805</v>
      </c>
      <c r="N310" s="38" t="s">
        <v>2234</v>
      </c>
      <c r="O310" s="84"/>
      <c r="R310" s="90">
        <v>264.0</v>
      </c>
      <c r="T310" s="90">
        <v>264.0</v>
      </c>
      <c r="V310" s="93" t="s">
        <v>1505</v>
      </c>
    </row>
    <row r="311">
      <c r="A311" s="37">
        <v>44887.50508229167</v>
      </c>
      <c r="B311" s="38" t="s">
        <v>827</v>
      </c>
      <c r="C311" s="38" t="s">
        <v>1713</v>
      </c>
      <c r="D311" s="38" t="s">
        <v>44</v>
      </c>
      <c r="F311" s="38" t="s">
        <v>2274</v>
      </c>
      <c r="G311" s="38" t="s">
        <v>2249</v>
      </c>
      <c r="H311" s="38" t="s">
        <v>2806</v>
      </c>
      <c r="N311" s="38" t="s">
        <v>2272</v>
      </c>
      <c r="O311" s="84"/>
      <c r="R311" s="90">
        <v>265.0</v>
      </c>
      <c r="T311" s="90">
        <v>265.0</v>
      </c>
      <c r="V311" s="93" t="s">
        <v>1505</v>
      </c>
    </row>
    <row r="312">
      <c r="A312" s="37">
        <v>44888.66095071759</v>
      </c>
      <c r="B312" s="38" t="s">
        <v>827</v>
      </c>
      <c r="C312" s="38" t="s">
        <v>1713</v>
      </c>
      <c r="D312" s="38" t="s">
        <v>44</v>
      </c>
      <c r="F312" s="38" t="s">
        <v>2274</v>
      </c>
      <c r="G312" s="38" t="s">
        <v>2807</v>
      </c>
      <c r="H312" s="38" t="s">
        <v>2808</v>
      </c>
      <c r="N312" s="38" t="s">
        <v>2272</v>
      </c>
      <c r="O312" s="84"/>
      <c r="R312" s="90">
        <v>266.0</v>
      </c>
      <c r="T312" s="90">
        <v>266.0</v>
      </c>
      <c r="V312" s="93" t="s">
        <v>1505</v>
      </c>
    </row>
    <row r="313">
      <c r="A313" s="37">
        <v>44890.42868953704</v>
      </c>
      <c r="B313" s="38" t="s">
        <v>827</v>
      </c>
      <c r="C313" s="38" t="s">
        <v>2580</v>
      </c>
      <c r="D313" s="38" t="s">
        <v>870</v>
      </c>
      <c r="F313" s="38" t="s">
        <v>2264</v>
      </c>
      <c r="J313" s="38" t="s">
        <v>2809</v>
      </c>
      <c r="K313" s="38" t="s">
        <v>2810</v>
      </c>
      <c r="L313" s="38">
        <v>1.0</v>
      </c>
      <c r="N313" s="38" t="s">
        <v>2583</v>
      </c>
      <c r="O313" s="84"/>
      <c r="R313" s="90">
        <v>267.0</v>
      </c>
      <c r="T313" s="90">
        <v>267.0</v>
      </c>
      <c r="V313" s="93" t="s">
        <v>1505</v>
      </c>
    </row>
    <row r="314">
      <c r="A314" s="37">
        <v>44891.71276930555</v>
      </c>
      <c r="B314" s="38" t="s">
        <v>827</v>
      </c>
      <c r="C314" s="38" t="s">
        <v>2811</v>
      </c>
      <c r="D314" s="38" t="s">
        <v>870</v>
      </c>
      <c r="F314" s="38" t="s">
        <v>2274</v>
      </c>
      <c r="G314" s="38" t="s">
        <v>2241</v>
      </c>
      <c r="H314" s="38" t="s">
        <v>2812</v>
      </c>
      <c r="N314" s="38" t="s">
        <v>2813</v>
      </c>
      <c r="O314" s="84"/>
      <c r="R314" s="90">
        <v>268.0</v>
      </c>
      <c r="T314" s="90">
        <v>268.0</v>
      </c>
      <c r="V314" s="94" t="s">
        <v>1627</v>
      </c>
    </row>
    <row r="315">
      <c r="A315" s="37">
        <v>44893.353877824076</v>
      </c>
      <c r="B315" s="38" t="s">
        <v>827</v>
      </c>
      <c r="C315" s="38" t="s">
        <v>1709</v>
      </c>
      <c r="D315" s="38" t="s">
        <v>316</v>
      </c>
      <c r="F315" s="38" t="s">
        <v>2264</v>
      </c>
      <c r="J315" s="38" t="s">
        <v>883</v>
      </c>
      <c r="K315" s="38"/>
      <c r="L315" s="38">
        <v>1.0</v>
      </c>
      <c r="M315" s="106" t="s">
        <v>2814</v>
      </c>
      <c r="N315" s="38" t="s">
        <v>272</v>
      </c>
      <c r="O315" s="84"/>
      <c r="R315" s="90">
        <v>269.0</v>
      </c>
      <c r="T315" s="90">
        <v>269.0</v>
      </c>
      <c r="V315" s="93" t="s">
        <v>1505</v>
      </c>
    </row>
    <row r="316">
      <c r="A316" s="37">
        <v>44893.415940798615</v>
      </c>
      <c r="B316" s="38" t="s">
        <v>827</v>
      </c>
      <c r="C316" s="38" t="s">
        <v>2561</v>
      </c>
      <c r="D316" s="38" t="s">
        <v>1261</v>
      </c>
      <c r="F316" s="38" t="s">
        <v>2274</v>
      </c>
      <c r="G316" s="38" t="s">
        <v>2510</v>
      </c>
      <c r="H316" s="38" t="s">
        <v>2815</v>
      </c>
      <c r="N316" s="38" t="s">
        <v>2563</v>
      </c>
      <c r="O316" s="84"/>
      <c r="R316" s="90">
        <v>270.0</v>
      </c>
      <c r="T316" s="90">
        <v>270.0</v>
      </c>
      <c r="V316" s="94" t="s">
        <v>1627</v>
      </c>
    </row>
    <row r="317">
      <c r="A317" s="37">
        <v>44893.42124178241</v>
      </c>
      <c r="B317" s="38" t="s">
        <v>827</v>
      </c>
      <c r="C317" s="38" t="s">
        <v>1630</v>
      </c>
      <c r="D317" s="38" t="s">
        <v>316</v>
      </c>
      <c r="F317" s="38" t="s">
        <v>2264</v>
      </c>
      <c r="J317" s="38" t="s">
        <v>2816</v>
      </c>
      <c r="K317" s="38" t="s">
        <v>2817</v>
      </c>
      <c r="L317" s="38">
        <v>2.0</v>
      </c>
      <c r="N317" s="38" t="s">
        <v>558</v>
      </c>
      <c r="O317" s="84"/>
      <c r="R317" s="90">
        <v>271.0</v>
      </c>
      <c r="T317" s="90">
        <v>271.0</v>
      </c>
      <c r="V317" s="94" t="s">
        <v>1627</v>
      </c>
    </row>
    <row r="318">
      <c r="A318" s="37">
        <v>44893.44157350695</v>
      </c>
      <c r="B318" s="38" t="s">
        <v>827</v>
      </c>
      <c r="C318" s="38" t="s">
        <v>2556</v>
      </c>
      <c r="D318" s="38" t="s">
        <v>870</v>
      </c>
      <c r="F318" s="38" t="s">
        <v>2274</v>
      </c>
      <c r="G318" s="38" t="s">
        <v>2241</v>
      </c>
      <c r="H318" s="38" t="s">
        <v>2818</v>
      </c>
      <c r="N318" s="38" t="s">
        <v>2813</v>
      </c>
      <c r="O318" s="84"/>
      <c r="R318" s="90">
        <v>272.0</v>
      </c>
      <c r="T318" s="90">
        <v>272.0</v>
      </c>
      <c r="V318" s="94" t="s">
        <v>1627</v>
      </c>
    </row>
    <row r="319">
      <c r="A319" s="37">
        <v>44894.30656622685</v>
      </c>
      <c r="B319" s="38" t="s">
        <v>827</v>
      </c>
      <c r="C319" s="38" t="s">
        <v>2819</v>
      </c>
      <c r="D319" s="38" t="s">
        <v>916</v>
      </c>
      <c r="F319" s="38" t="s">
        <v>2264</v>
      </c>
      <c r="J319" s="38" t="s">
        <v>306</v>
      </c>
      <c r="K319" s="38" t="s">
        <v>2820</v>
      </c>
      <c r="L319" s="38">
        <v>1.0</v>
      </c>
      <c r="N319" s="38" t="s">
        <v>2821</v>
      </c>
      <c r="O319" s="84"/>
      <c r="R319" s="90">
        <v>273.0</v>
      </c>
      <c r="T319" s="90">
        <v>273.0</v>
      </c>
      <c r="V319" s="93" t="s">
        <v>1505</v>
      </c>
    </row>
    <row r="320">
      <c r="A320" s="37">
        <v>44894.35802584491</v>
      </c>
      <c r="B320" s="38" t="s">
        <v>827</v>
      </c>
      <c r="C320" s="38" t="s">
        <v>2822</v>
      </c>
      <c r="D320" s="38" t="s">
        <v>316</v>
      </c>
      <c r="F320" s="38" t="s">
        <v>2264</v>
      </c>
      <c r="J320" s="38" t="s">
        <v>883</v>
      </c>
      <c r="K320" s="38" t="s">
        <v>2823</v>
      </c>
      <c r="L320" s="38">
        <v>1.0</v>
      </c>
      <c r="M320" s="85" t="s">
        <v>2824</v>
      </c>
      <c r="N320" s="38" t="s">
        <v>2695</v>
      </c>
      <c r="O320" s="84"/>
      <c r="R320" s="90">
        <v>274.0</v>
      </c>
      <c r="T320" s="90">
        <v>274.0</v>
      </c>
      <c r="V320" s="93" t="s">
        <v>1505</v>
      </c>
    </row>
    <row r="321">
      <c r="A321" s="37">
        <v>44894.54799769676</v>
      </c>
      <c r="B321" s="38" t="s">
        <v>827</v>
      </c>
      <c r="C321" s="38" t="s">
        <v>1632</v>
      </c>
      <c r="D321" s="38" t="s">
        <v>916</v>
      </c>
      <c r="F321" s="38" t="s">
        <v>2264</v>
      </c>
      <c r="J321" s="38" t="s">
        <v>2825</v>
      </c>
      <c r="K321" s="38" t="s">
        <v>2826</v>
      </c>
      <c r="L321" s="38">
        <v>1.0</v>
      </c>
      <c r="N321" s="38" t="s">
        <v>390</v>
      </c>
      <c r="O321" s="84"/>
    </row>
    <row r="322">
      <c r="A322" s="37">
        <v>44894.618855520835</v>
      </c>
      <c r="B322" s="38" t="s">
        <v>827</v>
      </c>
      <c r="C322" s="38" t="s">
        <v>1632</v>
      </c>
      <c r="D322" s="38" t="s">
        <v>916</v>
      </c>
      <c r="F322" s="38" t="s">
        <v>2264</v>
      </c>
      <c r="J322" s="38" t="s">
        <v>2827</v>
      </c>
      <c r="K322" s="38" t="s">
        <v>2828</v>
      </c>
      <c r="L322" s="38" t="s">
        <v>2829</v>
      </c>
      <c r="N322" s="38" t="s">
        <v>2381</v>
      </c>
      <c r="O322" s="84"/>
    </row>
    <row r="323">
      <c r="A323" s="37">
        <v>44895.38493128472</v>
      </c>
      <c r="B323" s="38" t="s">
        <v>827</v>
      </c>
      <c r="C323" s="38" t="s">
        <v>1657</v>
      </c>
      <c r="D323" s="38" t="s">
        <v>95</v>
      </c>
      <c r="F323" s="38" t="s">
        <v>2274</v>
      </c>
      <c r="G323" s="38" t="s">
        <v>2232</v>
      </c>
      <c r="H323" s="38" t="s">
        <v>2830</v>
      </c>
      <c r="I323" s="85" t="s">
        <v>2831</v>
      </c>
      <c r="N323" s="38" t="s">
        <v>1120</v>
      </c>
      <c r="O323" s="84"/>
    </row>
    <row r="324">
      <c r="A324" s="37">
        <v>44895.46143920139</v>
      </c>
      <c r="B324" s="38" t="s">
        <v>827</v>
      </c>
      <c r="C324" s="38" t="s">
        <v>2832</v>
      </c>
      <c r="D324" s="38" t="s">
        <v>916</v>
      </c>
      <c r="F324" s="38" t="s">
        <v>2274</v>
      </c>
      <c r="G324" s="38" t="s">
        <v>2275</v>
      </c>
      <c r="H324" s="38" t="s">
        <v>2833</v>
      </c>
      <c r="N324" s="38" t="s">
        <v>89</v>
      </c>
      <c r="O324" s="84"/>
    </row>
    <row r="325">
      <c r="A325" s="37">
        <v>44896.46046342593</v>
      </c>
      <c r="B325" s="38" t="s">
        <v>827</v>
      </c>
      <c r="C325" s="38" t="s">
        <v>1717</v>
      </c>
      <c r="D325" s="38" t="s">
        <v>16</v>
      </c>
      <c r="F325" s="38" t="s">
        <v>2274</v>
      </c>
      <c r="G325" s="38" t="s">
        <v>2241</v>
      </c>
      <c r="H325" s="38" t="s">
        <v>2834</v>
      </c>
      <c r="N325" s="38" t="s">
        <v>24</v>
      </c>
      <c r="O325" s="84"/>
    </row>
    <row r="326">
      <c r="A326" s="37">
        <v>44896.47040842593</v>
      </c>
      <c r="B326" s="38" t="s">
        <v>827</v>
      </c>
      <c r="C326" s="38" t="s">
        <v>2561</v>
      </c>
      <c r="D326" s="38" t="s">
        <v>1261</v>
      </c>
      <c r="F326" s="38" t="s">
        <v>2274</v>
      </c>
      <c r="G326" s="38" t="s">
        <v>2835</v>
      </c>
      <c r="H326" s="38" t="s">
        <v>2836</v>
      </c>
      <c r="N326" s="38" t="s">
        <v>1260</v>
      </c>
      <c r="O326" s="84"/>
    </row>
    <row r="327">
      <c r="A327" s="37">
        <v>44896.5221712037</v>
      </c>
      <c r="B327" s="38" t="s">
        <v>827</v>
      </c>
      <c r="C327" s="38" t="s">
        <v>1634</v>
      </c>
      <c r="D327" s="38" t="s">
        <v>316</v>
      </c>
      <c r="F327" s="38" t="s">
        <v>2274</v>
      </c>
      <c r="G327" s="38" t="s">
        <v>2837</v>
      </c>
      <c r="H327" s="38" t="s">
        <v>884</v>
      </c>
      <c r="N327" s="38" t="s">
        <v>312</v>
      </c>
      <c r="R327" s="90">
        <v>275.0</v>
      </c>
      <c r="T327" s="90">
        <v>275.0</v>
      </c>
      <c r="V327" s="94" t="s">
        <v>1627</v>
      </c>
    </row>
    <row r="328">
      <c r="A328" s="37">
        <v>44896.522550532405</v>
      </c>
      <c r="B328" s="38" t="s">
        <v>827</v>
      </c>
      <c r="C328" s="38" t="s">
        <v>1988</v>
      </c>
      <c r="D328" s="38" t="s">
        <v>40</v>
      </c>
      <c r="F328" s="38" t="s">
        <v>2264</v>
      </c>
      <c r="J328" s="38" t="s">
        <v>10</v>
      </c>
      <c r="K328" s="38" t="s">
        <v>2259</v>
      </c>
      <c r="L328" s="38">
        <v>1.0</v>
      </c>
      <c r="N328" s="38" t="s">
        <v>2327</v>
      </c>
      <c r="O328" s="38" t="s">
        <v>1643</v>
      </c>
      <c r="R328" s="90">
        <v>276.0</v>
      </c>
      <c r="T328" s="90">
        <v>276.0</v>
      </c>
      <c r="V328" s="94" t="s">
        <v>1627</v>
      </c>
    </row>
    <row r="329">
      <c r="A329" s="37">
        <v>44896.56584725695</v>
      </c>
      <c r="B329" s="38" t="s">
        <v>827</v>
      </c>
      <c r="C329" s="38" t="s">
        <v>2838</v>
      </c>
      <c r="D329" s="38" t="s">
        <v>316</v>
      </c>
      <c r="F329" s="38" t="s">
        <v>2274</v>
      </c>
      <c r="G329" s="38" t="s">
        <v>2241</v>
      </c>
      <c r="H329" s="38" t="s">
        <v>2839</v>
      </c>
      <c r="N329" s="38" t="s">
        <v>2840</v>
      </c>
      <c r="R329" s="90">
        <v>277.0</v>
      </c>
      <c r="T329" s="90">
        <v>277.0</v>
      </c>
      <c r="V329" s="94" t="s">
        <v>1627</v>
      </c>
    </row>
    <row r="330">
      <c r="A330" s="37">
        <v>44896.688925254624</v>
      </c>
      <c r="B330" s="38" t="s">
        <v>827</v>
      </c>
      <c r="C330" s="38" t="s">
        <v>1988</v>
      </c>
      <c r="D330" s="38" t="s">
        <v>40</v>
      </c>
      <c r="F330" s="38" t="s">
        <v>2274</v>
      </c>
      <c r="G330" s="38" t="s">
        <v>2841</v>
      </c>
      <c r="H330" s="38" t="s">
        <v>2842</v>
      </c>
      <c r="N330" s="38" t="s">
        <v>2327</v>
      </c>
      <c r="R330" s="90">
        <v>278.0</v>
      </c>
      <c r="T330" s="90">
        <v>278.0</v>
      </c>
      <c r="V330" s="94" t="s">
        <v>1627</v>
      </c>
    </row>
    <row r="331">
      <c r="A331" s="37">
        <v>44897.45986387732</v>
      </c>
      <c r="B331" s="38" t="s">
        <v>827</v>
      </c>
      <c r="C331" s="38" t="s">
        <v>2595</v>
      </c>
      <c r="D331" s="38" t="s">
        <v>52</v>
      </c>
      <c r="F331" s="38" t="s">
        <v>2274</v>
      </c>
      <c r="G331" s="38" t="s">
        <v>2843</v>
      </c>
      <c r="H331" s="38" t="s">
        <v>2843</v>
      </c>
      <c r="N331" s="38" t="s">
        <v>54</v>
      </c>
      <c r="R331" s="90">
        <v>279.0</v>
      </c>
      <c r="T331" s="90">
        <v>279.0</v>
      </c>
      <c r="V331" s="94" t="s">
        <v>1627</v>
      </c>
    </row>
    <row r="332">
      <c r="A332" s="37">
        <v>44897.47229597223</v>
      </c>
      <c r="B332" s="38" t="s">
        <v>827</v>
      </c>
      <c r="C332" s="38" t="s">
        <v>2844</v>
      </c>
      <c r="D332" s="38" t="s">
        <v>95</v>
      </c>
      <c r="F332" s="38" t="s">
        <v>2274</v>
      </c>
      <c r="G332" s="38" t="s">
        <v>2845</v>
      </c>
      <c r="H332" s="38" t="s">
        <v>2846</v>
      </c>
      <c r="N332" s="38" t="s">
        <v>1120</v>
      </c>
      <c r="R332" s="90">
        <v>280.0</v>
      </c>
      <c r="T332" s="90">
        <v>280.0</v>
      </c>
      <c r="V332" s="94" t="s">
        <v>1627</v>
      </c>
    </row>
    <row r="333">
      <c r="A333" s="37">
        <v>44897.502216134264</v>
      </c>
      <c r="B333" s="38" t="s">
        <v>827</v>
      </c>
      <c r="C333" s="38" t="s">
        <v>1657</v>
      </c>
      <c r="D333" s="38" t="s">
        <v>95</v>
      </c>
      <c r="F333" s="38" t="s">
        <v>2264</v>
      </c>
      <c r="J333" s="38" t="s">
        <v>2847</v>
      </c>
      <c r="K333" s="38" t="s">
        <v>2848</v>
      </c>
      <c r="L333" s="38">
        <v>1.0</v>
      </c>
      <c r="N333" s="38" t="s">
        <v>1120</v>
      </c>
      <c r="O333" s="38" t="s">
        <v>1657</v>
      </c>
      <c r="R333" s="90">
        <v>281.0</v>
      </c>
      <c r="T333" s="90">
        <v>281.0</v>
      </c>
      <c r="V333" s="93" t="s">
        <v>1505</v>
      </c>
    </row>
    <row r="334">
      <c r="A334" s="37">
        <v>44900.290454999995</v>
      </c>
      <c r="B334" s="38" t="s">
        <v>827</v>
      </c>
      <c r="C334" s="38" t="s">
        <v>1975</v>
      </c>
      <c r="D334" s="38" t="s">
        <v>916</v>
      </c>
      <c r="F334" s="38" t="s">
        <v>2264</v>
      </c>
      <c r="J334" s="38" t="s">
        <v>883</v>
      </c>
      <c r="K334" s="38" t="s">
        <v>2849</v>
      </c>
      <c r="L334" s="38">
        <v>1.0</v>
      </c>
      <c r="N334" s="38" t="s">
        <v>2662</v>
      </c>
      <c r="O334" s="38" t="s">
        <v>1975</v>
      </c>
      <c r="R334" s="90">
        <v>282.0</v>
      </c>
      <c r="T334" s="90">
        <v>282.0</v>
      </c>
      <c r="V334" s="94" t="s">
        <v>1627</v>
      </c>
    </row>
    <row r="335">
      <c r="A335" s="37">
        <v>44900.35469416667</v>
      </c>
      <c r="B335" s="38" t="s">
        <v>827</v>
      </c>
      <c r="C335" s="38" t="s">
        <v>2850</v>
      </c>
      <c r="D335" s="38" t="s">
        <v>316</v>
      </c>
      <c r="F335" s="38" t="s">
        <v>2264</v>
      </c>
      <c r="J335" s="38" t="s">
        <v>883</v>
      </c>
      <c r="K335" s="38" t="s">
        <v>2851</v>
      </c>
      <c r="L335" s="38">
        <v>1.0</v>
      </c>
      <c r="M335" s="106" t="s">
        <v>2852</v>
      </c>
      <c r="N335" s="38" t="s">
        <v>2744</v>
      </c>
      <c r="O335" s="38" t="s">
        <v>1976</v>
      </c>
      <c r="R335" s="90">
        <v>283.0</v>
      </c>
      <c r="T335" s="90">
        <v>283.0</v>
      </c>
      <c r="V335" s="93" t="s">
        <v>1505</v>
      </c>
    </row>
    <row r="336">
      <c r="A336" s="37">
        <v>44900.45814621528</v>
      </c>
      <c r="B336" s="38" t="s">
        <v>827</v>
      </c>
      <c r="C336" s="38" t="s">
        <v>1657</v>
      </c>
      <c r="D336" s="38" t="s">
        <v>95</v>
      </c>
      <c r="F336" s="38" t="s">
        <v>2274</v>
      </c>
      <c r="G336" s="38" t="s">
        <v>2241</v>
      </c>
      <c r="H336" s="38" t="s">
        <v>2853</v>
      </c>
      <c r="N336" s="38" t="s">
        <v>1120</v>
      </c>
      <c r="R336" s="90">
        <v>284.0</v>
      </c>
      <c r="T336" s="90">
        <v>284.0</v>
      </c>
      <c r="V336" s="92" t="s">
        <v>1621</v>
      </c>
    </row>
    <row r="337">
      <c r="A337" s="37">
        <v>44900.48768795139</v>
      </c>
      <c r="B337" s="38" t="s">
        <v>827</v>
      </c>
      <c r="C337" s="38" t="s">
        <v>1657</v>
      </c>
      <c r="D337" s="38" t="s">
        <v>95</v>
      </c>
      <c r="F337" s="38" t="s">
        <v>2274</v>
      </c>
      <c r="G337" s="38" t="s">
        <v>2241</v>
      </c>
      <c r="H337" s="38" t="s">
        <v>2854</v>
      </c>
      <c r="N337" s="38" t="s">
        <v>1120</v>
      </c>
      <c r="R337" s="90">
        <v>285.0</v>
      </c>
      <c r="T337" s="90">
        <v>285.0</v>
      </c>
      <c r="V337" s="93" t="s">
        <v>1505</v>
      </c>
    </row>
    <row r="338">
      <c r="A338" s="37">
        <v>44900.695639618054</v>
      </c>
      <c r="B338" s="38" t="s">
        <v>827</v>
      </c>
      <c r="C338" s="38" t="s">
        <v>2626</v>
      </c>
      <c r="D338" s="38" t="s">
        <v>196</v>
      </c>
      <c r="F338" s="38" t="s">
        <v>2274</v>
      </c>
      <c r="G338" s="38" t="s">
        <v>2855</v>
      </c>
      <c r="H338" s="38" t="s">
        <v>2856</v>
      </c>
      <c r="N338" s="38" t="s">
        <v>120</v>
      </c>
      <c r="R338" s="90">
        <v>286.0</v>
      </c>
      <c r="T338" s="90">
        <v>286.0</v>
      </c>
      <c r="V338" s="94" t="s">
        <v>1794</v>
      </c>
    </row>
    <row r="339">
      <c r="A339" s="37">
        <v>44901.397533958334</v>
      </c>
      <c r="B339" s="38" t="s">
        <v>827</v>
      </c>
      <c r="C339" s="38" t="s">
        <v>2580</v>
      </c>
      <c r="D339" s="38" t="s">
        <v>44</v>
      </c>
      <c r="F339" s="38" t="s">
        <v>2274</v>
      </c>
      <c r="G339" s="38" t="s">
        <v>2857</v>
      </c>
      <c r="H339" s="38" t="s">
        <v>2858</v>
      </c>
      <c r="I339" s="85" t="s">
        <v>2859</v>
      </c>
      <c r="N339" s="38" t="s">
        <v>2583</v>
      </c>
      <c r="R339" s="90">
        <v>287.0</v>
      </c>
      <c r="T339" s="90">
        <v>287.0</v>
      </c>
      <c r="V339" s="93" t="s">
        <v>1505</v>
      </c>
    </row>
    <row r="340">
      <c r="A340" s="37">
        <v>44901.418069328705</v>
      </c>
      <c r="B340" s="38" t="s">
        <v>827</v>
      </c>
      <c r="C340" s="38" t="s">
        <v>2632</v>
      </c>
      <c r="D340" s="38" t="s">
        <v>316</v>
      </c>
      <c r="F340" s="38" t="s">
        <v>2264</v>
      </c>
      <c r="J340" s="38" t="s">
        <v>883</v>
      </c>
      <c r="K340" s="38" t="s">
        <v>2495</v>
      </c>
      <c r="L340" s="38">
        <v>1.0</v>
      </c>
      <c r="M340" s="85" t="s">
        <v>2860</v>
      </c>
      <c r="N340" s="38" t="s">
        <v>569</v>
      </c>
      <c r="O340" s="38" t="s">
        <v>1978</v>
      </c>
      <c r="R340" s="90">
        <v>288.0</v>
      </c>
      <c r="T340" s="90">
        <v>288.0</v>
      </c>
      <c r="V340" s="93" t="s">
        <v>1505</v>
      </c>
    </row>
    <row r="341">
      <c r="A341" s="37">
        <v>44901.45269827546</v>
      </c>
      <c r="B341" s="38" t="s">
        <v>827</v>
      </c>
      <c r="C341" s="38" t="s">
        <v>2861</v>
      </c>
      <c r="D341" s="38" t="s">
        <v>16</v>
      </c>
      <c r="F341" s="38" t="s">
        <v>2264</v>
      </c>
      <c r="J341" s="38" t="s">
        <v>213</v>
      </c>
      <c r="K341" s="38" t="s">
        <v>2862</v>
      </c>
      <c r="L341" s="38">
        <v>1.0</v>
      </c>
      <c r="N341" s="38" t="s">
        <v>2863</v>
      </c>
      <c r="O341" s="38" t="s">
        <v>1979</v>
      </c>
      <c r="R341" s="90">
        <v>289.0</v>
      </c>
      <c r="T341" s="90">
        <v>289.0</v>
      </c>
      <c r="V341" s="94" t="s">
        <v>1627</v>
      </c>
    </row>
    <row r="342">
      <c r="A342" s="37">
        <v>44901.46933</v>
      </c>
      <c r="B342" s="38" t="s">
        <v>827</v>
      </c>
      <c r="C342" s="38" t="s">
        <v>2864</v>
      </c>
      <c r="D342" s="38" t="s">
        <v>316</v>
      </c>
      <c r="F342" s="38" t="s">
        <v>2264</v>
      </c>
      <c r="J342" s="38" t="s">
        <v>306</v>
      </c>
      <c r="K342" s="38" t="s">
        <v>2865</v>
      </c>
      <c r="L342" s="38">
        <v>1.0</v>
      </c>
      <c r="N342" s="38" t="s">
        <v>2866</v>
      </c>
      <c r="O342" s="38" t="s">
        <v>1980</v>
      </c>
      <c r="R342" s="90">
        <v>290.0</v>
      </c>
      <c r="T342" s="90">
        <v>290.0</v>
      </c>
      <c r="V342" s="94" t="s">
        <v>1627</v>
      </c>
    </row>
    <row r="343">
      <c r="A343" s="37">
        <v>44902.389701168984</v>
      </c>
      <c r="B343" s="38" t="s">
        <v>827</v>
      </c>
      <c r="C343" s="38" t="s">
        <v>1657</v>
      </c>
      <c r="D343" s="38" t="s">
        <v>95</v>
      </c>
      <c r="F343" s="38" t="s">
        <v>2264</v>
      </c>
      <c r="J343" s="38" t="s">
        <v>2461</v>
      </c>
      <c r="K343" s="38" t="s">
        <v>2867</v>
      </c>
      <c r="L343" s="38">
        <v>1.0</v>
      </c>
      <c r="N343" s="38" t="s">
        <v>1120</v>
      </c>
      <c r="O343" s="38" t="s">
        <v>1657</v>
      </c>
      <c r="R343" s="90">
        <v>291.0</v>
      </c>
      <c r="T343" s="90">
        <v>291.0</v>
      </c>
      <c r="V343" s="94" t="s">
        <v>1627</v>
      </c>
    </row>
    <row r="344">
      <c r="A344" s="37">
        <v>44902.47027775463</v>
      </c>
      <c r="B344" s="38" t="s">
        <v>827</v>
      </c>
      <c r="C344" s="38" t="s">
        <v>2868</v>
      </c>
      <c r="D344" s="38" t="s">
        <v>316</v>
      </c>
      <c r="F344" s="38" t="s">
        <v>2274</v>
      </c>
      <c r="G344" s="38" t="s">
        <v>2869</v>
      </c>
      <c r="H344" s="38" t="s">
        <v>2870</v>
      </c>
      <c r="N344" s="38" t="s">
        <v>555</v>
      </c>
      <c r="R344" s="90">
        <v>292.0</v>
      </c>
      <c r="T344" s="90">
        <v>292.0</v>
      </c>
      <c r="V344" s="94" t="s">
        <v>1627</v>
      </c>
    </row>
    <row r="345">
      <c r="A345" s="37">
        <v>44902.60965215278</v>
      </c>
      <c r="B345" s="38" t="s">
        <v>827</v>
      </c>
      <c r="C345" s="38" t="s">
        <v>1632</v>
      </c>
      <c r="D345" s="38" t="s">
        <v>916</v>
      </c>
      <c r="F345" s="38" t="s">
        <v>2274</v>
      </c>
      <c r="G345" s="38" t="s">
        <v>2871</v>
      </c>
      <c r="H345" s="38" t="s">
        <v>2871</v>
      </c>
      <c r="N345" s="38" t="s">
        <v>390</v>
      </c>
      <c r="R345" s="90">
        <v>293.0</v>
      </c>
      <c r="T345" s="90">
        <v>293.0</v>
      </c>
      <c r="V345" s="94" t="s">
        <v>1627</v>
      </c>
    </row>
    <row r="346">
      <c r="A346" s="37">
        <v>44903.3897237037</v>
      </c>
      <c r="B346" s="38" t="s">
        <v>827</v>
      </c>
      <c r="C346" s="38" t="s">
        <v>1657</v>
      </c>
      <c r="D346" s="38" t="s">
        <v>95</v>
      </c>
      <c r="F346" s="38" t="s">
        <v>2264</v>
      </c>
      <c r="J346" s="38" t="s">
        <v>2461</v>
      </c>
      <c r="K346" s="38" t="s">
        <v>2872</v>
      </c>
      <c r="L346" s="38">
        <v>1.0</v>
      </c>
      <c r="N346" s="38" t="s">
        <v>2220</v>
      </c>
      <c r="O346" s="38" t="s">
        <v>1657</v>
      </c>
      <c r="R346" s="90">
        <v>294.0</v>
      </c>
      <c r="T346" s="90">
        <v>294.0</v>
      </c>
      <c r="V346" s="93" t="s">
        <v>1505</v>
      </c>
    </row>
    <row r="347">
      <c r="A347" s="37">
        <v>44903.52545854167</v>
      </c>
      <c r="B347" s="38" t="s">
        <v>827</v>
      </c>
      <c r="C347" s="38" t="s">
        <v>1657</v>
      </c>
      <c r="D347" s="38" t="s">
        <v>95</v>
      </c>
      <c r="F347" s="38" t="s">
        <v>2264</v>
      </c>
      <c r="J347" s="38" t="s">
        <v>883</v>
      </c>
      <c r="K347" s="38" t="s">
        <v>2873</v>
      </c>
      <c r="L347" s="38">
        <v>1.0</v>
      </c>
      <c r="N347" s="38" t="s">
        <v>1120</v>
      </c>
      <c r="O347" s="38" t="s">
        <v>1657</v>
      </c>
      <c r="R347" s="90">
        <v>295.0</v>
      </c>
      <c r="T347" s="90">
        <v>295.0</v>
      </c>
      <c r="V347" s="92" t="s">
        <v>1621</v>
      </c>
    </row>
    <row r="348">
      <c r="A348" s="37">
        <v>44903.56647858796</v>
      </c>
      <c r="B348" s="38" t="s">
        <v>827</v>
      </c>
      <c r="C348" s="38" t="s">
        <v>1646</v>
      </c>
      <c r="D348" s="38" t="s">
        <v>52</v>
      </c>
      <c r="F348" s="38" t="s">
        <v>2274</v>
      </c>
      <c r="G348" s="38" t="s">
        <v>2874</v>
      </c>
      <c r="H348" s="38" t="s">
        <v>2875</v>
      </c>
      <c r="I348" s="85" t="s">
        <v>2876</v>
      </c>
      <c r="N348" s="38" t="s">
        <v>419</v>
      </c>
      <c r="R348" s="90">
        <v>296.0</v>
      </c>
      <c r="T348" s="90">
        <v>296.0</v>
      </c>
      <c r="V348" s="94" t="s">
        <v>1627</v>
      </c>
    </row>
    <row r="349">
      <c r="A349" s="37">
        <v>44904.3897775463</v>
      </c>
      <c r="B349" s="38" t="s">
        <v>827</v>
      </c>
      <c r="C349" s="38" t="s">
        <v>1657</v>
      </c>
      <c r="D349" s="38" t="s">
        <v>95</v>
      </c>
      <c r="F349" s="38" t="s">
        <v>2264</v>
      </c>
      <c r="J349" s="38" t="s">
        <v>2461</v>
      </c>
      <c r="K349" s="38" t="s">
        <v>2877</v>
      </c>
      <c r="L349" s="38">
        <v>1.0</v>
      </c>
      <c r="N349" s="38" t="s">
        <v>1120</v>
      </c>
      <c r="O349" s="38" t="s">
        <v>1657</v>
      </c>
      <c r="R349" s="90">
        <v>297.0</v>
      </c>
      <c r="T349" s="90">
        <v>297.0</v>
      </c>
      <c r="V349" s="93" t="s">
        <v>1505</v>
      </c>
    </row>
    <row r="350">
      <c r="A350" s="37">
        <v>44904.60049444444</v>
      </c>
      <c r="B350" s="38" t="s">
        <v>827</v>
      </c>
      <c r="C350" s="38" t="s">
        <v>1657</v>
      </c>
      <c r="D350" s="38" t="s">
        <v>95</v>
      </c>
      <c r="F350" s="38" t="s">
        <v>2274</v>
      </c>
      <c r="G350" s="38" t="s">
        <v>2878</v>
      </c>
      <c r="H350" s="38" t="s">
        <v>2879</v>
      </c>
      <c r="N350" s="38" t="s">
        <v>1120</v>
      </c>
      <c r="R350" s="90">
        <v>298.0</v>
      </c>
      <c r="T350" s="90">
        <v>298.0</v>
      </c>
      <c r="V350" s="94" t="s">
        <v>1627</v>
      </c>
    </row>
    <row r="351">
      <c r="A351" s="37">
        <v>44907.40704276621</v>
      </c>
      <c r="B351" s="38" t="s">
        <v>827</v>
      </c>
      <c r="C351" s="38" t="s">
        <v>1657</v>
      </c>
      <c r="D351" s="38" t="s">
        <v>95</v>
      </c>
      <c r="F351" s="38" t="s">
        <v>2264</v>
      </c>
      <c r="J351" s="38" t="s">
        <v>883</v>
      </c>
      <c r="K351" s="38" t="s">
        <v>2880</v>
      </c>
      <c r="L351" s="38">
        <v>1.0</v>
      </c>
      <c r="N351" s="38" t="s">
        <v>1120</v>
      </c>
      <c r="O351" s="38" t="s">
        <v>1657</v>
      </c>
      <c r="R351" s="90">
        <v>299.0</v>
      </c>
      <c r="T351" s="90">
        <v>299.0</v>
      </c>
      <c r="V351" s="93" t="s">
        <v>1505</v>
      </c>
    </row>
    <row r="352">
      <c r="A352" s="37">
        <v>44907.408393680555</v>
      </c>
      <c r="B352" s="38" t="s">
        <v>827</v>
      </c>
      <c r="C352" s="38" t="s">
        <v>1657</v>
      </c>
      <c r="D352" s="38" t="s">
        <v>95</v>
      </c>
      <c r="F352" s="38" t="s">
        <v>2264</v>
      </c>
      <c r="J352" s="38" t="s">
        <v>2461</v>
      </c>
      <c r="K352" s="38" t="s">
        <v>2881</v>
      </c>
      <c r="L352" s="38">
        <v>1.0</v>
      </c>
      <c r="N352" s="38" t="s">
        <v>2882</v>
      </c>
      <c r="O352" s="38" t="s">
        <v>1657</v>
      </c>
      <c r="R352" s="90">
        <v>300.0</v>
      </c>
      <c r="T352" s="90">
        <v>300.0</v>
      </c>
      <c r="V352" s="92" t="s">
        <v>1621</v>
      </c>
    </row>
    <row r="353">
      <c r="A353" s="37">
        <v>44907.50964991898</v>
      </c>
      <c r="B353" s="38" t="s">
        <v>827</v>
      </c>
      <c r="C353" s="38" t="s">
        <v>1657</v>
      </c>
      <c r="D353" s="38" t="s">
        <v>95</v>
      </c>
      <c r="F353" s="38" t="s">
        <v>2274</v>
      </c>
      <c r="G353" s="38" t="s">
        <v>2878</v>
      </c>
      <c r="H353" s="38" t="s">
        <v>2883</v>
      </c>
      <c r="N353" s="38" t="s">
        <v>1120</v>
      </c>
      <c r="R353" s="90">
        <v>301.0</v>
      </c>
      <c r="T353" s="90">
        <v>301.0</v>
      </c>
      <c r="V353" s="94" t="s">
        <v>1627</v>
      </c>
    </row>
    <row r="354">
      <c r="A354" s="37">
        <v>44908.450147118056</v>
      </c>
      <c r="B354" s="38" t="s">
        <v>827</v>
      </c>
      <c r="C354" s="38" t="s">
        <v>1637</v>
      </c>
      <c r="D354" s="38" t="s">
        <v>16</v>
      </c>
      <c r="F354" s="38" t="s">
        <v>2274</v>
      </c>
      <c r="G354" s="38" t="s">
        <v>2232</v>
      </c>
      <c r="H354" s="38" t="s">
        <v>2884</v>
      </c>
      <c r="N354" s="38" t="s">
        <v>11</v>
      </c>
      <c r="R354" s="90">
        <v>302.0</v>
      </c>
      <c r="T354" s="90">
        <v>302.0</v>
      </c>
      <c r="V354" s="94" t="s">
        <v>1627</v>
      </c>
    </row>
    <row r="355">
      <c r="A355" s="37">
        <v>44908.452497314815</v>
      </c>
      <c r="B355" s="38" t="s">
        <v>827</v>
      </c>
      <c r="C355" s="38" t="s">
        <v>2861</v>
      </c>
      <c r="D355" s="38" t="s">
        <v>40</v>
      </c>
      <c r="F355" s="38" t="s">
        <v>2274</v>
      </c>
      <c r="G355" s="38" t="s">
        <v>2232</v>
      </c>
      <c r="H355" s="38" t="s">
        <v>2885</v>
      </c>
      <c r="N355" s="38" t="s">
        <v>2863</v>
      </c>
      <c r="R355" s="90">
        <v>303.0</v>
      </c>
      <c r="T355" s="90">
        <v>303.0</v>
      </c>
      <c r="V355" s="94" t="s">
        <v>1627</v>
      </c>
    </row>
    <row r="356">
      <c r="A356" s="37">
        <v>44908.57927688658</v>
      </c>
      <c r="B356" s="38" t="s">
        <v>827</v>
      </c>
      <c r="C356" s="38" t="s">
        <v>2745</v>
      </c>
      <c r="D356" s="38" t="s">
        <v>35</v>
      </c>
      <c r="F356" s="38" t="s">
        <v>2274</v>
      </c>
      <c r="G356" s="38" t="s">
        <v>2886</v>
      </c>
      <c r="H356" s="38" t="s">
        <v>2887</v>
      </c>
      <c r="N356" s="38" t="s">
        <v>2722</v>
      </c>
      <c r="R356" s="90">
        <v>304.0</v>
      </c>
      <c r="T356" s="90">
        <v>304.0</v>
      </c>
      <c r="V356" s="94" t="s">
        <v>1627</v>
      </c>
    </row>
    <row r="357">
      <c r="A357" s="37">
        <v>44909.420227939816</v>
      </c>
      <c r="B357" s="38" t="s">
        <v>827</v>
      </c>
      <c r="C357" s="38" t="s">
        <v>1657</v>
      </c>
      <c r="D357" s="38" t="s">
        <v>95</v>
      </c>
      <c r="F357" s="38" t="s">
        <v>2264</v>
      </c>
      <c r="J357" s="38" t="s">
        <v>2888</v>
      </c>
      <c r="K357" s="38" t="s">
        <v>2889</v>
      </c>
      <c r="L357" s="38">
        <v>1.0</v>
      </c>
      <c r="N357" s="38" t="s">
        <v>1120</v>
      </c>
      <c r="O357" s="38" t="s">
        <v>1657</v>
      </c>
      <c r="R357" s="90">
        <v>305.0</v>
      </c>
      <c r="T357" s="90">
        <v>305.0</v>
      </c>
      <c r="V357" s="93" t="s">
        <v>1505</v>
      </c>
    </row>
    <row r="358">
      <c r="A358" s="37">
        <v>44914.42742475694</v>
      </c>
      <c r="B358" s="38" t="s">
        <v>827</v>
      </c>
      <c r="C358" s="38" t="s">
        <v>1975</v>
      </c>
      <c r="D358" s="38" t="s">
        <v>916</v>
      </c>
      <c r="F358" s="38" t="s">
        <v>2264</v>
      </c>
      <c r="J358" s="38" t="s">
        <v>1249</v>
      </c>
      <c r="K358" s="38" t="s">
        <v>2890</v>
      </c>
      <c r="L358" s="38">
        <v>1.0</v>
      </c>
      <c r="N358" s="38" t="s">
        <v>2662</v>
      </c>
      <c r="O358" s="38" t="s">
        <v>1975</v>
      </c>
      <c r="R358" s="90">
        <v>306.0</v>
      </c>
      <c r="T358" s="90">
        <v>306.0</v>
      </c>
      <c r="V358" s="94" t="s">
        <v>1627</v>
      </c>
    </row>
    <row r="359">
      <c r="A359" s="37">
        <v>44914.439749363424</v>
      </c>
      <c r="B359" s="38" t="s">
        <v>827</v>
      </c>
      <c r="C359" s="38" t="s">
        <v>2891</v>
      </c>
      <c r="D359" s="38" t="s">
        <v>916</v>
      </c>
      <c r="F359" s="38" t="s">
        <v>2264</v>
      </c>
      <c r="J359" s="38" t="s">
        <v>2892</v>
      </c>
      <c r="K359" s="38" t="s">
        <v>2893</v>
      </c>
      <c r="L359" s="38">
        <v>1.0</v>
      </c>
      <c r="N359" s="38" t="s">
        <v>2662</v>
      </c>
      <c r="O359" s="38" t="s">
        <v>1988</v>
      </c>
      <c r="R359" s="90">
        <v>307.0</v>
      </c>
      <c r="T359" s="90">
        <v>307.0</v>
      </c>
      <c r="V359" s="94" t="s">
        <v>1627</v>
      </c>
    </row>
    <row r="360">
      <c r="A360" s="37">
        <v>44914.97624606482</v>
      </c>
      <c r="B360" s="38" t="s">
        <v>827</v>
      </c>
      <c r="C360" s="38" t="s">
        <v>1990</v>
      </c>
      <c r="D360" s="38" t="s">
        <v>870</v>
      </c>
      <c r="F360" s="38" t="s">
        <v>2264</v>
      </c>
      <c r="J360" s="38" t="s">
        <v>2894</v>
      </c>
      <c r="K360" s="38" t="s">
        <v>2895</v>
      </c>
      <c r="L360" s="38">
        <v>2.0</v>
      </c>
      <c r="N360" s="38" t="s">
        <v>2896</v>
      </c>
      <c r="O360" s="38" t="s">
        <v>1990</v>
      </c>
      <c r="R360" s="90">
        <v>308.0</v>
      </c>
      <c r="T360" s="90">
        <v>308.0</v>
      </c>
      <c r="V360" s="94" t="s">
        <v>1627</v>
      </c>
    </row>
    <row r="361">
      <c r="A361" s="37">
        <v>44915.458045555555</v>
      </c>
      <c r="B361" s="38" t="s">
        <v>827</v>
      </c>
      <c r="C361" s="38" t="s">
        <v>1713</v>
      </c>
      <c r="D361" s="38" t="s">
        <v>44</v>
      </c>
      <c r="F361" s="38" t="s">
        <v>2264</v>
      </c>
      <c r="J361" s="38" t="s">
        <v>2897</v>
      </c>
      <c r="K361" s="38" t="s">
        <v>2898</v>
      </c>
      <c r="L361" s="38">
        <v>1.0</v>
      </c>
      <c r="N361" s="38" t="s">
        <v>2272</v>
      </c>
      <c r="O361" s="38" t="s">
        <v>1713</v>
      </c>
      <c r="R361" s="90">
        <v>309.0</v>
      </c>
      <c r="T361" s="90">
        <v>309.0</v>
      </c>
      <c r="V361" s="94" t="s">
        <v>1627</v>
      </c>
    </row>
    <row r="362">
      <c r="A362" s="37">
        <v>44917.34218922454</v>
      </c>
      <c r="B362" s="38" t="s">
        <v>827</v>
      </c>
      <c r="C362" s="38" t="s">
        <v>2626</v>
      </c>
      <c r="D362" s="38" t="s">
        <v>196</v>
      </c>
      <c r="F362" s="38" t="s">
        <v>2274</v>
      </c>
      <c r="G362" s="38" t="s">
        <v>2249</v>
      </c>
      <c r="H362" s="38" t="s">
        <v>2899</v>
      </c>
      <c r="N362" s="38" t="s">
        <v>120</v>
      </c>
      <c r="R362" s="90">
        <v>310.0</v>
      </c>
      <c r="T362" s="90">
        <v>310.0</v>
      </c>
      <c r="V362" s="93" t="s">
        <v>1505</v>
      </c>
    </row>
    <row r="363">
      <c r="A363" s="37">
        <v>44917.355286805556</v>
      </c>
      <c r="B363" s="38" t="s">
        <v>827</v>
      </c>
      <c r="C363" s="38" t="s">
        <v>1995</v>
      </c>
      <c r="D363" s="38" t="s">
        <v>916</v>
      </c>
      <c r="F363" s="38" t="s">
        <v>2264</v>
      </c>
      <c r="J363" s="38" t="s">
        <v>2900</v>
      </c>
      <c r="K363" s="38" t="s">
        <v>2901</v>
      </c>
      <c r="L363" s="38">
        <v>1.0</v>
      </c>
      <c r="N363" s="38" t="s">
        <v>417</v>
      </c>
      <c r="O363" s="38" t="s">
        <v>1995</v>
      </c>
      <c r="R363" s="90">
        <v>311.0</v>
      </c>
      <c r="T363" s="90">
        <v>311.0</v>
      </c>
      <c r="V363" s="94" t="s">
        <v>1627</v>
      </c>
    </row>
    <row r="364">
      <c r="A364" s="37">
        <v>44918.4111616088</v>
      </c>
      <c r="B364" s="38" t="s">
        <v>827</v>
      </c>
      <c r="C364" s="38" t="s">
        <v>2902</v>
      </c>
      <c r="D364" s="38" t="s">
        <v>82</v>
      </c>
      <c r="F364" s="38" t="s">
        <v>2264</v>
      </c>
      <c r="J364" s="38" t="s">
        <v>306</v>
      </c>
      <c r="K364" s="38" t="s">
        <v>2903</v>
      </c>
      <c r="L364" s="38">
        <v>1.0</v>
      </c>
      <c r="N364" s="38" t="s">
        <v>74</v>
      </c>
      <c r="O364" s="38" t="s">
        <v>1997</v>
      </c>
      <c r="R364" s="90">
        <v>312.0</v>
      </c>
      <c r="T364" s="90">
        <v>312.0</v>
      </c>
      <c r="V364" s="94" t="s">
        <v>1627</v>
      </c>
    </row>
    <row r="365">
      <c r="A365" s="37">
        <v>44918.462115092596</v>
      </c>
      <c r="B365" s="38" t="s">
        <v>827</v>
      </c>
      <c r="C365" s="38" t="s">
        <v>1979</v>
      </c>
      <c r="D365" s="38" t="s">
        <v>40</v>
      </c>
      <c r="F365" s="38" t="s">
        <v>2264</v>
      </c>
      <c r="J365" s="38" t="s">
        <v>2461</v>
      </c>
      <c r="K365" s="38" t="s">
        <v>2904</v>
      </c>
      <c r="L365" s="38">
        <v>1.0</v>
      </c>
      <c r="N365" s="38" t="s">
        <v>104</v>
      </c>
      <c r="R365" s="90">
        <v>313.0</v>
      </c>
      <c r="T365" s="90">
        <v>313.0</v>
      </c>
      <c r="V365" s="94" t="s">
        <v>1627</v>
      </c>
    </row>
    <row r="366">
      <c r="A366" s="37">
        <v>44922.32568476852</v>
      </c>
      <c r="B366" s="38" t="s">
        <v>827</v>
      </c>
      <c r="C366" s="38" t="s">
        <v>2905</v>
      </c>
      <c r="D366" s="38" t="s">
        <v>916</v>
      </c>
      <c r="F366" s="38" t="s">
        <v>2274</v>
      </c>
      <c r="G366" s="38" t="s">
        <v>2275</v>
      </c>
      <c r="H366" s="38" t="s">
        <v>2906</v>
      </c>
      <c r="N366" s="38" t="s">
        <v>2381</v>
      </c>
      <c r="R366" s="90">
        <v>314.0</v>
      </c>
      <c r="T366" s="90">
        <v>314.0</v>
      </c>
      <c r="V366" s="93" t="s">
        <v>1505</v>
      </c>
    </row>
    <row r="367">
      <c r="A367" s="37">
        <v>44928.38204202546</v>
      </c>
      <c r="B367" s="38" t="s">
        <v>827</v>
      </c>
      <c r="C367" s="38" t="s">
        <v>1657</v>
      </c>
      <c r="D367" s="38" t="s">
        <v>95</v>
      </c>
      <c r="F367" s="38" t="s">
        <v>2264</v>
      </c>
      <c r="J367" s="38" t="s">
        <v>2461</v>
      </c>
      <c r="K367" s="38" t="s">
        <v>2907</v>
      </c>
      <c r="L367" s="38">
        <v>1.0</v>
      </c>
      <c r="N367" s="38" t="s">
        <v>1120</v>
      </c>
      <c r="R367" s="90">
        <v>315.0</v>
      </c>
      <c r="T367" s="90">
        <v>315.0</v>
      </c>
      <c r="V367" s="94" t="s">
        <v>1627</v>
      </c>
    </row>
    <row r="368">
      <c r="A368" s="37">
        <v>44928.38319581018</v>
      </c>
      <c r="B368" s="38" t="s">
        <v>827</v>
      </c>
      <c r="C368" s="38" t="s">
        <v>1721</v>
      </c>
      <c r="D368" s="38" t="s">
        <v>95</v>
      </c>
      <c r="F368" s="38" t="s">
        <v>2264</v>
      </c>
      <c r="J368" s="38" t="s">
        <v>2908</v>
      </c>
      <c r="K368" s="38" t="s">
        <v>2909</v>
      </c>
      <c r="L368" s="38">
        <v>1.0</v>
      </c>
      <c r="N368" s="38" t="s">
        <v>93</v>
      </c>
      <c r="R368" s="90">
        <v>316.0</v>
      </c>
      <c r="T368" s="90">
        <v>316.0</v>
      </c>
      <c r="V368" s="93" t="s">
        <v>1505</v>
      </c>
    </row>
    <row r="369">
      <c r="A369" s="37">
        <v>44928.39874318287</v>
      </c>
      <c r="B369" s="38" t="s">
        <v>827</v>
      </c>
      <c r="C369" s="38" t="s">
        <v>2626</v>
      </c>
      <c r="D369" s="38" t="s">
        <v>196</v>
      </c>
      <c r="F369" s="38" t="s">
        <v>2264</v>
      </c>
      <c r="J369" s="38" t="s">
        <v>2910</v>
      </c>
      <c r="K369" s="38" t="s">
        <v>2911</v>
      </c>
      <c r="L369" s="38">
        <v>1.0</v>
      </c>
      <c r="N369" s="38" t="s">
        <v>120</v>
      </c>
      <c r="R369" s="90">
        <v>317.0</v>
      </c>
      <c r="T369" s="90">
        <v>317.0</v>
      </c>
      <c r="V369" s="94" t="s">
        <v>1627</v>
      </c>
    </row>
    <row r="370">
      <c r="A370" s="37">
        <v>44928.39995032408</v>
      </c>
      <c r="B370" s="38" t="s">
        <v>827</v>
      </c>
      <c r="C370" s="38" t="s">
        <v>2626</v>
      </c>
      <c r="D370" s="38" t="s">
        <v>196</v>
      </c>
      <c r="F370" s="38" t="s">
        <v>2274</v>
      </c>
      <c r="G370" s="38" t="s">
        <v>2249</v>
      </c>
      <c r="H370" s="38" t="s">
        <v>2912</v>
      </c>
      <c r="N370" s="38" t="s">
        <v>120</v>
      </c>
      <c r="R370" s="90">
        <v>318.0</v>
      </c>
      <c r="T370" s="90">
        <v>318.0</v>
      </c>
      <c r="V370" s="94" t="s">
        <v>1627</v>
      </c>
    </row>
    <row r="371">
      <c r="A371" s="37">
        <v>44929.371490150465</v>
      </c>
      <c r="B371" s="38" t="s">
        <v>827</v>
      </c>
      <c r="C371" s="38" t="s">
        <v>2561</v>
      </c>
      <c r="D371" s="38" t="s">
        <v>1261</v>
      </c>
      <c r="F371" s="38" t="s">
        <v>2274</v>
      </c>
      <c r="G371" s="38" t="s">
        <v>2275</v>
      </c>
      <c r="H371" s="38" t="s">
        <v>2913</v>
      </c>
      <c r="N371" s="38" t="s">
        <v>1260</v>
      </c>
      <c r="R371" s="90">
        <v>319.0</v>
      </c>
      <c r="T371" s="90">
        <v>319.0</v>
      </c>
      <c r="V371" s="94" t="s">
        <v>1627</v>
      </c>
    </row>
    <row r="372">
      <c r="A372" s="37">
        <v>44929.48976835648</v>
      </c>
      <c r="B372" s="38" t="s">
        <v>827</v>
      </c>
      <c r="C372" s="38" t="s">
        <v>1717</v>
      </c>
      <c r="D372" s="38" t="s">
        <v>16</v>
      </c>
      <c r="F372" s="38" t="s">
        <v>2274</v>
      </c>
      <c r="G372" s="38" t="s">
        <v>2249</v>
      </c>
      <c r="H372" s="38" t="s">
        <v>2914</v>
      </c>
      <c r="N372" s="38" t="s">
        <v>24</v>
      </c>
      <c r="R372" s="90">
        <v>320.0</v>
      </c>
      <c r="T372" s="90">
        <v>320.0</v>
      </c>
      <c r="V372" s="94" t="s">
        <v>1627</v>
      </c>
    </row>
    <row r="373">
      <c r="A373" s="37">
        <v>44929.49747682871</v>
      </c>
      <c r="B373" s="38" t="s">
        <v>827</v>
      </c>
      <c r="C373" s="38" t="s">
        <v>1717</v>
      </c>
      <c r="D373" s="38" t="s">
        <v>16</v>
      </c>
      <c r="F373" s="38" t="s">
        <v>2274</v>
      </c>
      <c r="G373" s="38" t="s">
        <v>2275</v>
      </c>
      <c r="H373" s="38" t="s">
        <v>2915</v>
      </c>
      <c r="N373" s="38" t="s">
        <v>24</v>
      </c>
      <c r="R373" s="90">
        <v>321.0</v>
      </c>
      <c r="T373" s="90">
        <v>321.0</v>
      </c>
      <c r="V373" s="94" t="s">
        <v>1627</v>
      </c>
    </row>
    <row r="374">
      <c r="A374" s="37">
        <v>44930.33666053241</v>
      </c>
      <c r="B374" s="38" t="s">
        <v>827</v>
      </c>
      <c r="C374" s="38" t="s">
        <v>2905</v>
      </c>
      <c r="D374" s="38" t="s">
        <v>916</v>
      </c>
      <c r="F374" s="38" t="s">
        <v>2264</v>
      </c>
      <c r="J374" s="38" t="s">
        <v>2916</v>
      </c>
      <c r="K374" s="38" t="s">
        <v>2917</v>
      </c>
      <c r="L374" s="38">
        <v>1.0</v>
      </c>
      <c r="N374" s="38" t="s">
        <v>390</v>
      </c>
      <c r="R374" s="90">
        <v>322.0</v>
      </c>
      <c r="T374" s="90">
        <v>322.0</v>
      </c>
      <c r="V374" s="93" t="s">
        <v>1505</v>
      </c>
    </row>
    <row r="375">
      <c r="A375" s="37">
        <v>44930.368397962964</v>
      </c>
      <c r="B375" s="38" t="s">
        <v>827</v>
      </c>
      <c r="C375" s="38" t="s">
        <v>1639</v>
      </c>
      <c r="D375" s="38" t="s">
        <v>35</v>
      </c>
      <c r="F375" s="38" t="s">
        <v>2274</v>
      </c>
      <c r="G375" s="38" t="s">
        <v>2241</v>
      </c>
      <c r="H375" s="38" t="s">
        <v>2918</v>
      </c>
      <c r="I375" s="85" t="s">
        <v>2919</v>
      </c>
      <c r="N375" s="38" t="s">
        <v>2322</v>
      </c>
      <c r="R375" s="90">
        <v>323.0</v>
      </c>
      <c r="T375" s="90">
        <v>323.0</v>
      </c>
      <c r="V375" s="93" t="s">
        <v>1505</v>
      </c>
    </row>
    <row r="376">
      <c r="A376" s="37">
        <v>44930.37275708333</v>
      </c>
      <c r="B376" s="38" t="s">
        <v>827</v>
      </c>
      <c r="C376" s="38" t="s">
        <v>2920</v>
      </c>
      <c r="D376" s="38" t="s">
        <v>52</v>
      </c>
      <c r="F376" s="38" t="s">
        <v>2274</v>
      </c>
      <c r="G376" s="38" t="s">
        <v>2232</v>
      </c>
      <c r="H376" s="38" t="s">
        <v>2921</v>
      </c>
      <c r="I376" s="85" t="s">
        <v>2922</v>
      </c>
      <c r="N376" s="38" t="s">
        <v>374</v>
      </c>
      <c r="R376" s="90">
        <v>324.0</v>
      </c>
      <c r="T376" s="90">
        <v>324.0</v>
      </c>
      <c r="V376" s="93" t="s">
        <v>1505</v>
      </c>
    </row>
    <row r="377">
      <c r="A377" s="37">
        <v>44931.59962936342</v>
      </c>
      <c r="B377" s="38" t="s">
        <v>827</v>
      </c>
      <c r="C377" s="38" t="s">
        <v>2745</v>
      </c>
      <c r="D377" s="38" t="s">
        <v>35</v>
      </c>
      <c r="F377" s="38" t="s">
        <v>2274</v>
      </c>
      <c r="G377" s="38" t="s">
        <v>2923</v>
      </c>
      <c r="H377" s="38" t="s">
        <v>2924</v>
      </c>
      <c r="N377" s="38" t="s">
        <v>2722</v>
      </c>
      <c r="R377" s="90">
        <v>325.0</v>
      </c>
      <c r="T377" s="90">
        <v>325.0</v>
      </c>
      <c r="V377" s="94" t="s">
        <v>1627</v>
      </c>
    </row>
    <row r="378">
      <c r="A378" s="37">
        <v>44936.393615532405</v>
      </c>
      <c r="B378" s="38" t="s">
        <v>827</v>
      </c>
      <c r="C378" s="38" t="s">
        <v>2556</v>
      </c>
      <c r="D378" s="38" t="s">
        <v>870</v>
      </c>
      <c r="F378" s="38" t="s">
        <v>2264</v>
      </c>
      <c r="J378" s="38" t="s">
        <v>2683</v>
      </c>
      <c r="K378" s="38" t="s">
        <v>2925</v>
      </c>
      <c r="L378" s="38">
        <v>1.0</v>
      </c>
      <c r="N378" s="38" t="s">
        <v>2645</v>
      </c>
      <c r="R378" s="90">
        <v>326.0</v>
      </c>
      <c r="T378" s="90">
        <v>326.0</v>
      </c>
      <c r="V378" s="93" t="s">
        <v>1505</v>
      </c>
    </row>
    <row r="379">
      <c r="A379" s="37">
        <v>44936.42771853009</v>
      </c>
      <c r="B379" s="38" t="s">
        <v>827</v>
      </c>
      <c r="C379" s="38" t="s">
        <v>1639</v>
      </c>
      <c r="D379" s="38" t="s">
        <v>35</v>
      </c>
      <c r="F379" s="38" t="s">
        <v>2264</v>
      </c>
      <c r="J379" s="38" t="s">
        <v>2926</v>
      </c>
      <c r="K379" s="38" t="s">
        <v>2927</v>
      </c>
      <c r="L379" s="38">
        <v>1.0</v>
      </c>
      <c r="M379" s="85" t="s">
        <v>2928</v>
      </c>
      <c r="N379" s="38" t="s">
        <v>2322</v>
      </c>
      <c r="R379" s="90">
        <v>327.0</v>
      </c>
      <c r="T379" s="90">
        <v>327.0</v>
      </c>
      <c r="V379" s="94" t="s">
        <v>1627</v>
      </c>
    </row>
    <row r="380">
      <c r="A380" s="37">
        <v>44936.54497123843</v>
      </c>
      <c r="B380" s="38" t="s">
        <v>827</v>
      </c>
      <c r="C380" s="38" t="s">
        <v>1646</v>
      </c>
      <c r="D380" s="38" t="s">
        <v>52</v>
      </c>
      <c r="F380" s="38" t="s">
        <v>2264</v>
      </c>
      <c r="J380" s="38" t="s">
        <v>2929</v>
      </c>
      <c r="K380" s="38" t="s">
        <v>2930</v>
      </c>
      <c r="L380" s="38">
        <v>2.0</v>
      </c>
      <c r="N380" s="38" t="s">
        <v>419</v>
      </c>
      <c r="R380" s="90">
        <v>328.0</v>
      </c>
      <c r="T380" s="90">
        <v>328.0</v>
      </c>
      <c r="V380" s="94" t="s">
        <v>1627</v>
      </c>
    </row>
    <row r="381">
      <c r="A381" s="37">
        <v>44937.430384328705</v>
      </c>
      <c r="B381" s="38" t="s">
        <v>827</v>
      </c>
      <c r="C381" s="38" t="s">
        <v>2931</v>
      </c>
      <c r="D381" s="38" t="s">
        <v>82</v>
      </c>
      <c r="F381" s="38" t="s">
        <v>2274</v>
      </c>
      <c r="G381" s="38" t="s">
        <v>2275</v>
      </c>
      <c r="H381" s="38" t="s">
        <v>2932</v>
      </c>
      <c r="N381" s="38" t="s">
        <v>85</v>
      </c>
      <c r="R381" s="90">
        <v>329.0</v>
      </c>
      <c r="T381" s="90">
        <v>329.0</v>
      </c>
      <c r="V381" s="93" t="s">
        <v>1505</v>
      </c>
    </row>
    <row r="382">
      <c r="A382" s="37">
        <v>44937.430687581014</v>
      </c>
      <c r="B382" s="38" t="s">
        <v>827</v>
      </c>
      <c r="C382" s="38" t="s">
        <v>2561</v>
      </c>
      <c r="D382" s="38" t="s">
        <v>1261</v>
      </c>
      <c r="F382" s="38" t="s">
        <v>2274</v>
      </c>
      <c r="G382" s="38" t="s">
        <v>2249</v>
      </c>
      <c r="H382" s="38" t="s">
        <v>2933</v>
      </c>
      <c r="N382" s="38" t="s">
        <v>2934</v>
      </c>
      <c r="R382" s="90">
        <v>330.0</v>
      </c>
      <c r="T382" s="90">
        <v>330.0</v>
      </c>
      <c r="V382" s="94" t="s">
        <v>1627</v>
      </c>
    </row>
    <row r="383">
      <c r="A383" s="37">
        <v>44937.70052155093</v>
      </c>
      <c r="B383" s="38" t="s">
        <v>827</v>
      </c>
      <c r="C383" s="38" t="s">
        <v>2737</v>
      </c>
      <c r="D383" s="38" t="s">
        <v>1261</v>
      </c>
      <c r="F383" s="38" t="s">
        <v>2274</v>
      </c>
      <c r="G383" s="38" t="s">
        <v>2241</v>
      </c>
      <c r="H383" s="38" t="s">
        <v>2935</v>
      </c>
      <c r="N383" s="38" t="s">
        <v>2776</v>
      </c>
      <c r="R383" s="90">
        <v>331.0</v>
      </c>
      <c r="T383" s="90">
        <v>331.0</v>
      </c>
      <c r="V383" s="93" t="s">
        <v>1505</v>
      </c>
    </row>
    <row r="384">
      <c r="A384" s="37">
        <v>44938.38711165509</v>
      </c>
      <c r="B384" s="38" t="s">
        <v>827</v>
      </c>
      <c r="C384" s="38" t="s">
        <v>1717</v>
      </c>
      <c r="D384" s="38" t="s">
        <v>16</v>
      </c>
      <c r="F384" s="38" t="s">
        <v>2274</v>
      </c>
      <c r="G384" s="38" t="s">
        <v>2275</v>
      </c>
      <c r="H384" s="38" t="s">
        <v>2936</v>
      </c>
      <c r="N384" s="38" t="s">
        <v>24</v>
      </c>
      <c r="R384" s="90">
        <v>332.0</v>
      </c>
      <c r="T384" s="90">
        <v>332.0</v>
      </c>
      <c r="V384" s="93" t="s">
        <v>1505</v>
      </c>
    </row>
    <row r="385">
      <c r="A385" s="37">
        <v>44938.51509059028</v>
      </c>
      <c r="B385" s="38" t="s">
        <v>827</v>
      </c>
      <c r="C385" s="38" t="s">
        <v>2737</v>
      </c>
      <c r="D385" s="38" t="s">
        <v>1261</v>
      </c>
      <c r="F385" s="38" t="s">
        <v>2274</v>
      </c>
      <c r="G385" s="38" t="s">
        <v>2275</v>
      </c>
      <c r="H385" s="38" t="s">
        <v>2937</v>
      </c>
      <c r="N385" s="38" t="s">
        <v>2776</v>
      </c>
      <c r="R385" s="90">
        <v>333.0</v>
      </c>
      <c r="T385" s="90">
        <v>333.0</v>
      </c>
      <c r="V385" s="94" t="s">
        <v>1627</v>
      </c>
    </row>
    <row r="386">
      <c r="A386" s="37">
        <v>44938.64159435185</v>
      </c>
      <c r="B386" s="38" t="s">
        <v>827</v>
      </c>
      <c r="C386" s="38" t="s">
        <v>1719</v>
      </c>
      <c r="D386" s="38" t="s">
        <v>878</v>
      </c>
      <c r="F386" s="38" t="s">
        <v>2274</v>
      </c>
      <c r="G386" s="38" t="s">
        <v>2241</v>
      </c>
      <c r="H386" s="38" t="s">
        <v>2938</v>
      </c>
      <c r="N386" s="38" t="s">
        <v>2939</v>
      </c>
      <c r="R386" s="90">
        <v>334.0</v>
      </c>
      <c r="T386" s="90">
        <v>334.0</v>
      </c>
      <c r="V386" s="93" t="s">
        <v>1505</v>
      </c>
    </row>
    <row r="387">
      <c r="A387" s="37">
        <v>44938.686632384255</v>
      </c>
      <c r="B387" s="38" t="s">
        <v>827</v>
      </c>
      <c r="C387" s="38" t="s">
        <v>1646</v>
      </c>
      <c r="D387" s="38" t="s">
        <v>52</v>
      </c>
      <c r="F387" s="38" t="s">
        <v>2274</v>
      </c>
      <c r="G387" s="38" t="s">
        <v>2232</v>
      </c>
      <c r="H387" s="38" t="s">
        <v>2940</v>
      </c>
      <c r="N387" s="38" t="s">
        <v>419</v>
      </c>
      <c r="R387" s="90">
        <v>335.0</v>
      </c>
      <c r="T387" s="90">
        <v>335.0</v>
      </c>
      <c r="V387" s="94" t="s">
        <v>1627</v>
      </c>
    </row>
    <row r="388">
      <c r="A388" s="37">
        <v>44939.60722435185</v>
      </c>
      <c r="B388" s="38" t="s">
        <v>827</v>
      </c>
      <c r="C388" s="38" t="s">
        <v>2576</v>
      </c>
      <c r="D388" s="38" t="s">
        <v>95</v>
      </c>
      <c r="F388" s="38" t="s">
        <v>2264</v>
      </c>
      <c r="J388" s="38" t="s">
        <v>2461</v>
      </c>
      <c r="K388" s="38" t="s">
        <v>2577</v>
      </c>
      <c r="L388" s="38">
        <v>1.0</v>
      </c>
      <c r="N388" s="38" t="s">
        <v>100</v>
      </c>
      <c r="R388" s="90">
        <v>336.0</v>
      </c>
      <c r="T388" s="90">
        <v>336.0</v>
      </c>
      <c r="V388" s="93" t="s">
        <v>1505</v>
      </c>
    </row>
    <row r="389">
      <c r="A389" s="37">
        <v>44942.43855586805</v>
      </c>
      <c r="B389" s="38" t="s">
        <v>827</v>
      </c>
      <c r="C389" s="38" t="s">
        <v>1975</v>
      </c>
      <c r="D389" s="38" t="s">
        <v>916</v>
      </c>
      <c r="F389" s="38" t="s">
        <v>2274</v>
      </c>
      <c r="G389" s="38" t="s">
        <v>2241</v>
      </c>
      <c r="H389" s="38" t="s">
        <v>2941</v>
      </c>
      <c r="I389" s="38" t="s">
        <v>2942</v>
      </c>
      <c r="N389" s="38" t="s">
        <v>89</v>
      </c>
      <c r="R389" s="90">
        <v>337.0</v>
      </c>
      <c r="T389" s="90">
        <v>337.0</v>
      </c>
      <c r="V389" s="94" t="s">
        <v>1627</v>
      </c>
    </row>
    <row r="390">
      <c r="A390" s="37">
        <v>44943.59507512732</v>
      </c>
      <c r="B390" s="38" t="s">
        <v>827</v>
      </c>
      <c r="C390" s="38" t="s">
        <v>2943</v>
      </c>
      <c r="D390" s="38" t="s">
        <v>316</v>
      </c>
      <c r="F390" s="38" t="s">
        <v>2274</v>
      </c>
      <c r="G390" s="38" t="s">
        <v>2241</v>
      </c>
      <c r="H390" s="38" t="s">
        <v>2944</v>
      </c>
      <c r="N390" s="38" t="s">
        <v>312</v>
      </c>
      <c r="R390" s="90">
        <v>338.0</v>
      </c>
      <c r="T390" s="90">
        <v>338.0</v>
      </c>
      <c r="V390" s="94" t="s">
        <v>1627</v>
      </c>
    </row>
    <row r="391">
      <c r="A391" s="37">
        <v>44945.37106975695</v>
      </c>
      <c r="B391" s="38" t="s">
        <v>827</v>
      </c>
      <c r="C391" s="38" t="s">
        <v>1657</v>
      </c>
      <c r="D391" s="38" t="s">
        <v>95</v>
      </c>
      <c r="F391" s="38" t="s">
        <v>2274</v>
      </c>
      <c r="G391" s="38" t="s">
        <v>2232</v>
      </c>
      <c r="H391" s="38" t="s">
        <v>2945</v>
      </c>
      <c r="N391" s="38" t="s">
        <v>1120</v>
      </c>
      <c r="R391" s="90">
        <v>339.0</v>
      </c>
      <c r="T391" s="90">
        <v>339.0</v>
      </c>
      <c r="V391" s="93" t="s">
        <v>1505</v>
      </c>
    </row>
    <row r="392">
      <c r="A392" s="37">
        <v>44945.59934850695</v>
      </c>
      <c r="B392" s="38" t="s">
        <v>827</v>
      </c>
      <c r="C392" s="38" t="s">
        <v>1975</v>
      </c>
      <c r="D392" s="38" t="s">
        <v>916</v>
      </c>
      <c r="F392" s="38" t="s">
        <v>2274</v>
      </c>
      <c r="G392" s="38" t="s">
        <v>2946</v>
      </c>
      <c r="H392" s="38" t="s">
        <v>2947</v>
      </c>
      <c r="N392" s="38" t="s">
        <v>89</v>
      </c>
      <c r="R392" s="90">
        <v>340.0</v>
      </c>
      <c r="T392" s="90">
        <v>340.0</v>
      </c>
      <c r="V392" s="94" t="s">
        <v>1627</v>
      </c>
    </row>
    <row r="393">
      <c r="A393" s="37">
        <v>44949.37109835648</v>
      </c>
      <c r="B393" s="38" t="s">
        <v>827</v>
      </c>
      <c r="C393" s="38" t="s">
        <v>2948</v>
      </c>
      <c r="D393" s="38" t="s">
        <v>35</v>
      </c>
      <c r="F393" s="38" t="s">
        <v>2274</v>
      </c>
      <c r="G393" s="38" t="s">
        <v>2275</v>
      </c>
      <c r="H393" s="38" t="s">
        <v>2949</v>
      </c>
      <c r="N393" s="38" t="s">
        <v>2722</v>
      </c>
      <c r="R393" s="90">
        <v>341.0</v>
      </c>
      <c r="T393" s="90">
        <v>341.0</v>
      </c>
      <c r="V393" s="94" t="s">
        <v>1627</v>
      </c>
    </row>
    <row r="394">
      <c r="A394" s="37">
        <v>44949.62578321759</v>
      </c>
      <c r="B394" s="38" t="s">
        <v>827</v>
      </c>
      <c r="C394" s="38" t="s">
        <v>1717</v>
      </c>
      <c r="D394" s="38" t="s">
        <v>16</v>
      </c>
      <c r="F394" s="38" t="s">
        <v>2274</v>
      </c>
      <c r="G394" s="38" t="s">
        <v>2275</v>
      </c>
      <c r="H394" s="38" t="s">
        <v>2950</v>
      </c>
      <c r="N394" s="38" t="s">
        <v>24</v>
      </c>
      <c r="R394" s="90">
        <v>342.0</v>
      </c>
      <c r="T394" s="90">
        <v>342.0</v>
      </c>
      <c r="V394" s="94" t="s">
        <v>1627</v>
      </c>
    </row>
    <row r="395">
      <c r="A395" s="37">
        <v>44950.3515680787</v>
      </c>
      <c r="B395" s="38" t="s">
        <v>827</v>
      </c>
      <c r="C395" s="38" t="s">
        <v>2566</v>
      </c>
      <c r="D395" s="38" t="s">
        <v>82</v>
      </c>
      <c r="F395" s="38" t="s">
        <v>2274</v>
      </c>
      <c r="G395" s="38" t="s">
        <v>2241</v>
      </c>
      <c r="H395" s="38" t="s">
        <v>2951</v>
      </c>
      <c r="I395" s="85" t="s">
        <v>2952</v>
      </c>
      <c r="N395" s="38" t="s">
        <v>2953</v>
      </c>
      <c r="R395" s="90">
        <v>343.0</v>
      </c>
      <c r="T395" s="90">
        <v>343.0</v>
      </c>
      <c r="V395" s="93" t="s">
        <v>1505</v>
      </c>
    </row>
    <row r="396">
      <c r="A396" s="37">
        <v>44950.35772385416</v>
      </c>
      <c r="B396" s="38" t="s">
        <v>827</v>
      </c>
      <c r="C396" s="38" t="s">
        <v>1657</v>
      </c>
      <c r="D396" s="38" t="s">
        <v>95</v>
      </c>
      <c r="F396" s="38" t="s">
        <v>2274</v>
      </c>
      <c r="G396" s="38" t="s">
        <v>2249</v>
      </c>
      <c r="H396" s="38" t="s">
        <v>2954</v>
      </c>
      <c r="N396" s="38" t="s">
        <v>1120</v>
      </c>
      <c r="R396" s="90">
        <v>344.0</v>
      </c>
      <c r="T396" s="90">
        <v>344.0</v>
      </c>
      <c r="V396" s="93" t="s">
        <v>1505</v>
      </c>
    </row>
    <row r="397">
      <c r="A397" s="37">
        <v>44950.391260000004</v>
      </c>
      <c r="B397" s="38" t="s">
        <v>827</v>
      </c>
      <c r="C397" s="38" t="s">
        <v>2920</v>
      </c>
      <c r="D397" s="38" t="s">
        <v>52</v>
      </c>
      <c r="F397" s="38" t="s">
        <v>2274</v>
      </c>
      <c r="G397" s="38" t="s">
        <v>2955</v>
      </c>
      <c r="H397" s="38" t="s">
        <v>2956</v>
      </c>
      <c r="N397" s="38" t="s">
        <v>2431</v>
      </c>
      <c r="R397" s="90">
        <v>345.0</v>
      </c>
      <c r="T397" s="90">
        <v>345.0</v>
      </c>
      <c r="V397" s="93" t="s">
        <v>1505</v>
      </c>
    </row>
    <row r="398">
      <c r="A398" s="37">
        <v>44951.710131898144</v>
      </c>
      <c r="B398" s="38" t="s">
        <v>827</v>
      </c>
      <c r="C398" s="38" t="s">
        <v>1717</v>
      </c>
      <c r="D398" s="38" t="s">
        <v>16</v>
      </c>
      <c r="F398" s="38" t="s">
        <v>2274</v>
      </c>
      <c r="G398" s="38" t="s">
        <v>2232</v>
      </c>
      <c r="H398" s="38" t="s">
        <v>2957</v>
      </c>
      <c r="N398" s="38" t="s">
        <v>24</v>
      </c>
      <c r="R398" s="90">
        <v>346.0</v>
      </c>
      <c r="T398" s="90">
        <v>346.0</v>
      </c>
      <c r="V398" s="93" t="s">
        <v>1505</v>
      </c>
    </row>
    <row r="399">
      <c r="A399" s="37">
        <v>44953.475137002315</v>
      </c>
      <c r="B399" s="38" t="s">
        <v>827</v>
      </c>
      <c r="C399" s="38" t="s">
        <v>2601</v>
      </c>
      <c r="D399" s="38" t="s">
        <v>1079</v>
      </c>
      <c r="F399" s="38" t="s">
        <v>2274</v>
      </c>
      <c r="G399" s="38" t="s">
        <v>2958</v>
      </c>
      <c r="H399" s="38" t="s">
        <v>2958</v>
      </c>
      <c r="N399" s="38" t="s">
        <v>382</v>
      </c>
      <c r="R399" s="90">
        <v>347.0</v>
      </c>
      <c r="T399" s="90">
        <v>347.0</v>
      </c>
      <c r="V399" s="93" t="s">
        <v>1505</v>
      </c>
    </row>
    <row r="400">
      <c r="A400" s="37">
        <v>44958.4525272801</v>
      </c>
      <c r="B400" s="38" t="s">
        <v>827</v>
      </c>
      <c r="C400" s="38" t="s">
        <v>2959</v>
      </c>
      <c r="D400" s="38" t="s">
        <v>316</v>
      </c>
      <c r="F400" s="38" t="s">
        <v>2274</v>
      </c>
      <c r="G400" s="38" t="s">
        <v>2241</v>
      </c>
      <c r="H400" s="38" t="s">
        <v>2960</v>
      </c>
      <c r="N400" s="38" t="s">
        <v>2961</v>
      </c>
      <c r="R400" s="90">
        <v>348.0</v>
      </c>
      <c r="T400" s="90">
        <v>348.0</v>
      </c>
      <c r="V400" s="94" t="s">
        <v>1627</v>
      </c>
    </row>
    <row r="401">
      <c r="A401" s="37">
        <v>44959.402200428245</v>
      </c>
      <c r="B401" s="38" t="s">
        <v>827</v>
      </c>
      <c r="C401" s="38" t="s">
        <v>1639</v>
      </c>
      <c r="D401" s="38" t="s">
        <v>35</v>
      </c>
      <c r="F401" s="38" t="s">
        <v>2264</v>
      </c>
      <c r="J401" s="38" t="s">
        <v>2962</v>
      </c>
      <c r="K401" s="38" t="s">
        <v>2963</v>
      </c>
      <c r="L401" s="38">
        <v>1.0</v>
      </c>
      <c r="N401" s="38" t="s">
        <v>2322</v>
      </c>
      <c r="R401" s="90">
        <v>349.0</v>
      </c>
      <c r="T401" s="90">
        <v>349.0</v>
      </c>
      <c r="V401" s="94" t="s">
        <v>1627</v>
      </c>
    </row>
    <row r="402">
      <c r="A402" s="37">
        <v>44963.37121997685</v>
      </c>
      <c r="B402" s="38" t="s">
        <v>827</v>
      </c>
      <c r="C402" s="38" t="s">
        <v>2964</v>
      </c>
      <c r="D402" s="38" t="s">
        <v>870</v>
      </c>
      <c r="F402" s="38" t="s">
        <v>2274</v>
      </c>
      <c r="G402" s="38" t="s">
        <v>2241</v>
      </c>
      <c r="H402" s="38" t="s">
        <v>2965</v>
      </c>
      <c r="N402" s="38" t="s">
        <v>2645</v>
      </c>
      <c r="R402" s="90">
        <v>350.0</v>
      </c>
      <c r="T402" s="90">
        <v>350.0</v>
      </c>
      <c r="V402" s="94" t="s">
        <v>1627</v>
      </c>
    </row>
    <row r="403">
      <c r="A403" s="37">
        <v>44963.37903884259</v>
      </c>
      <c r="B403" s="38" t="s">
        <v>827</v>
      </c>
      <c r="C403" s="38" t="s">
        <v>2626</v>
      </c>
      <c r="D403" s="38" t="s">
        <v>196</v>
      </c>
      <c r="F403" s="38" t="s">
        <v>2264</v>
      </c>
      <c r="J403" s="38" t="s">
        <v>2329</v>
      </c>
      <c r="K403" s="38" t="s">
        <v>2966</v>
      </c>
      <c r="L403" s="38">
        <v>1.0</v>
      </c>
      <c r="N403" s="38" t="s">
        <v>120</v>
      </c>
      <c r="R403" s="90">
        <v>351.0</v>
      </c>
      <c r="T403" s="90">
        <v>351.0</v>
      </c>
      <c r="V403" s="94" t="s">
        <v>1627</v>
      </c>
    </row>
    <row r="404">
      <c r="A404" s="37">
        <v>44963.37974133102</v>
      </c>
      <c r="B404" s="38" t="s">
        <v>827</v>
      </c>
      <c r="C404" s="38" t="s">
        <v>1646</v>
      </c>
      <c r="D404" s="38" t="s">
        <v>52</v>
      </c>
      <c r="F404" s="38" t="s">
        <v>2274</v>
      </c>
      <c r="G404" s="38" t="s">
        <v>2275</v>
      </c>
      <c r="H404" s="38" t="s">
        <v>2967</v>
      </c>
      <c r="N404" s="38" t="s">
        <v>419</v>
      </c>
      <c r="R404" s="90">
        <v>352.0</v>
      </c>
      <c r="T404" s="90">
        <v>352.0</v>
      </c>
      <c r="V404" s="94" t="s">
        <v>1627</v>
      </c>
    </row>
    <row r="405">
      <c r="A405" s="37">
        <v>44966.347499525466</v>
      </c>
      <c r="B405" s="38" t="s">
        <v>827</v>
      </c>
      <c r="C405" s="38" t="s">
        <v>1633</v>
      </c>
      <c r="D405" s="38" t="s">
        <v>316</v>
      </c>
      <c r="F405" s="38" t="s">
        <v>2274</v>
      </c>
      <c r="G405" s="38" t="s">
        <v>2241</v>
      </c>
      <c r="H405" s="38" t="s">
        <v>2968</v>
      </c>
      <c r="N405" s="38" t="s">
        <v>320</v>
      </c>
      <c r="R405" s="90">
        <v>353.0</v>
      </c>
      <c r="T405" s="90">
        <v>353.0</v>
      </c>
      <c r="V405" s="94" t="s">
        <v>1627</v>
      </c>
    </row>
    <row r="406">
      <c r="A406" s="37">
        <v>44967.45044881944</v>
      </c>
      <c r="B406" s="38" t="s">
        <v>827</v>
      </c>
      <c r="C406" s="38" t="s">
        <v>2905</v>
      </c>
      <c r="D406" s="38" t="s">
        <v>916</v>
      </c>
      <c r="F406" s="38" t="s">
        <v>2264</v>
      </c>
      <c r="J406" s="38" t="s">
        <v>2969</v>
      </c>
      <c r="K406" s="38" t="s">
        <v>213</v>
      </c>
      <c r="L406" s="38">
        <v>1.0</v>
      </c>
      <c r="N406" s="38" t="s">
        <v>390</v>
      </c>
      <c r="R406" s="90">
        <v>354.0</v>
      </c>
      <c r="T406" s="90">
        <v>354.0</v>
      </c>
      <c r="V406" s="94" t="s">
        <v>1627</v>
      </c>
    </row>
    <row r="407">
      <c r="A407" s="37">
        <v>44967.64225228009</v>
      </c>
      <c r="B407" s="38" t="s">
        <v>827</v>
      </c>
      <c r="C407" s="38" t="s">
        <v>2970</v>
      </c>
      <c r="D407" s="38" t="s">
        <v>870</v>
      </c>
      <c r="F407" s="38" t="s">
        <v>2264</v>
      </c>
      <c r="J407" s="38" t="s">
        <v>2971</v>
      </c>
      <c r="K407" s="38" t="s">
        <v>2972</v>
      </c>
      <c r="L407" s="38">
        <v>1.0</v>
      </c>
      <c r="N407" s="38" t="s">
        <v>413</v>
      </c>
      <c r="R407" s="90">
        <v>355.0</v>
      </c>
      <c r="T407" s="90">
        <v>355.0</v>
      </c>
      <c r="V407" s="94" t="s">
        <v>1627</v>
      </c>
    </row>
    <row r="408">
      <c r="A408" s="37">
        <v>44970.524909513886</v>
      </c>
      <c r="B408" s="38" t="s">
        <v>827</v>
      </c>
      <c r="C408" s="38" t="s">
        <v>2576</v>
      </c>
      <c r="D408" s="38" t="s">
        <v>95</v>
      </c>
      <c r="F408" s="38" t="s">
        <v>2264</v>
      </c>
      <c r="J408" s="38" t="s">
        <v>2461</v>
      </c>
      <c r="K408" s="38" t="s">
        <v>2577</v>
      </c>
      <c r="L408" s="38">
        <v>1.0</v>
      </c>
      <c r="N408" s="38" t="s">
        <v>100</v>
      </c>
      <c r="R408" s="90">
        <v>356.0</v>
      </c>
      <c r="T408" s="90">
        <v>356.0</v>
      </c>
      <c r="V408" s="94" t="s">
        <v>1627</v>
      </c>
    </row>
    <row r="409">
      <c r="A409" s="37">
        <v>44972.40906284722</v>
      </c>
      <c r="B409" s="38" t="s">
        <v>827</v>
      </c>
      <c r="C409" s="38" t="s">
        <v>2905</v>
      </c>
      <c r="D409" s="38" t="s">
        <v>916</v>
      </c>
      <c r="F409" s="38" t="s">
        <v>2274</v>
      </c>
      <c r="G409" s="38" t="s">
        <v>2973</v>
      </c>
      <c r="H409" s="38" t="s">
        <v>2974</v>
      </c>
      <c r="N409" s="38" t="s">
        <v>390</v>
      </c>
      <c r="R409" s="90">
        <v>357.0</v>
      </c>
      <c r="T409" s="90">
        <v>357.0</v>
      </c>
      <c r="V409" s="93" t="s">
        <v>1505</v>
      </c>
    </row>
    <row r="410">
      <c r="A410" s="37">
        <v>44973.60105146991</v>
      </c>
      <c r="B410" s="38" t="s">
        <v>827</v>
      </c>
      <c r="C410" s="38" t="s">
        <v>1637</v>
      </c>
      <c r="D410" s="38" t="s">
        <v>16</v>
      </c>
      <c r="F410" s="38" t="s">
        <v>2274</v>
      </c>
      <c r="G410" s="38" t="s">
        <v>891</v>
      </c>
      <c r="H410" s="38" t="s">
        <v>2975</v>
      </c>
      <c r="N410" s="38" t="s">
        <v>11</v>
      </c>
      <c r="R410" s="90">
        <v>358.0</v>
      </c>
      <c r="T410" s="90">
        <v>358.0</v>
      </c>
      <c r="V410" s="94" t="s">
        <v>1627</v>
      </c>
    </row>
    <row r="411">
      <c r="A411" s="37">
        <v>44974.425888020836</v>
      </c>
      <c r="B411" s="38" t="s">
        <v>827</v>
      </c>
      <c r="C411" s="38" t="s">
        <v>1657</v>
      </c>
      <c r="D411" s="38" t="s">
        <v>95</v>
      </c>
      <c r="F411" s="38" t="s">
        <v>2264</v>
      </c>
      <c r="J411" s="38" t="s">
        <v>2461</v>
      </c>
      <c r="K411" s="38" t="s">
        <v>2976</v>
      </c>
      <c r="L411" s="38">
        <v>1.0</v>
      </c>
      <c r="N411" s="38" t="s">
        <v>1120</v>
      </c>
      <c r="R411" s="90">
        <v>359.0</v>
      </c>
      <c r="T411" s="90">
        <v>359.0</v>
      </c>
      <c r="V411" s="93" t="s">
        <v>1505</v>
      </c>
    </row>
    <row r="412">
      <c r="A412" s="37">
        <v>44977.45995392361</v>
      </c>
      <c r="B412" s="38" t="s">
        <v>827</v>
      </c>
      <c r="C412" s="38" t="s">
        <v>2977</v>
      </c>
      <c r="D412" s="38" t="s">
        <v>40</v>
      </c>
      <c r="F412" s="38" t="s">
        <v>2274</v>
      </c>
      <c r="G412" s="38" t="s">
        <v>2275</v>
      </c>
      <c r="H412" s="38" t="s">
        <v>2978</v>
      </c>
      <c r="N412" s="38" t="s">
        <v>2979</v>
      </c>
      <c r="R412" s="90">
        <v>360.0</v>
      </c>
      <c r="T412" s="90">
        <v>360.0</v>
      </c>
      <c r="V412" s="93" t="s">
        <v>1505</v>
      </c>
    </row>
    <row r="413">
      <c r="A413" s="37">
        <v>44977.52993873843</v>
      </c>
      <c r="B413" s="38" t="s">
        <v>827</v>
      </c>
      <c r="C413" s="38" t="s">
        <v>1639</v>
      </c>
      <c r="D413" s="38" t="s">
        <v>35</v>
      </c>
      <c r="F413" s="38" t="s">
        <v>2274</v>
      </c>
      <c r="G413" s="38" t="s">
        <v>2275</v>
      </c>
      <c r="H413" s="38" t="s">
        <v>2980</v>
      </c>
      <c r="N413" s="38" t="s">
        <v>2322</v>
      </c>
      <c r="R413" s="90">
        <v>361.0</v>
      </c>
      <c r="T413" s="90">
        <v>361.0</v>
      </c>
      <c r="V413" s="94" t="s">
        <v>1627</v>
      </c>
    </row>
    <row r="414">
      <c r="A414" s="37">
        <v>44977.538938356476</v>
      </c>
      <c r="B414" s="38" t="s">
        <v>827</v>
      </c>
      <c r="C414" s="38" t="s">
        <v>1717</v>
      </c>
      <c r="D414" s="38" t="s">
        <v>16</v>
      </c>
      <c r="F414" s="38" t="s">
        <v>2274</v>
      </c>
      <c r="G414" s="38" t="s">
        <v>2275</v>
      </c>
      <c r="H414" s="38" t="s">
        <v>2981</v>
      </c>
      <c r="N414" s="38" t="s">
        <v>24</v>
      </c>
      <c r="R414" s="90">
        <v>362.0</v>
      </c>
      <c r="T414" s="90">
        <v>362.0</v>
      </c>
      <c r="V414" s="94" t="s">
        <v>1627</v>
      </c>
    </row>
    <row r="415">
      <c r="A415" s="37">
        <v>44977.66011285879</v>
      </c>
      <c r="B415" s="38" t="s">
        <v>827</v>
      </c>
      <c r="C415" s="38" t="s">
        <v>1721</v>
      </c>
      <c r="D415" s="38" t="s">
        <v>95</v>
      </c>
      <c r="F415" s="38" t="s">
        <v>2264</v>
      </c>
      <c r="J415" s="38" t="s">
        <v>2461</v>
      </c>
      <c r="K415" s="38" t="s">
        <v>2982</v>
      </c>
      <c r="L415" s="38">
        <v>1.0</v>
      </c>
      <c r="N415" s="38" t="s">
        <v>93</v>
      </c>
      <c r="R415" s="90">
        <v>363.0</v>
      </c>
      <c r="T415" s="90">
        <v>363.0</v>
      </c>
      <c r="V415" s="94" t="s">
        <v>1627</v>
      </c>
    </row>
    <row r="416">
      <c r="A416" s="37">
        <v>44978.382416064815</v>
      </c>
      <c r="B416" s="38" t="s">
        <v>827</v>
      </c>
      <c r="C416" s="38" t="s">
        <v>1713</v>
      </c>
      <c r="D416" s="38" t="s">
        <v>44</v>
      </c>
      <c r="F416" s="38" t="s">
        <v>2274</v>
      </c>
      <c r="G416" s="38" t="s">
        <v>2275</v>
      </c>
      <c r="H416" s="38" t="s">
        <v>2983</v>
      </c>
      <c r="N416" s="38" t="s">
        <v>2272</v>
      </c>
      <c r="R416" s="90">
        <v>364.0</v>
      </c>
      <c r="T416" s="90">
        <v>364.0</v>
      </c>
      <c r="V416" s="93" t="s">
        <v>1505</v>
      </c>
    </row>
    <row r="417">
      <c r="A417" s="37">
        <v>44978.402947372684</v>
      </c>
      <c r="B417" s="38" t="s">
        <v>827</v>
      </c>
      <c r="C417" s="38" t="s">
        <v>1713</v>
      </c>
      <c r="D417" s="38" t="s">
        <v>44</v>
      </c>
      <c r="F417" s="38" t="s">
        <v>2274</v>
      </c>
      <c r="G417" s="38" t="s">
        <v>2275</v>
      </c>
      <c r="H417" s="38" t="s">
        <v>2984</v>
      </c>
      <c r="N417" s="38" t="s">
        <v>2272</v>
      </c>
      <c r="R417" s="90">
        <v>365.0</v>
      </c>
      <c r="T417" s="90">
        <v>365.0</v>
      </c>
      <c r="V417" s="93" t="s">
        <v>1505</v>
      </c>
    </row>
    <row r="418">
      <c r="A418" s="37">
        <v>44978.432096018514</v>
      </c>
      <c r="B418" s="38" t="s">
        <v>827</v>
      </c>
      <c r="C418" s="38" t="s">
        <v>1717</v>
      </c>
      <c r="D418" s="38" t="s">
        <v>16</v>
      </c>
      <c r="F418" s="38" t="s">
        <v>2274</v>
      </c>
      <c r="G418" s="38" t="s">
        <v>2232</v>
      </c>
      <c r="H418" s="38" t="s">
        <v>2985</v>
      </c>
      <c r="N418" s="38" t="s">
        <v>24</v>
      </c>
      <c r="R418" s="90">
        <v>366.0</v>
      </c>
      <c r="T418" s="90">
        <v>366.0</v>
      </c>
      <c r="V418" s="94" t="s">
        <v>1627</v>
      </c>
    </row>
    <row r="419">
      <c r="A419" s="37">
        <v>44978.58477310185</v>
      </c>
      <c r="B419" s="38" t="s">
        <v>827</v>
      </c>
      <c r="C419" s="38" t="s">
        <v>1717</v>
      </c>
      <c r="D419" s="38" t="s">
        <v>16</v>
      </c>
      <c r="F419" s="38" t="s">
        <v>2274</v>
      </c>
      <c r="G419" s="38" t="s">
        <v>2232</v>
      </c>
      <c r="H419" s="38" t="s">
        <v>2986</v>
      </c>
      <c r="N419" s="38" t="s">
        <v>24</v>
      </c>
      <c r="R419" s="90">
        <v>367.0</v>
      </c>
      <c r="T419" s="90">
        <v>367.0</v>
      </c>
      <c r="V419" s="94" t="s">
        <v>1627</v>
      </c>
    </row>
    <row r="420">
      <c r="A420" s="37">
        <v>44984.526958703704</v>
      </c>
      <c r="B420" s="38" t="s">
        <v>827</v>
      </c>
      <c r="C420" s="38" t="s">
        <v>2745</v>
      </c>
      <c r="D420" s="38" t="s">
        <v>35</v>
      </c>
      <c r="F420" s="38" t="s">
        <v>2264</v>
      </c>
      <c r="J420" s="38" t="s">
        <v>2987</v>
      </c>
      <c r="K420" s="38" t="s">
        <v>2988</v>
      </c>
      <c r="L420" s="38">
        <v>1.0</v>
      </c>
      <c r="N420" s="38" t="s">
        <v>2722</v>
      </c>
      <c r="R420" s="90">
        <v>368.0</v>
      </c>
      <c r="T420" s="90">
        <v>368.0</v>
      </c>
      <c r="V420" s="94" t="s">
        <v>1627</v>
      </c>
    </row>
    <row r="421">
      <c r="A421" s="37">
        <v>44988.42612113426</v>
      </c>
      <c r="B421" s="38" t="s">
        <v>827</v>
      </c>
      <c r="C421" s="38" t="s">
        <v>2819</v>
      </c>
      <c r="D421" s="38" t="s">
        <v>916</v>
      </c>
      <c r="F421" s="38" t="s">
        <v>2264</v>
      </c>
      <c r="J421" s="38" t="s">
        <v>883</v>
      </c>
      <c r="K421" s="38" t="s">
        <v>2989</v>
      </c>
      <c r="L421" s="38">
        <v>1.0</v>
      </c>
      <c r="N421" s="38" t="s">
        <v>2821</v>
      </c>
      <c r="R421" s="90">
        <v>369.0</v>
      </c>
      <c r="T421" s="90">
        <v>369.0</v>
      </c>
      <c r="V421" s="94" t="s">
        <v>1627</v>
      </c>
    </row>
    <row r="422">
      <c r="A422" s="37">
        <v>44991.42008099537</v>
      </c>
      <c r="B422" s="38" t="s">
        <v>827</v>
      </c>
      <c r="C422" s="38" t="s">
        <v>2670</v>
      </c>
      <c r="D422" s="38" t="s">
        <v>316</v>
      </c>
      <c r="F422" s="38" t="s">
        <v>2264</v>
      </c>
      <c r="J422" s="38" t="s">
        <v>2990</v>
      </c>
      <c r="K422" s="38" t="s">
        <v>2991</v>
      </c>
      <c r="L422" s="38">
        <v>1.0</v>
      </c>
      <c r="N422" s="38" t="s">
        <v>2673</v>
      </c>
      <c r="R422" s="90">
        <v>370.0</v>
      </c>
      <c r="T422" s="90">
        <v>370.0</v>
      </c>
      <c r="V422" s="94" t="s">
        <v>1627</v>
      </c>
    </row>
    <row r="423">
      <c r="A423" s="37">
        <v>44991.47198457176</v>
      </c>
      <c r="B423" s="38" t="s">
        <v>827</v>
      </c>
      <c r="C423" s="38" t="s">
        <v>2745</v>
      </c>
      <c r="D423" s="38" t="s">
        <v>35</v>
      </c>
      <c r="F423" s="38" t="s">
        <v>2274</v>
      </c>
      <c r="G423" s="38" t="s">
        <v>2992</v>
      </c>
      <c r="H423" s="38" t="s">
        <v>2992</v>
      </c>
      <c r="N423" s="38" t="s">
        <v>2722</v>
      </c>
      <c r="R423" s="90">
        <v>371.0</v>
      </c>
      <c r="T423" s="90">
        <v>371.0</v>
      </c>
      <c r="V423" s="94" t="s">
        <v>1627</v>
      </c>
    </row>
    <row r="424">
      <c r="A424" s="37">
        <v>44991.65164810185</v>
      </c>
      <c r="B424" s="38" t="s">
        <v>827</v>
      </c>
      <c r="C424" s="38" t="s">
        <v>2993</v>
      </c>
      <c r="D424" s="38" t="s">
        <v>16</v>
      </c>
      <c r="F424" s="38" t="s">
        <v>2274</v>
      </c>
      <c r="G424" s="38" t="s">
        <v>2994</v>
      </c>
      <c r="H424" s="38" t="s">
        <v>2995</v>
      </c>
      <c r="I424" s="85" t="s">
        <v>2996</v>
      </c>
      <c r="N424" s="38" t="s">
        <v>2733</v>
      </c>
      <c r="R424" s="90">
        <v>372.0</v>
      </c>
      <c r="T424" s="90">
        <v>372.0</v>
      </c>
      <c r="V424" s="94" t="s">
        <v>1627</v>
      </c>
    </row>
    <row r="425">
      <c r="A425" s="37">
        <v>44992.41953262732</v>
      </c>
      <c r="B425" s="38" t="s">
        <v>827</v>
      </c>
      <c r="C425" s="38" t="s">
        <v>2626</v>
      </c>
      <c r="D425" s="38" t="s">
        <v>196</v>
      </c>
      <c r="F425" s="38" t="s">
        <v>2274</v>
      </c>
      <c r="G425" s="38" t="s">
        <v>2997</v>
      </c>
      <c r="H425" s="38" t="s">
        <v>2998</v>
      </c>
      <c r="I425" s="85" t="s">
        <v>2999</v>
      </c>
      <c r="N425" s="38" t="s">
        <v>120</v>
      </c>
      <c r="R425" s="90">
        <v>373.0</v>
      </c>
      <c r="T425" s="90">
        <v>373.0</v>
      </c>
      <c r="V425" s="94" t="s">
        <v>1627</v>
      </c>
    </row>
    <row r="426">
      <c r="A426" s="37">
        <v>44992.44365130787</v>
      </c>
      <c r="B426" s="38" t="s">
        <v>827</v>
      </c>
      <c r="C426" s="38" t="s">
        <v>1636</v>
      </c>
      <c r="D426" s="38" t="s">
        <v>316</v>
      </c>
      <c r="F426" s="38" t="s">
        <v>2264</v>
      </c>
      <c r="J426" s="38" t="s">
        <v>3000</v>
      </c>
      <c r="K426" s="38" t="s">
        <v>3001</v>
      </c>
      <c r="L426" s="38" t="s">
        <v>3002</v>
      </c>
      <c r="N426" s="38" t="s">
        <v>2319</v>
      </c>
      <c r="R426" s="90">
        <v>374.0</v>
      </c>
      <c r="T426" s="90">
        <v>374.0</v>
      </c>
      <c r="V426" s="94" t="s">
        <v>1627</v>
      </c>
    </row>
    <row r="427">
      <c r="A427" s="37">
        <v>44992.502759131945</v>
      </c>
      <c r="B427" s="38" t="s">
        <v>827</v>
      </c>
      <c r="C427" s="38" t="s">
        <v>2905</v>
      </c>
      <c r="D427" s="38" t="s">
        <v>916</v>
      </c>
      <c r="F427" s="38" t="s">
        <v>2264</v>
      </c>
      <c r="J427" s="38" t="s">
        <v>3003</v>
      </c>
      <c r="K427" s="38" t="s">
        <v>828</v>
      </c>
      <c r="L427" s="38">
        <v>1.0</v>
      </c>
      <c r="N427" s="38" t="s">
        <v>390</v>
      </c>
      <c r="R427" s="90">
        <v>375.0</v>
      </c>
      <c r="T427" s="90">
        <v>375.0</v>
      </c>
      <c r="V427" s="94" t="s">
        <v>1627</v>
      </c>
    </row>
    <row r="428">
      <c r="A428" s="37">
        <v>44998.612948634254</v>
      </c>
      <c r="B428" s="38" t="s">
        <v>827</v>
      </c>
      <c r="C428" s="38" t="s">
        <v>2920</v>
      </c>
      <c r="D428" s="38" t="s">
        <v>52</v>
      </c>
      <c r="F428" s="38" t="s">
        <v>2274</v>
      </c>
      <c r="G428" s="38" t="s">
        <v>2241</v>
      </c>
      <c r="H428" s="38" t="s">
        <v>3004</v>
      </c>
      <c r="N428" s="38" t="s">
        <v>374</v>
      </c>
      <c r="R428" s="90">
        <v>376.0</v>
      </c>
      <c r="T428" s="90">
        <v>376.0</v>
      </c>
      <c r="V428" s="94" t="s">
        <v>1627</v>
      </c>
    </row>
    <row r="429">
      <c r="A429" s="37">
        <v>44998.65050321759</v>
      </c>
      <c r="B429" s="38" t="s">
        <v>827</v>
      </c>
      <c r="C429" s="38" t="s">
        <v>1646</v>
      </c>
      <c r="D429" s="38" t="s">
        <v>52</v>
      </c>
      <c r="F429" s="38" t="s">
        <v>2274</v>
      </c>
      <c r="G429" s="38" t="s">
        <v>3005</v>
      </c>
      <c r="H429" s="38" t="s">
        <v>3006</v>
      </c>
      <c r="N429" s="38" t="s">
        <v>419</v>
      </c>
      <c r="R429" s="90">
        <v>377.0</v>
      </c>
      <c r="T429" s="90">
        <v>377.0</v>
      </c>
      <c r="V429" s="94" t="s">
        <v>1627</v>
      </c>
    </row>
    <row r="430">
      <c r="A430" s="37">
        <v>44999.46977497685</v>
      </c>
      <c r="B430" s="38" t="s">
        <v>827</v>
      </c>
      <c r="C430" s="38" t="s">
        <v>3007</v>
      </c>
      <c r="D430" s="38" t="s">
        <v>916</v>
      </c>
      <c r="F430" s="38" t="s">
        <v>2274</v>
      </c>
      <c r="G430" s="38" t="s">
        <v>2275</v>
      </c>
      <c r="H430" s="38" t="s">
        <v>3008</v>
      </c>
      <c r="N430" s="38" t="s">
        <v>2662</v>
      </c>
      <c r="R430" s="90">
        <v>378.0</v>
      </c>
      <c r="T430" s="90">
        <v>378.0</v>
      </c>
      <c r="V430" s="94" t="s">
        <v>1627</v>
      </c>
    </row>
    <row r="431">
      <c r="A431" s="37">
        <v>44999.48620002315</v>
      </c>
      <c r="B431" s="38" t="s">
        <v>827</v>
      </c>
      <c r="C431" s="38" t="s">
        <v>1713</v>
      </c>
      <c r="D431" s="38" t="s">
        <v>44</v>
      </c>
      <c r="F431" s="38" t="s">
        <v>2274</v>
      </c>
      <c r="G431" s="38" t="s">
        <v>2241</v>
      </c>
      <c r="H431" s="38" t="s">
        <v>3009</v>
      </c>
      <c r="I431" s="85" t="s">
        <v>3010</v>
      </c>
      <c r="N431" s="38" t="s">
        <v>2272</v>
      </c>
      <c r="R431" s="90">
        <v>379.0</v>
      </c>
      <c r="T431" s="90">
        <v>379.0</v>
      </c>
      <c r="V431" s="94" t="s">
        <v>1627</v>
      </c>
    </row>
    <row r="432">
      <c r="A432" s="37">
        <v>45002.38126375</v>
      </c>
      <c r="B432" s="38" t="s">
        <v>827</v>
      </c>
      <c r="C432" s="38" t="s">
        <v>2861</v>
      </c>
      <c r="D432" s="38" t="s">
        <v>16</v>
      </c>
      <c r="F432" s="38" t="s">
        <v>2264</v>
      </c>
      <c r="J432" s="38" t="s">
        <v>3011</v>
      </c>
      <c r="K432" s="38" t="s">
        <v>3012</v>
      </c>
      <c r="L432" s="38">
        <v>2.0</v>
      </c>
      <c r="N432" s="38" t="s">
        <v>2863</v>
      </c>
      <c r="R432" s="90">
        <v>380.0</v>
      </c>
      <c r="T432" s="90">
        <v>380.0</v>
      </c>
      <c r="V432" s="94" t="s">
        <v>1627</v>
      </c>
    </row>
    <row r="433">
      <c r="A433" s="37">
        <v>45002.66349871528</v>
      </c>
      <c r="B433" s="38" t="s">
        <v>827</v>
      </c>
      <c r="C433" s="38" t="s">
        <v>2920</v>
      </c>
      <c r="D433" s="38" t="s">
        <v>52</v>
      </c>
      <c r="F433" s="38" t="s">
        <v>2274</v>
      </c>
      <c r="G433" s="38" t="s">
        <v>2232</v>
      </c>
      <c r="H433" s="38" t="s">
        <v>3013</v>
      </c>
      <c r="N433" s="38" t="s">
        <v>374</v>
      </c>
      <c r="R433" s="90">
        <v>381.0</v>
      </c>
      <c r="T433" s="90">
        <v>381.0</v>
      </c>
      <c r="V433" s="94" t="s">
        <v>1627</v>
      </c>
    </row>
    <row r="434">
      <c r="A434" s="37">
        <v>45005.34343775463</v>
      </c>
      <c r="B434" s="38" t="s">
        <v>827</v>
      </c>
      <c r="C434" s="38" t="s">
        <v>3007</v>
      </c>
      <c r="D434" s="38" t="s">
        <v>916</v>
      </c>
      <c r="F434" s="38" t="s">
        <v>2264</v>
      </c>
      <c r="J434" s="38" t="s">
        <v>3014</v>
      </c>
      <c r="K434" s="38" t="s">
        <v>3015</v>
      </c>
      <c r="L434" s="38" t="s">
        <v>2758</v>
      </c>
      <c r="N434" s="38" t="s">
        <v>89</v>
      </c>
      <c r="R434" s="90">
        <v>382.0</v>
      </c>
      <c r="T434" s="90">
        <v>382.0</v>
      </c>
      <c r="V434" s="92" t="s">
        <v>1621</v>
      </c>
    </row>
    <row r="435">
      <c r="A435" s="37">
        <v>45005.389966435185</v>
      </c>
      <c r="B435" s="38" t="s">
        <v>827</v>
      </c>
      <c r="C435" s="38" t="s">
        <v>3007</v>
      </c>
      <c r="D435" s="38" t="s">
        <v>916</v>
      </c>
      <c r="F435" s="38" t="s">
        <v>2264</v>
      </c>
      <c r="J435" s="38" t="s">
        <v>3016</v>
      </c>
      <c r="K435" s="38" t="s">
        <v>3017</v>
      </c>
      <c r="L435" s="38" t="s">
        <v>2758</v>
      </c>
      <c r="N435" s="38" t="s">
        <v>3018</v>
      </c>
      <c r="R435" s="90">
        <v>383.0</v>
      </c>
      <c r="T435" s="90">
        <v>383.0</v>
      </c>
      <c r="V435" s="94" t="s">
        <v>1627</v>
      </c>
    </row>
    <row r="436">
      <c r="A436" s="37">
        <v>45006.60022247685</v>
      </c>
      <c r="B436" s="38" t="s">
        <v>827</v>
      </c>
      <c r="C436" s="38" t="s">
        <v>1637</v>
      </c>
      <c r="D436" s="38" t="s">
        <v>16</v>
      </c>
      <c r="F436" s="38" t="s">
        <v>2264</v>
      </c>
      <c r="J436" s="38" t="s">
        <v>306</v>
      </c>
      <c r="K436" s="38" t="s">
        <v>3019</v>
      </c>
      <c r="L436" s="38">
        <v>1.0</v>
      </c>
      <c r="N436" s="38" t="s">
        <v>11</v>
      </c>
      <c r="R436" s="90">
        <v>384.0</v>
      </c>
      <c r="T436" s="90">
        <v>384.0</v>
      </c>
      <c r="V436" s="94" t="s">
        <v>1627</v>
      </c>
    </row>
    <row r="437">
      <c r="A437" s="37">
        <v>45007.34638908565</v>
      </c>
      <c r="B437" s="38" t="s">
        <v>827</v>
      </c>
      <c r="C437" s="38" t="s">
        <v>2920</v>
      </c>
      <c r="D437" s="38" t="s">
        <v>52</v>
      </c>
      <c r="F437" s="38" t="s">
        <v>2274</v>
      </c>
      <c r="G437" s="38" t="s">
        <v>2241</v>
      </c>
      <c r="H437" s="38" t="s">
        <v>3020</v>
      </c>
      <c r="N437" s="38" t="s">
        <v>374</v>
      </c>
      <c r="R437" s="90">
        <v>385.0</v>
      </c>
      <c r="T437" s="90">
        <v>385.0</v>
      </c>
      <c r="V437" s="94" t="s">
        <v>1627</v>
      </c>
    </row>
    <row r="438">
      <c r="A438" s="37">
        <v>45007.5497196875</v>
      </c>
      <c r="B438" s="38" t="s">
        <v>827</v>
      </c>
      <c r="C438" s="38" t="s">
        <v>1639</v>
      </c>
      <c r="D438" s="38" t="s">
        <v>35</v>
      </c>
      <c r="F438" s="38" t="s">
        <v>2274</v>
      </c>
      <c r="G438" s="38" t="s">
        <v>3021</v>
      </c>
      <c r="H438" s="38" t="s">
        <v>3022</v>
      </c>
      <c r="N438" s="38" t="s">
        <v>2322</v>
      </c>
      <c r="R438" s="90">
        <v>386.0</v>
      </c>
      <c r="T438" s="90">
        <v>386.0</v>
      </c>
      <c r="V438" s="94" t="s">
        <v>1627</v>
      </c>
    </row>
    <row r="439">
      <c r="A439" s="37">
        <v>45008.37624644676</v>
      </c>
      <c r="B439" s="38" t="s">
        <v>827</v>
      </c>
      <c r="C439" s="38" t="s">
        <v>2902</v>
      </c>
      <c r="D439" s="38" t="s">
        <v>82</v>
      </c>
      <c r="F439" s="38" t="s">
        <v>2264</v>
      </c>
      <c r="J439" s="38" t="s">
        <v>537</v>
      </c>
      <c r="K439" s="38" t="s">
        <v>3023</v>
      </c>
      <c r="L439" s="38">
        <v>1.0</v>
      </c>
      <c r="N439" s="38" t="s">
        <v>74</v>
      </c>
      <c r="R439" s="90">
        <v>387.0</v>
      </c>
      <c r="T439" s="90">
        <v>387.0</v>
      </c>
      <c r="V439" s="93" t="s">
        <v>1505</v>
      </c>
    </row>
    <row r="440">
      <c r="A440" s="37">
        <v>45013.38110701389</v>
      </c>
      <c r="B440" s="38" t="s">
        <v>827</v>
      </c>
      <c r="C440" s="38" t="s">
        <v>3024</v>
      </c>
      <c r="D440" s="38" t="s">
        <v>316</v>
      </c>
      <c r="F440" s="38" t="s">
        <v>2274</v>
      </c>
      <c r="G440" s="38" t="s">
        <v>2241</v>
      </c>
      <c r="H440" s="38" t="s">
        <v>3025</v>
      </c>
      <c r="N440" s="38" t="s">
        <v>2793</v>
      </c>
      <c r="R440" s="90">
        <v>388.0</v>
      </c>
      <c r="T440" s="90">
        <v>388.0</v>
      </c>
      <c r="V440" s="93" t="s">
        <v>1505</v>
      </c>
    </row>
    <row r="441">
      <c r="A441" s="37">
        <v>45013.670112569445</v>
      </c>
      <c r="B441" s="38" t="s">
        <v>827</v>
      </c>
      <c r="C441" s="38" t="s">
        <v>3024</v>
      </c>
      <c r="D441" s="38" t="s">
        <v>316</v>
      </c>
      <c r="F441" s="38" t="s">
        <v>2264</v>
      </c>
      <c r="J441" s="38" t="s">
        <v>306</v>
      </c>
      <c r="K441" s="38" t="s">
        <v>3026</v>
      </c>
      <c r="L441" s="38">
        <v>1.0</v>
      </c>
      <c r="N441" s="38" t="s">
        <v>2765</v>
      </c>
      <c r="R441" s="90">
        <v>389.0</v>
      </c>
      <c r="T441" s="90">
        <v>389.0</v>
      </c>
      <c r="V441" s="94" t="s">
        <v>1627</v>
      </c>
    </row>
    <row r="442">
      <c r="A442" s="37">
        <v>45014.462411388886</v>
      </c>
      <c r="B442" s="38" t="s">
        <v>827</v>
      </c>
      <c r="C442" s="38" t="s">
        <v>2576</v>
      </c>
      <c r="D442" s="38" t="s">
        <v>95</v>
      </c>
      <c r="F442" s="38" t="s">
        <v>2264</v>
      </c>
      <c r="J442" s="38" t="s">
        <v>3027</v>
      </c>
      <c r="K442" s="38" t="s">
        <v>3028</v>
      </c>
      <c r="L442" s="38">
        <v>2.0</v>
      </c>
      <c r="N442" s="38" t="s">
        <v>100</v>
      </c>
      <c r="R442" s="90">
        <v>390.0</v>
      </c>
      <c r="T442" s="90">
        <v>390.0</v>
      </c>
      <c r="V442" s="93" t="s">
        <v>1505</v>
      </c>
    </row>
    <row r="443">
      <c r="A443" s="37">
        <v>45019.36917497685</v>
      </c>
      <c r="B443" s="38" t="s">
        <v>827</v>
      </c>
      <c r="C443" s="38" t="s">
        <v>2920</v>
      </c>
      <c r="D443" s="38" t="s">
        <v>3029</v>
      </c>
      <c r="F443" s="38" t="s">
        <v>2274</v>
      </c>
      <c r="G443" s="38" t="s">
        <v>2275</v>
      </c>
      <c r="H443" s="38" t="s">
        <v>3030</v>
      </c>
      <c r="N443" s="38" t="s">
        <v>374</v>
      </c>
      <c r="R443" s="90">
        <v>391.0</v>
      </c>
      <c r="T443" s="90">
        <v>391.0</v>
      </c>
      <c r="V443" s="93" t="s">
        <v>1505</v>
      </c>
    </row>
    <row r="444">
      <c r="A444" s="37">
        <v>45019.490382268516</v>
      </c>
      <c r="B444" s="38" t="s">
        <v>827</v>
      </c>
      <c r="C444" s="38" t="s">
        <v>1639</v>
      </c>
      <c r="D444" s="38" t="s">
        <v>35</v>
      </c>
      <c r="F444" s="38" t="s">
        <v>2274</v>
      </c>
      <c r="G444" s="38" t="s">
        <v>3031</v>
      </c>
      <c r="H444" s="38" t="s">
        <v>3032</v>
      </c>
      <c r="N444" s="38" t="s">
        <v>2322</v>
      </c>
      <c r="R444" s="90">
        <v>392.0</v>
      </c>
      <c r="T444" s="90">
        <v>392.0</v>
      </c>
      <c r="V444" s="94" t="s">
        <v>1627</v>
      </c>
    </row>
    <row r="445">
      <c r="A445" s="37">
        <v>45020.45706429398</v>
      </c>
      <c r="B445" s="38" t="s">
        <v>827</v>
      </c>
      <c r="C445" s="38" t="s">
        <v>3007</v>
      </c>
      <c r="D445" s="38" t="s">
        <v>916</v>
      </c>
      <c r="F445" s="38" t="s">
        <v>2264</v>
      </c>
      <c r="J445" s="38" t="s">
        <v>3033</v>
      </c>
      <c r="K445" s="38" t="s">
        <v>3034</v>
      </c>
      <c r="L445" s="38" t="s">
        <v>3035</v>
      </c>
      <c r="N445" s="38" t="s">
        <v>89</v>
      </c>
      <c r="R445" s="90">
        <v>393.0</v>
      </c>
      <c r="T445" s="90">
        <v>393.0</v>
      </c>
      <c r="V445" s="94" t="s">
        <v>1627</v>
      </c>
    </row>
    <row r="446">
      <c r="A446" s="37">
        <v>45020.61356950231</v>
      </c>
      <c r="B446" s="38" t="s">
        <v>827</v>
      </c>
      <c r="C446" s="38" t="s">
        <v>1719</v>
      </c>
      <c r="D446" s="38" t="s">
        <v>878</v>
      </c>
      <c r="F446" s="38" t="s">
        <v>2274</v>
      </c>
      <c r="G446" s="38" t="s">
        <v>3036</v>
      </c>
      <c r="H446" s="38" t="s">
        <v>3037</v>
      </c>
      <c r="N446" s="38" t="s">
        <v>3038</v>
      </c>
      <c r="R446" s="90">
        <v>394.0</v>
      </c>
      <c r="T446" s="90">
        <v>394.0</v>
      </c>
      <c r="V446" s="94" t="s">
        <v>1627</v>
      </c>
    </row>
    <row r="447">
      <c r="A447" s="37">
        <v>45020.63995116898</v>
      </c>
      <c r="B447" s="38" t="s">
        <v>827</v>
      </c>
      <c r="C447" s="38" t="s">
        <v>2745</v>
      </c>
      <c r="D447" s="38" t="s">
        <v>35</v>
      </c>
      <c r="F447" s="38" t="s">
        <v>2274</v>
      </c>
      <c r="G447" s="38" t="s">
        <v>3039</v>
      </c>
      <c r="H447" s="38" t="s">
        <v>3039</v>
      </c>
      <c r="N447" s="38" t="s">
        <v>3040</v>
      </c>
      <c r="R447" s="90">
        <v>395.0</v>
      </c>
      <c r="T447" s="90">
        <v>395.0</v>
      </c>
      <c r="V447" s="94" t="s">
        <v>1627</v>
      </c>
    </row>
    <row r="448">
      <c r="A448" s="37">
        <v>45020.778097766204</v>
      </c>
      <c r="B448" s="38" t="s">
        <v>827</v>
      </c>
      <c r="C448" s="38" t="s">
        <v>1709</v>
      </c>
      <c r="D448" s="38" t="s">
        <v>316</v>
      </c>
      <c r="F448" s="38" t="s">
        <v>2274</v>
      </c>
      <c r="G448" s="38" t="s">
        <v>3041</v>
      </c>
      <c r="H448" s="38" t="s">
        <v>3042</v>
      </c>
      <c r="N448" s="38" t="s">
        <v>272</v>
      </c>
      <c r="R448" s="90">
        <v>396.0</v>
      </c>
      <c r="T448" s="90">
        <v>396.0</v>
      </c>
      <c r="V448" s="93" t="s">
        <v>1505</v>
      </c>
    </row>
    <row r="449">
      <c r="A449" s="37">
        <v>45022.38320253472</v>
      </c>
      <c r="B449" s="38" t="s">
        <v>827</v>
      </c>
      <c r="C449" s="38" t="s">
        <v>3043</v>
      </c>
      <c r="D449" s="38" t="s">
        <v>3029</v>
      </c>
      <c r="F449" s="38" t="s">
        <v>2274</v>
      </c>
      <c r="G449" s="38" t="s">
        <v>3044</v>
      </c>
      <c r="H449" s="38" t="s">
        <v>3045</v>
      </c>
      <c r="N449" s="38" t="s">
        <v>3046</v>
      </c>
      <c r="R449" s="90">
        <v>397.0</v>
      </c>
      <c r="T449" s="90">
        <v>397.0</v>
      </c>
      <c r="V449" s="94" t="s">
        <v>1627</v>
      </c>
    </row>
    <row r="450">
      <c r="A450" s="37">
        <v>45022.41874974537</v>
      </c>
      <c r="B450" s="38" t="s">
        <v>827</v>
      </c>
      <c r="C450" s="38" t="s">
        <v>2964</v>
      </c>
      <c r="D450" s="38" t="s">
        <v>870</v>
      </c>
      <c r="F450" s="38" t="s">
        <v>2274</v>
      </c>
      <c r="G450" s="38" t="s">
        <v>3047</v>
      </c>
      <c r="H450" s="38" t="s">
        <v>3048</v>
      </c>
      <c r="N450" s="38" t="s">
        <v>3049</v>
      </c>
      <c r="R450" s="90">
        <v>398.0</v>
      </c>
      <c r="T450" s="90">
        <v>398.0</v>
      </c>
      <c r="V450" s="93" t="s">
        <v>1505</v>
      </c>
    </row>
    <row r="451">
      <c r="A451" s="37">
        <v>45022.65970978009</v>
      </c>
      <c r="B451" s="38" t="s">
        <v>827</v>
      </c>
      <c r="C451" s="38" t="s">
        <v>1721</v>
      </c>
      <c r="D451" s="38" t="s">
        <v>95</v>
      </c>
      <c r="F451" s="38" t="s">
        <v>2264</v>
      </c>
      <c r="J451" s="38" t="s">
        <v>3050</v>
      </c>
      <c r="K451" s="38" t="s">
        <v>3051</v>
      </c>
      <c r="L451" s="38">
        <v>1.0</v>
      </c>
      <c r="N451" s="38" t="s">
        <v>93</v>
      </c>
      <c r="R451" s="90">
        <v>399.0</v>
      </c>
      <c r="T451" s="90">
        <v>399.0</v>
      </c>
      <c r="V451" s="94" t="s">
        <v>1627</v>
      </c>
    </row>
    <row r="452">
      <c r="A452" s="37">
        <v>45027.345490844906</v>
      </c>
      <c r="B452" s="38" t="s">
        <v>827</v>
      </c>
      <c r="C452" s="38" t="s">
        <v>2601</v>
      </c>
      <c r="D452" s="38" t="s">
        <v>40</v>
      </c>
      <c r="F452" s="38" t="s">
        <v>2274</v>
      </c>
      <c r="G452" s="38" t="s">
        <v>3052</v>
      </c>
      <c r="H452" s="38" t="s">
        <v>3052</v>
      </c>
      <c r="N452" s="38" t="s">
        <v>382</v>
      </c>
      <c r="R452" s="90">
        <v>400.0</v>
      </c>
      <c r="T452" s="90">
        <v>400.0</v>
      </c>
      <c r="V452" s="93" t="s">
        <v>1505</v>
      </c>
    </row>
    <row r="453">
      <c r="A453" s="37">
        <v>45027.39891068287</v>
      </c>
      <c r="B453" s="38" t="s">
        <v>827</v>
      </c>
      <c r="C453" s="38" t="s">
        <v>1721</v>
      </c>
      <c r="D453" s="38" t="s">
        <v>95</v>
      </c>
      <c r="F453" s="38" t="s">
        <v>2264</v>
      </c>
      <c r="J453" s="38" t="s">
        <v>3053</v>
      </c>
      <c r="K453" s="38" t="s">
        <v>3054</v>
      </c>
      <c r="L453" s="38">
        <v>1.0</v>
      </c>
      <c r="N453" s="38" t="s">
        <v>93</v>
      </c>
      <c r="R453" s="90">
        <v>401.0</v>
      </c>
      <c r="T453" s="90">
        <v>401.0</v>
      </c>
      <c r="V453" s="93" t="s">
        <v>1505</v>
      </c>
    </row>
    <row r="454">
      <c r="A454" s="37">
        <v>45027.48157887731</v>
      </c>
      <c r="B454" s="38" t="s">
        <v>827</v>
      </c>
      <c r="C454" s="38" t="s">
        <v>2905</v>
      </c>
      <c r="D454" s="38" t="s">
        <v>916</v>
      </c>
      <c r="F454" s="38" t="s">
        <v>2274</v>
      </c>
      <c r="G454" s="38" t="s">
        <v>2275</v>
      </c>
      <c r="H454" s="38" t="s">
        <v>3055</v>
      </c>
      <c r="N454" s="38" t="s">
        <v>390</v>
      </c>
      <c r="R454" s="90">
        <v>402.0</v>
      </c>
      <c r="T454" s="90">
        <v>402.0</v>
      </c>
      <c r="V454" s="93" t="s">
        <v>1505</v>
      </c>
    </row>
    <row r="455">
      <c r="A455" s="37">
        <v>45027.64162194444</v>
      </c>
      <c r="B455" s="38" t="s">
        <v>827</v>
      </c>
      <c r="C455" s="38" t="s">
        <v>1709</v>
      </c>
      <c r="D455" s="38" t="s">
        <v>316</v>
      </c>
      <c r="F455" s="38" t="s">
        <v>2264</v>
      </c>
      <c r="J455" s="38" t="s">
        <v>3056</v>
      </c>
      <c r="K455" s="38" t="s">
        <v>3057</v>
      </c>
      <c r="L455" s="38">
        <v>10.0</v>
      </c>
      <c r="N455" s="38" t="s">
        <v>3058</v>
      </c>
      <c r="R455" s="90">
        <v>403.0</v>
      </c>
      <c r="T455" s="90">
        <v>403.0</v>
      </c>
      <c r="V455" s="94" t="s">
        <v>1627</v>
      </c>
    </row>
    <row r="456">
      <c r="A456" s="37">
        <v>45028.617578680554</v>
      </c>
      <c r="B456" s="38" t="s">
        <v>827</v>
      </c>
      <c r="C456" s="38" t="s">
        <v>3007</v>
      </c>
      <c r="D456" s="38" t="s">
        <v>916</v>
      </c>
      <c r="F456" s="38" t="s">
        <v>2274</v>
      </c>
      <c r="G456" s="38" t="s">
        <v>2275</v>
      </c>
      <c r="H456" s="38" t="s">
        <v>3059</v>
      </c>
      <c r="N456" s="38" t="s">
        <v>89</v>
      </c>
      <c r="R456" s="90">
        <v>404.0</v>
      </c>
      <c r="T456" s="90">
        <v>404.0</v>
      </c>
      <c r="V456" s="93" t="s">
        <v>1505</v>
      </c>
    </row>
    <row r="457">
      <c r="A457" s="37">
        <v>45029.460876192126</v>
      </c>
      <c r="B457" s="38" t="s">
        <v>827</v>
      </c>
      <c r="C457" s="38" t="s">
        <v>2905</v>
      </c>
      <c r="D457" s="38" t="s">
        <v>916</v>
      </c>
      <c r="F457" s="38" t="s">
        <v>2264</v>
      </c>
      <c r="J457" s="38" t="s">
        <v>306</v>
      </c>
      <c r="K457" s="38" t="s">
        <v>3060</v>
      </c>
      <c r="L457" s="38">
        <v>1.0</v>
      </c>
      <c r="N457" s="38" t="s">
        <v>390</v>
      </c>
      <c r="R457" s="90">
        <v>405.0</v>
      </c>
      <c r="T457" s="90">
        <v>405.0</v>
      </c>
      <c r="V457" s="93" t="s">
        <v>1505</v>
      </c>
    </row>
    <row r="458">
      <c r="A458" s="37">
        <v>45029.712612118055</v>
      </c>
      <c r="B458" s="38" t="s">
        <v>827</v>
      </c>
      <c r="C458" s="38" t="s">
        <v>2670</v>
      </c>
      <c r="D458" s="38" t="s">
        <v>316</v>
      </c>
      <c r="F458" s="38" t="s">
        <v>2264</v>
      </c>
      <c r="J458" s="38" t="s">
        <v>3061</v>
      </c>
      <c r="K458" s="38" t="s">
        <v>426</v>
      </c>
      <c r="L458" s="38">
        <v>1.0</v>
      </c>
      <c r="M458" s="85" t="s">
        <v>3062</v>
      </c>
      <c r="N458" s="38" t="s">
        <v>2673</v>
      </c>
      <c r="R458" s="90">
        <v>406.0</v>
      </c>
      <c r="T458" s="90">
        <v>406.0</v>
      </c>
      <c r="V458" s="93" t="s">
        <v>1505</v>
      </c>
    </row>
    <row r="459">
      <c r="A459" s="37">
        <v>45030.474233553236</v>
      </c>
      <c r="B459" s="38" t="s">
        <v>827</v>
      </c>
      <c r="C459" s="38" t="s">
        <v>3063</v>
      </c>
      <c r="D459" s="38" t="s">
        <v>916</v>
      </c>
      <c r="F459" s="38" t="s">
        <v>2274</v>
      </c>
      <c r="G459" s="38" t="s">
        <v>3064</v>
      </c>
      <c r="H459" s="38" t="s">
        <v>3065</v>
      </c>
      <c r="N459" s="38" t="s">
        <v>69</v>
      </c>
      <c r="R459" s="90">
        <v>407.0</v>
      </c>
      <c r="T459" s="90">
        <v>407.0</v>
      </c>
      <c r="V459" s="94" t="s">
        <v>1627</v>
      </c>
    </row>
    <row r="460">
      <c r="A460" s="37">
        <v>45030.50518920139</v>
      </c>
      <c r="B460" s="38" t="s">
        <v>827</v>
      </c>
      <c r="C460" s="38" t="s">
        <v>3007</v>
      </c>
      <c r="D460" s="38" t="s">
        <v>916</v>
      </c>
      <c r="F460" s="38" t="s">
        <v>2274</v>
      </c>
      <c r="G460" s="38" t="s">
        <v>3066</v>
      </c>
      <c r="H460" s="38" t="s">
        <v>3067</v>
      </c>
      <c r="N460" s="38" t="s">
        <v>89</v>
      </c>
      <c r="R460" s="90">
        <v>408.0</v>
      </c>
      <c r="T460" s="90">
        <v>408.0</v>
      </c>
      <c r="V460" s="94" t="s">
        <v>1627</v>
      </c>
    </row>
    <row r="461">
      <c r="A461" s="37">
        <v>45033.44948527778</v>
      </c>
      <c r="B461" s="38" t="s">
        <v>827</v>
      </c>
      <c r="C461" s="38" t="s">
        <v>3007</v>
      </c>
      <c r="D461" s="38" t="s">
        <v>916</v>
      </c>
      <c r="F461" s="38" t="s">
        <v>2274</v>
      </c>
      <c r="G461" s="38" t="s">
        <v>3068</v>
      </c>
      <c r="H461" s="38" t="s">
        <v>3069</v>
      </c>
      <c r="N461" s="38" t="s">
        <v>89</v>
      </c>
      <c r="R461" s="90">
        <v>409.0</v>
      </c>
      <c r="T461" s="90">
        <v>409.0</v>
      </c>
      <c r="V461" s="93" t="s">
        <v>1505</v>
      </c>
    </row>
    <row r="462">
      <c r="A462" s="37">
        <v>45033.60578262732</v>
      </c>
      <c r="B462" s="38" t="s">
        <v>827</v>
      </c>
      <c r="C462" s="38" t="s">
        <v>2737</v>
      </c>
      <c r="D462" s="38" t="s">
        <v>1261</v>
      </c>
      <c r="F462" s="38" t="s">
        <v>2274</v>
      </c>
      <c r="G462" s="38" t="s">
        <v>3070</v>
      </c>
      <c r="H462" s="38" t="s">
        <v>3071</v>
      </c>
      <c r="N462" s="38" t="s">
        <v>2776</v>
      </c>
      <c r="R462" s="90">
        <v>410.0</v>
      </c>
      <c r="T462" s="90">
        <v>410.0</v>
      </c>
      <c r="V462" s="93" t="s">
        <v>1505</v>
      </c>
    </row>
    <row r="463">
      <c r="A463" s="37">
        <v>45033.60593990741</v>
      </c>
      <c r="B463" s="38" t="s">
        <v>827</v>
      </c>
      <c r="C463" s="38" t="s">
        <v>3007</v>
      </c>
      <c r="D463" s="38" t="s">
        <v>916</v>
      </c>
      <c r="F463" s="38" t="s">
        <v>2274</v>
      </c>
      <c r="G463" s="38" t="s">
        <v>2275</v>
      </c>
      <c r="H463" s="38" t="s">
        <v>3072</v>
      </c>
      <c r="N463" s="38" t="s">
        <v>89</v>
      </c>
      <c r="R463" s="90">
        <v>411.0</v>
      </c>
      <c r="T463" s="90">
        <v>411.0</v>
      </c>
      <c r="V463" s="94" t="s">
        <v>1627</v>
      </c>
    </row>
    <row r="464">
      <c r="A464" s="37">
        <v>45033.638898715275</v>
      </c>
      <c r="B464" s="38" t="s">
        <v>827</v>
      </c>
      <c r="C464" s="38" t="s">
        <v>3073</v>
      </c>
      <c r="D464" s="38" t="s">
        <v>44</v>
      </c>
      <c r="F464" s="38" t="s">
        <v>2264</v>
      </c>
      <c r="J464" s="38" t="s">
        <v>3074</v>
      </c>
      <c r="K464" s="38" t="s">
        <v>3075</v>
      </c>
      <c r="L464" s="38">
        <v>1.0</v>
      </c>
      <c r="N464" s="38" t="s">
        <v>3076</v>
      </c>
      <c r="R464" s="90">
        <v>412.0</v>
      </c>
      <c r="T464" s="90">
        <v>412.0</v>
      </c>
      <c r="V464" s="94" t="s">
        <v>1627</v>
      </c>
    </row>
    <row r="465">
      <c r="A465" s="37">
        <v>45033.68947174768</v>
      </c>
      <c r="B465" s="38" t="s">
        <v>827</v>
      </c>
      <c r="C465" s="38" t="s">
        <v>3007</v>
      </c>
      <c r="D465" s="38" t="s">
        <v>916</v>
      </c>
      <c r="F465" s="38" t="s">
        <v>2264</v>
      </c>
      <c r="J465" s="38" t="s">
        <v>3077</v>
      </c>
      <c r="K465" s="38" t="s">
        <v>3078</v>
      </c>
      <c r="L465" s="38" t="s">
        <v>2758</v>
      </c>
      <c r="N465" s="38" t="s">
        <v>89</v>
      </c>
      <c r="R465" s="90">
        <v>413.0</v>
      </c>
      <c r="T465" s="90">
        <v>413.0</v>
      </c>
      <c r="V465" s="93" t="s">
        <v>1505</v>
      </c>
    </row>
    <row r="466">
      <c r="A466" s="37">
        <v>45034.436116111116</v>
      </c>
      <c r="B466" s="38" t="s">
        <v>827</v>
      </c>
      <c r="C466" s="38" t="s">
        <v>3007</v>
      </c>
      <c r="D466" s="38" t="s">
        <v>916</v>
      </c>
      <c r="F466" s="38" t="s">
        <v>2264</v>
      </c>
      <c r="J466" s="38" t="s">
        <v>3079</v>
      </c>
      <c r="K466" s="38" t="s">
        <v>3078</v>
      </c>
      <c r="L466" s="38">
        <v>1.0</v>
      </c>
      <c r="N466" s="38" t="s">
        <v>89</v>
      </c>
      <c r="R466" s="90">
        <v>414.0</v>
      </c>
      <c r="T466" s="90">
        <v>414.0</v>
      </c>
      <c r="V466" s="93" t="s">
        <v>1505</v>
      </c>
    </row>
    <row r="467">
      <c r="A467" s="37">
        <v>45035.39963170139</v>
      </c>
      <c r="B467" s="38" t="s">
        <v>827</v>
      </c>
      <c r="C467" s="38" t="s">
        <v>2905</v>
      </c>
      <c r="D467" s="38" t="s">
        <v>916</v>
      </c>
      <c r="F467" s="38" t="s">
        <v>2264</v>
      </c>
      <c r="J467" s="38" t="s">
        <v>3080</v>
      </c>
      <c r="K467" s="38" t="s">
        <v>3081</v>
      </c>
      <c r="L467" s="38" t="s">
        <v>3082</v>
      </c>
      <c r="N467" s="38" t="s">
        <v>390</v>
      </c>
      <c r="R467" s="90">
        <v>415.0</v>
      </c>
      <c r="T467" s="90">
        <v>415.0</v>
      </c>
      <c r="V467" s="94" t="s">
        <v>1627</v>
      </c>
    </row>
    <row r="468">
      <c r="A468" s="37">
        <v>45035.412148668984</v>
      </c>
      <c r="B468" s="38" t="s">
        <v>827</v>
      </c>
      <c r="C468" s="38" t="s">
        <v>1713</v>
      </c>
      <c r="D468" s="38" t="s">
        <v>44</v>
      </c>
      <c r="F468" s="38" t="s">
        <v>2274</v>
      </c>
      <c r="G468" s="38" t="s">
        <v>2241</v>
      </c>
      <c r="H468" s="38" t="s">
        <v>3083</v>
      </c>
      <c r="N468" s="38" t="s">
        <v>2272</v>
      </c>
      <c r="R468" s="90">
        <v>416.0</v>
      </c>
      <c r="T468" s="90">
        <v>416.0</v>
      </c>
      <c r="V468" s="94" t="s">
        <v>1627</v>
      </c>
    </row>
    <row r="469">
      <c r="A469" s="37">
        <v>45040.68839174768</v>
      </c>
      <c r="B469" s="38" t="s">
        <v>827</v>
      </c>
      <c r="C469" s="38" t="s">
        <v>1717</v>
      </c>
      <c r="D469" s="38" t="s">
        <v>16</v>
      </c>
      <c r="F469" s="38" t="s">
        <v>2274</v>
      </c>
      <c r="G469" s="38" t="s">
        <v>3084</v>
      </c>
      <c r="H469" s="38" t="s">
        <v>3085</v>
      </c>
      <c r="N469" s="38" t="s">
        <v>24</v>
      </c>
      <c r="R469" s="90">
        <v>417.0</v>
      </c>
      <c r="T469" s="90">
        <v>417.0</v>
      </c>
      <c r="V469" s="94" t="s">
        <v>1627</v>
      </c>
    </row>
    <row r="470">
      <c r="A470" s="37">
        <v>45041.298450138886</v>
      </c>
      <c r="B470" s="38" t="s">
        <v>827</v>
      </c>
      <c r="C470" s="38" t="s">
        <v>1713</v>
      </c>
      <c r="D470" s="38" t="s">
        <v>44</v>
      </c>
      <c r="F470" s="38" t="s">
        <v>2274</v>
      </c>
      <c r="G470" s="38" t="s">
        <v>2275</v>
      </c>
      <c r="H470" s="38" t="s">
        <v>3086</v>
      </c>
      <c r="N470" s="38" t="s">
        <v>2272</v>
      </c>
      <c r="R470" s="90">
        <v>418.0</v>
      </c>
      <c r="T470" s="90">
        <v>418.0</v>
      </c>
      <c r="V470" s="94" t="s">
        <v>1627</v>
      </c>
    </row>
    <row r="471">
      <c r="A471" s="37">
        <v>45041.40832630787</v>
      </c>
      <c r="B471" s="38" t="s">
        <v>827</v>
      </c>
      <c r="C471" s="38" t="s">
        <v>1721</v>
      </c>
      <c r="D471" s="38" t="s">
        <v>95</v>
      </c>
      <c r="F471" s="38" t="s">
        <v>2264</v>
      </c>
      <c r="J471" s="38" t="s">
        <v>3087</v>
      </c>
      <c r="K471" s="38" t="s">
        <v>2402</v>
      </c>
      <c r="L471" s="38">
        <v>1.0</v>
      </c>
      <c r="N471" s="38" t="s">
        <v>93</v>
      </c>
      <c r="R471" s="90">
        <v>419.0</v>
      </c>
      <c r="T471" s="90">
        <v>419.0</v>
      </c>
      <c r="V471" s="93" t="s">
        <v>1505</v>
      </c>
    </row>
    <row r="472">
      <c r="A472" s="37">
        <v>45048.42386252315</v>
      </c>
      <c r="B472" s="38" t="s">
        <v>827</v>
      </c>
      <c r="C472" s="38" t="s">
        <v>3088</v>
      </c>
      <c r="D472" s="38" t="s">
        <v>40</v>
      </c>
      <c r="F472" s="38" t="s">
        <v>2274</v>
      </c>
      <c r="G472" s="38" t="s">
        <v>2232</v>
      </c>
      <c r="H472" s="38" t="s">
        <v>3089</v>
      </c>
      <c r="N472" s="38" t="s">
        <v>2352</v>
      </c>
      <c r="R472" s="90">
        <v>420.0</v>
      </c>
      <c r="T472" s="90">
        <v>420.0</v>
      </c>
      <c r="V472" s="94" t="s">
        <v>1627</v>
      </c>
    </row>
    <row r="473">
      <c r="A473" s="37">
        <v>45048.49649244213</v>
      </c>
      <c r="B473" s="38" t="s">
        <v>827</v>
      </c>
      <c r="C473" s="38" t="s">
        <v>2231</v>
      </c>
      <c r="D473" s="38" t="s">
        <v>916</v>
      </c>
      <c r="F473" s="38" t="s">
        <v>2274</v>
      </c>
      <c r="G473" s="38" t="s">
        <v>2241</v>
      </c>
      <c r="H473" s="38" t="s">
        <v>3090</v>
      </c>
      <c r="N473" s="38" t="s">
        <v>415</v>
      </c>
      <c r="R473" s="90">
        <v>421.0</v>
      </c>
      <c r="T473" s="90">
        <v>421.0</v>
      </c>
      <c r="V473" s="94" t="s">
        <v>1627</v>
      </c>
    </row>
    <row r="474">
      <c r="A474" s="37">
        <v>45049.35326125</v>
      </c>
      <c r="B474" s="38" t="s">
        <v>827</v>
      </c>
      <c r="C474" s="38" t="s">
        <v>2740</v>
      </c>
      <c r="D474" s="38" t="s">
        <v>316</v>
      </c>
      <c r="F474" s="38" t="s">
        <v>2264</v>
      </c>
      <c r="J474" s="38" t="s">
        <v>3091</v>
      </c>
      <c r="K474" s="38" t="s">
        <v>3092</v>
      </c>
      <c r="L474" s="38">
        <v>1.0</v>
      </c>
      <c r="M474" s="85" t="s">
        <v>3093</v>
      </c>
      <c r="N474" s="38" t="s">
        <v>2744</v>
      </c>
      <c r="R474" s="90">
        <v>422.0</v>
      </c>
      <c r="T474" s="90">
        <v>422.0</v>
      </c>
      <c r="V474" s="93" t="s">
        <v>1505</v>
      </c>
    </row>
    <row r="475">
      <c r="A475" s="37">
        <v>45049.35992832176</v>
      </c>
      <c r="B475" s="38" t="s">
        <v>827</v>
      </c>
      <c r="C475" s="38" t="s">
        <v>2626</v>
      </c>
      <c r="D475" s="38" t="s">
        <v>196</v>
      </c>
      <c r="F475" s="38" t="s">
        <v>2274</v>
      </c>
      <c r="G475" s="38" t="s">
        <v>2241</v>
      </c>
      <c r="H475" s="38" t="s">
        <v>3094</v>
      </c>
      <c r="N475" s="38" t="s">
        <v>120</v>
      </c>
      <c r="R475" s="90">
        <v>423.0</v>
      </c>
      <c r="T475" s="90">
        <v>423.0</v>
      </c>
      <c r="V475" s="93" t="s">
        <v>1505</v>
      </c>
    </row>
    <row r="476">
      <c r="A476" s="37">
        <v>45049.51223204861</v>
      </c>
      <c r="B476" s="38" t="s">
        <v>827</v>
      </c>
      <c r="C476" s="38" t="s">
        <v>1633</v>
      </c>
      <c r="D476" s="38" t="s">
        <v>316</v>
      </c>
      <c r="F476" s="38" t="s">
        <v>2264</v>
      </c>
      <c r="J476" s="38" t="s">
        <v>3095</v>
      </c>
      <c r="K476" s="38" t="s">
        <v>3096</v>
      </c>
      <c r="L476" s="38">
        <v>1.0</v>
      </c>
      <c r="N476" s="38" t="s">
        <v>320</v>
      </c>
      <c r="R476" s="90">
        <v>424.0</v>
      </c>
      <c r="T476" s="90">
        <v>424.0</v>
      </c>
      <c r="V476" s="93" t="s">
        <v>1505</v>
      </c>
    </row>
    <row r="477">
      <c r="A477" s="37">
        <v>45050.621861886575</v>
      </c>
      <c r="B477" s="38" t="s">
        <v>827</v>
      </c>
      <c r="C477" s="38" t="s">
        <v>2561</v>
      </c>
      <c r="D477" s="38" t="s">
        <v>1261</v>
      </c>
      <c r="F477" s="38" t="s">
        <v>2264</v>
      </c>
      <c r="J477" s="38" t="s">
        <v>3097</v>
      </c>
      <c r="K477" s="38" t="s">
        <v>3098</v>
      </c>
      <c r="L477" s="38">
        <v>4.0</v>
      </c>
      <c r="N477" s="38" t="s">
        <v>1260</v>
      </c>
      <c r="R477" s="90">
        <v>425.0</v>
      </c>
      <c r="T477" s="90">
        <v>425.0</v>
      </c>
      <c r="V477" s="93" t="s">
        <v>1505</v>
      </c>
    </row>
    <row r="478">
      <c r="A478" s="37">
        <v>45054.35201275463</v>
      </c>
      <c r="B478" s="38" t="s">
        <v>827</v>
      </c>
      <c r="C478" s="38" t="s">
        <v>2905</v>
      </c>
      <c r="D478" s="38" t="s">
        <v>916</v>
      </c>
      <c r="F478" s="38" t="s">
        <v>2274</v>
      </c>
      <c r="G478" s="38" t="s">
        <v>3099</v>
      </c>
      <c r="H478" s="38" t="s">
        <v>3099</v>
      </c>
      <c r="N478" s="38" t="s">
        <v>390</v>
      </c>
      <c r="R478" s="90">
        <v>426.0</v>
      </c>
      <c r="T478" s="90">
        <v>426.0</v>
      </c>
      <c r="V478" s="94" t="s">
        <v>1627</v>
      </c>
    </row>
    <row r="479">
      <c r="A479" s="37">
        <v>45056.34562101852</v>
      </c>
      <c r="B479" s="38" t="s">
        <v>827</v>
      </c>
      <c r="C479" s="38" t="s">
        <v>3007</v>
      </c>
      <c r="D479" s="38" t="s">
        <v>916</v>
      </c>
      <c r="F479" s="38" t="s">
        <v>2264</v>
      </c>
      <c r="J479" s="38" t="s">
        <v>3100</v>
      </c>
      <c r="K479" s="38" t="s">
        <v>3101</v>
      </c>
      <c r="L479" s="38" t="s">
        <v>2758</v>
      </c>
      <c r="N479" s="38" t="s">
        <v>89</v>
      </c>
      <c r="R479" s="90">
        <v>427.0</v>
      </c>
      <c r="T479" s="90">
        <v>427.0</v>
      </c>
      <c r="V479" s="93" t="s">
        <v>1505</v>
      </c>
    </row>
    <row r="480">
      <c r="A480" s="37">
        <v>45058.53761864583</v>
      </c>
      <c r="B480" s="38" t="s">
        <v>827</v>
      </c>
      <c r="C480" s="38" t="s">
        <v>1713</v>
      </c>
      <c r="D480" s="38" t="s">
        <v>44</v>
      </c>
      <c r="F480" s="38" t="s">
        <v>2274</v>
      </c>
      <c r="G480" s="38" t="s">
        <v>3102</v>
      </c>
      <c r="H480" s="38" t="s">
        <v>3103</v>
      </c>
      <c r="N480" s="38" t="s">
        <v>2272</v>
      </c>
      <c r="R480" s="90">
        <v>428.0</v>
      </c>
      <c r="T480" s="90">
        <v>428.0</v>
      </c>
      <c r="V480" s="94" t="s">
        <v>1627</v>
      </c>
    </row>
    <row r="481">
      <c r="A481" s="37">
        <v>45061.69812451389</v>
      </c>
      <c r="B481" s="38" t="s">
        <v>827</v>
      </c>
      <c r="C481" s="38" t="s">
        <v>3063</v>
      </c>
      <c r="D481" s="38" t="s">
        <v>916</v>
      </c>
      <c r="F481" s="38" t="s">
        <v>2274</v>
      </c>
      <c r="G481" s="38" t="s">
        <v>2241</v>
      </c>
      <c r="H481" s="38" t="s">
        <v>3104</v>
      </c>
      <c r="N481" s="38" t="s">
        <v>3105</v>
      </c>
      <c r="R481" s="90">
        <v>429.0</v>
      </c>
      <c r="T481" s="90">
        <v>429.0</v>
      </c>
      <c r="V481" s="93" t="s">
        <v>1505</v>
      </c>
    </row>
    <row r="482">
      <c r="A482" s="37">
        <v>45062.44286131945</v>
      </c>
      <c r="B482" s="38" t="s">
        <v>827</v>
      </c>
      <c r="C482" s="38" t="s">
        <v>3106</v>
      </c>
      <c r="D482" s="38" t="s">
        <v>316</v>
      </c>
      <c r="F482" s="38" t="s">
        <v>2274</v>
      </c>
      <c r="G482" s="38" t="s">
        <v>3107</v>
      </c>
      <c r="H482" s="38" t="s">
        <v>3108</v>
      </c>
      <c r="N482" s="38" t="s">
        <v>2673</v>
      </c>
      <c r="R482" s="90">
        <v>430.0</v>
      </c>
      <c r="T482" s="90">
        <v>430.0</v>
      </c>
      <c r="V482" s="94" t="s">
        <v>1627</v>
      </c>
    </row>
    <row r="483">
      <c r="A483" s="37">
        <v>45062.44561916667</v>
      </c>
      <c r="B483" s="38" t="s">
        <v>827</v>
      </c>
      <c r="C483" s="38" t="s">
        <v>3109</v>
      </c>
      <c r="D483" s="38" t="s">
        <v>196</v>
      </c>
      <c r="F483" s="38" t="s">
        <v>2264</v>
      </c>
      <c r="J483" s="38" t="s">
        <v>3110</v>
      </c>
      <c r="K483" s="38" t="s">
        <v>3111</v>
      </c>
      <c r="L483" s="38">
        <v>1.0</v>
      </c>
      <c r="N483" s="38" t="s">
        <v>120</v>
      </c>
      <c r="R483" s="90">
        <v>431.0</v>
      </c>
      <c r="T483" s="90">
        <v>431.0</v>
      </c>
      <c r="V483" s="93" t="s">
        <v>1505</v>
      </c>
    </row>
    <row r="484">
      <c r="A484" s="37">
        <v>45063.41738570602</v>
      </c>
      <c r="B484" s="38" t="s">
        <v>827</v>
      </c>
      <c r="C484" s="38" t="s">
        <v>2760</v>
      </c>
      <c r="D484" s="38" t="s">
        <v>316</v>
      </c>
      <c r="F484" s="38" t="s">
        <v>2274</v>
      </c>
      <c r="G484" s="38" t="s">
        <v>2275</v>
      </c>
      <c r="H484" s="38" t="s">
        <v>3112</v>
      </c>
      <c r="N484" s="38" t="s">
        <v>3113</v>
      </c>
      <c r="R484" s="90">
        <v>432.0</v>
      </c>
      <c r="T484" s="90">
        <v>432.0</v>
      </c>
      <c r="V484" s="94" t="s">
        <v>1627</v>
      </c>
    </row>
    <row r="485">
      <c r="A485" s="37">
        <v>45064.39585991898</v>
      </c>
      <c r="B485" s="38" t="s">
        <v>827</v>
      </c>
      <c r="C485" s="38" t="s">
        <v>3114</v>
      </c>
      <c r="D485" s="38" t="s">
        <v>916</v>
      </c>
      <c r="F485" s="38" t="s">
        <v>2264</v>
      </c>
      <c r="J485" s="38" t="s">
        <v>3115</v>
      </c>
      <c r="K485" s="38" t="s">
        <v>3116</v>
      </c>
      <c r="L485" s="38">
        <v>1.0</v>
      </c>
      <c r="N485" s="38" t="s">
        <v>89</v>
      </c>
      <c r="R485" s="90">
        <v>433.0</v>
      </c>
      <c r="T485" s="90">
        <v>433.0</v>
      </c>
      <c r="V485" s="94" t="s">
        <v>1627</v>
      </c>
    </row>
    <row r="486">
      <c r="A486" s="37">
        <v>45064.68833056713</v>
      </c>
      <c r="B486" s="38" t="s">
        <v>827</v>
      </c>
      <c r="C486" s="38" t="s">
        <v>1646</v>
      </c>
      <c r="D486" s="38" t="s">
        <v>3029</v>
      </c>
      <c r="F486" s="38" t="s">
        <v>2264</v>
      </c>
      <c r="J486" s="38" t="s">
        <v>306</v>
      </c>
      <c r="K486" s="38" t="s">
        <v>3117</v>
      </c>
      <c r="L486" s="38">
        <v>1.0</v>
      </c>
      <c r="N486" s="38" t="s">
        <v>419</v>
      </c>
      <c r="R486" s="90">
        <v>434.0</v>
      </c>
      <c r="T486" s="90">
        <v>434.0</v>
      </c>
      <c r="V486" s="94" t="s">
        <v>1627</v>
      </c>
    </row>
    <row r="487">
      <c r="A487" s="37">
        <v>45066.42351734954</v>
      </c>
      <c r="B487" s="38" t="s">
        <v>827</v>
      </c>
      <c r="C487" s="38" t="s">
        <v>2740</v>
      </c>
      <c r="D487" s="38" t="s">
        <v>316</v>
      </c>
      <c r="F487" s="38" t="s">
        <v>2264</v>
      </c>
      <c r="J487" s="38" t="s">
        <v>883</v>
      </c>
      <c r="K487" s="38" t="s">
        <v>3118</v>
      </c>
      <c r="L487" s="38">
        <v>1.0</v>
      </c>
      <c r="M487" s="38" t="s">
        <v>3119</v>
      </c>
      <c r="N487" s="38" t="s">
        <v>2744</v>
      </c>
      <c r="R487" s="90">
        <v>435.0</v>
      </c>
      <c r="T487" s="90">
        <v>435.0</v>
      </c>
      <c r="V487" s="94" t="s">
        <v>1627</v>
      </c>
    </row>
    <row r="488">
      <c r="A488" s="37">
        <v>45070.454633333335</v>
      </c>
      <c r="B488" s="38" t="s">
        <v>827</v>
      </c>
      <c r="C488" s="38" t="s">
        <v>2920</v>
      </c>
      <c r="D488" s="38" t="s">
        <v>3029</v>
      </c>
      <c r="F488" s="38" t="s">
        <v>2274</v>
      </c>
      <c r="G488" s="38" t="s">
        <v>2241</v>
      </c>
      <c r="H488" s="38" t="s">
        <v>3120</v>
      </c>
      <c r="N488" s="38" t="s">
        <v>374</v>
      </c>
      <c r="R488" s="90">
        <v>436.0</v>
      </c>
      <c r="T488" s="90">
        <v>436.0</v>
      </c>
      <c r="V488" s="93" t="s">
        <v>1505</v>
      </c>
    </row>
    <row r="489">
      <c r="A489" s="37">
        <v>45075.329462905094</v>
      </c>
      <c r="B489" s="38" t="s">
        <v>827</v>
      </c>
      <c r="C489" s="38" t="s">
        <v>3121</v>
      </c>
      <c r="D489" s="38" t="s">
        <v>916</v>
      </c>
      <c r="F489" s="38" t="s">
        <v>2264</v>
      </c>
      <c r="J489" s="38" t="s">
        <v>3100</v>
      </c>
      <c r="K489" s="38" t="s">
        <v>3122</v>
      </c>
      <c r="L489" s="38" t="s">
        <v>2758</v>
      </c>
      <c r="N489" s="38" t="s">
        <v>89</v>
      </c>
      <c r="R489" s="90">
        <v>437.0</v>
      </c>
      <c r="T489" s="90">
        <v>437.0</v>
      </c>
      <c r="V489" s="94" t="s">
        <v>1627</v>
      </c>
    </row>
    <row r="490">
      <c r="A490" s="37">
        <v>45075.335140243056</v>
      </c>
      <c r="B490" s="38" t="s">
        <v>827</v>
      </c>
      <c r="C490" s="38" t="s">
        <v>2905</v>
      </c>
      <c r="D490" s="38" t="s">
        <v>916</v>
      </c>
      <c r="F490" s="38" t="s">
        <v>2264</v>
      </c>
      <c r="J490" s="38" t="s">
        <v>3123</v>
      </c>
      <c r="K490" s="38" t="s">
        <v>3123</v>
      </c>
      <c r="L490" s="38" t="s">
        <v>3124</v>
      </c>
      <c r="N490" s="38" t="s">
        <v>390</v>
      </c>
      <c r="R490" s="90">
        <v>438.0</v>
      </c>
      <c r="T490" s="90">
        <v>438.0</v>
      </c>
      <c r="V490" s="94" t="s">
        <v>1627</v>
      </c>
    </row>
    <row r="491">
      <c r="A491" s="37">
        <v>45077.478083912036</v>
      </c>
      <c r="B491" s="38" t="s">
        <v>827</v>
      </c>
      <c r="C491" s="38" t="s">
        <v>1717</v>
      </c>
      <c r="D491" s="38" t="s">
        <v>16</v>
      </c>
      <c r="F491" s="38" t="s">
        <v>2274</v>
      </c>
      <c r="G491" s="38" t="s">
        <v>3125</v>
      </c>
      <c r="H491" s="38" t="s">
        <v>3125</v>
      </c>
      <c r="I491" s="85" t="s">
        <v>3126</v>
      </c>
      <c r="N491" s="38" t="s">
        <v>24</v>
      </c>
      <c r="R491" s="90">
        <v>439.0</v>
      </c>
      <c r="T491" s="90">
        <v>439.0</v>
      </c>
      <c r="V491" s="94" t="s">
        <v>1627</v>
      </c>
    </row>
    <row r="492">
      <c r="A492" s="37">
        <v>45082.36540574074</v>
      </c>
      <c r="B492" s="38" t="s">
        <v>827</v>
      </c>
      <c r="C492" s="38" t="s">
        <v>3109</v>
      </c>
      <c r="D492" s="38" t="s">
        <v>196</v>
      </c>
      <c r="F492" s="38" t="s">
        <v>2274</v>
      </c>
      <c r="G492" s="38" t="s">
        <v>3127</v>
      </c>
      <c r="H492" s="38" t="s">
        <v>3128</v>
      </c>
      <c r="N492" s="38" t="s">
        <v>120</v>
      </c>
      <c r="R492" s="90">
        <v>440.0</v>
      </c>
      <c r="T492" s="90">
        <v>440.0</v>
      </c>
      <c r="V492" s="94" t="s">
        <v>1627</v>
      </c>
    </row>
    <row r="493">
      <c r="A493" s="37">
        <v>45083.385929375</v>
      </c>
      <c r="B493" s="38" t="s">
        <v>827</v>
      </c>
      <c r="C493" s="38" t="s">
        <v>2850</v>
      </c>
      <c r="D493" s="38" t="s">
        <v>316</v>
      </c>
      <c r="F493" s="38" t="s">
        <v>2274</v>
      </c>
      <c r="G493" s="38" t="s">
        <v>2241</v>
      </c>
      <c r="H493" s="38" t="s">
        <v>3129</v>
      </c>
      <c r="I493" s="85" t="s">
        <v>3130</v>
      </c>
      <c r="N493" s="38" t="s">
        <v>2744</v>
      </c>
      <c r="R493" s="90">
        <v>441.0</v>
      </c>
      <c r="T493" s="90">
        <v>441.0</v>
      </c>
      <c r="V493" s="94" t="s">
        <v>1627</v>
      </c>
    </row>
    <row r="494">
      <c r="A494" s="37">
        <v>45083.40158796296</v>
      </c>
      <c r="B494" s="38" t="s">
        <v>827</v>
      </c>
      <c r="C494" s="38" t="s">
        <v>3063</v>
      </c>
      <c r="D494" s="38" t="s">
        <v>916</v>
      </c>
      <c r="F494" s="38" t="s">
        <v>2274</v>
      </c>
      <c r="G494" s="38" t="s">
        <v>2241</v>
      </c>
      <c r="H494" s="38" t="s">
        <v>3131</v>
      </c>
      <c r="N494" s="38" t="s">
        <v>3105</v>
      </c>
      <c r="R494" s="90">
        <v>442.0</v>
      </c>
      <c r="T494" s="90">
        <v>442.0</v>
      </c>
      <c r="V494" s="94" t="s">
        <v>1627</v>
      </c>
    </row>
    <row r="495">
      <c r="A495" s="37">
        <v>45083.45735141204</v>
      </c>
      <c r="B495" s="38" t="s">
        <v>827</v>
      </c>
      <c r="C495" s="38" t="s">
        <v>1749</v>
      </c>
      <c r="D495" s="38" t="s">
        <v>35</v>
      </c>
      <c r="F495" s="38" t="s">
        <v>2274</v>
      </c>
      <c r="G495" s="38" t="s">
        <v>3132</v>
      </c>
      <c r="H495" s="38" t="s">
        <v>3133</v>
      </c>
      <c r="N495" s="38" t="s">
        <v>1105</v>
      </c>
      <c r="R495" s="90">
        <v>443.0</v>
      </c>
      <c r="T495" s="90">
        <v>443.0</v>
      </c>
      <c r="V495" s="94" t="s">
        <v>1627</v>
      </c>
    </row>
    <row r="496">
      <c r="A496" s="37">
        <v>45084.47478583333</v>
      </c>
      <c r="B496" s="38" t="s">
        <v>827</v>
      </c>
      <c r="C496" s="38" t="s">
        <v>3007</v>
      </c>
      <c r="D496" s="38" t="s">
        <v>916</v>
      </c>
      <c r="F496" s="38" t="s">
        <v>2274</v>
      </c>
      <c r="G496" s="38" t="s">
        <v>3134</v>
      </c>
      <c r="H496" s="38" t="s">
        <v>3135</v>
      </c>
      <c r="N496" s="38" t="s">
        <v>89</v>
      </c>
      <c r="R496" s="90">
        <v>444.0</v>
      </c>
      <c r="T496" s="90">
        <v>444.0</v>
      </c>
      <c r="V496" s="94" t="s">
        <v>1627</v>
      </c>
    </row>
    <row r="497">
      <c r="A497" s="37">
        <v>45084.60158671296</v>
      </c>
      <c r="B497" s="38" t="s">
        <v>827</v>
      </c>
      <c r="C497" s="38" t="s">
        <v>1749</v>
      </c>
      <c r="D497" s="38" t="s">
        <v>35</v>
      </c>
      <c r="F497" s="38" t="s">
        <v>2274</v>
      </c>
      <c r="G497" s="38" t="s">
        <v>2232</v>
      </c>
      <c r="H497" s="38" t="s">
        <v>3136</v>
      </c>
      <c r="N497" s="38" t="s">
        <v>1105</v>
      </c>
      <c r="R497" s="90">
        <v>445.0</v>
      </c>
      <c r="T497" s="90">
        <v>445.0</v>
      </c>
      <c r="V497" s="94" t="s">
        <v>1627</v>
      </c>
    </row>
    <row r="498">
      <c r="A498" s="37">
        <v>45086.370265543985</v>
      </c>
      <c r="B498" s="38" t="s">
        <v>827</v>
      </c>
      <c r="C498" s="38" t="s">
        <v>3137</v>
      </c>
      <c r="D498" s="38" t="s">
        <v>3029</v>
      </c>
      <c r="F498" s="38" t="s">
        <v>2264</v>
      </c>
      <c r="J498" s="38" t="s">
        <v>3138</v>
      </c>
      <c r="K498" s="38" t="s">
        <v>3139</v>
      </c>
      <c r="L498" s="38">
        <v>1.0</v>
      </c>
      <c r="N498" s="38" t="s">
        <v>3140</v>
      </c>
      <c r="R498" s="90">
        <v>446.0</v>
      </c>
      <c r="T498" s="90">
        <v>446.0</v>
      </c>
      <c r="V498" s="94" t="s">
        <v>1627</v>
      </c>
    </row>
    <row r="499">
      <c r="A499" s="37">
        <v>45086.37308503472</v>
      </c>
      <c r="B499" s="38" t="s">
        <v>827</v>
      </c>
      <c r="C499" s="38" t="s">
        <v>2595</v>
      </c>
      <c r="D499" s="38" t="s">
        <v>3029</v>
      </c>
      <c r="F499" s="38" t="s">
        <v>2274</v>
      </c>
      <c r="G499" s="38" t="s">
        <v>3141</v>
      </c>
      <c r="H499" s="38" t="s">
        <v>3142</v>
      </c>
      <c r="N499" s="38" t="s">
        <v>3140</v>
      </c>
      <c r="R499" s="90">
        <v>447.0</v>
      </c>
      <c r="T499" s="90">
        <v>447.0</v>
      </c>
      <c r="V499" s="94" t="s">
        <v>1627</v>
      </c>
    </row>
    <row r="500">
      <c r="A500" s="37">
        <v>45086.615042881946</v>
      </c>
      <c r="B500" s="38" t="s">
        <v>827</v>
      </c>
      <c r="C500" s="38" t="s">
        <v>2920</v>
      </c>
      <c r="D500" s="38" t="s">
        <v>3029</v>
      </c>
      <c r="F500" s="38" t="s">
        <v>2274</v>
      </c>
      <c r="G500" s="38" t="s">
        <v>2241</v>
      </c>
      <c r="H500" s="38" t="s">
        <v>3143</v>
      </c>
      <c r="N500" s="38" t="s">
        <v>855</v>
      </c>
      <c r="R500" s="90">
        <v>448.0</v>
      </c>
      <c r="T500" s="90">
        <v>448.0</v>
      </c>
      <c r="V500" s="94" t="s">
        <v>1627</v>
      </c>
    </row>
    <row r="501">
      <c r="A501" s="37">
        <v>45092.43122480324</v>
      </c>
      <c r="B501" s="38" t="s">
        <v>827</v>
      </c>
      <c r="C501" s="38" t="s">
        <v>3144</v>
      </c>
      <c r="D501" s="38" t="s">
        <v>16</v>
      </c>
      <c r="F501" s="38" t="s">
        <v>2274</v>
      </c>
      <c r="G501" s="38" t="s">
        <v>2691</v>
      </c>
      <c r="H501" s="38" t="s">
        <v>3145</v>
      </c>
      <c r="N501" s="38" t="s">
        <v>3146</v>
      </c>
      <c r="R501" s="90">
        <v>449.0</v>
      </c>
      <c r="T501" s="90">
        <v>449.0</v>
      </c>
      <c r="V501" s="94" t="s">
        <v>1627</v>
      </c>
    </row>
    <row r="502">
      <c r="A502" s="37">
        <v>45093.376995439816</v>
      </c>
      <c r="B502" s="38" t="s">
        <v>827</v>
      </c>
      <c r="C502" s="38" t="s">
        <v>1995</v>
      </c>
      <c r="D502" s="38" t="s">
        <v>916</v>
      </c>
      <c r="F502" s="38" t="s">
        <v>2274</v>
      </c>
      <c r="G502" s="38" t="s">
        <v>2241</v>
      </c>
      <c r="H502" s="38" t="s">
        <v>3147</v>
      </c>
      <c r="N502" s="38" t="s">
        <v>417</v>
      </c>
      <c r="R502" s="90">
        <v>450.0</v>
      </c>
      <c r="T502" s="90">
        <v>450.0</v>
      </c>
      <c r="V502" s="94" t="s">
        <v>1627</v>
      </c>
    </row>
    <row r="503">
      <c r="A503" s="37">
        <v>45093.49667083334</v>
      </c>
      <c r="B503" s="38" t="s">
        <v>827</v>
      </c>
      <c r="C503" s="38" t="s">
        <v>2861</v>
      </c>
      <c r="D503" s="38" t="s">
        <v>16</v>
      </c>
      <c r="F503" s="38" t="s">
        <v>2274</v>
      </c>
      <c r="G503" s="38" t="s">
        <v>2249</v>
      </c>
      <c r="H503" s="38" t="s">
        <v>3148</v>
      </c>
      <c r="N503" s="38" t="s">
        <v>2863</v>
      </c>
      <c r="R503" s="90">
        <v>451.0</v>
      </c>
      <c r="T503" s="90">
        <v>451.0</v>
      </c>
      <c r="V503" s="94" t="s">
        <v>1627</v>
      </c>
    </row>
    <row r="504">
      <c r="A504" s="37">
        <v>45093.652024814815</v>
      </c>
      <c r="B504" s="38" t="s">
        <v>827</v>
      </c>
      <c r="C504" s="38" t="s">
        <v>3007</v>
      </c>
      <c r="D504" s="38" t="s">
        <v>916</v>
      </c>
      <c r="F504" s="38" t="s">
        <v>2264</v>
      </c>
      <c r="J504" s="38" t="s">
        <v>3100</v>
      </c>
      <c r="K504" s="38" t="s">
        <v>3101</v>
      </c>
      <c r="L504" s="38" t="s">
        <v>2758</v>
      </c>
      <c r="N504" s="38" t="s">
        <v>3007</v>
      </c>
      <c r="R504" s="90">
        <v>452.0</v>
      </c>
      <c r="T504" s="90">
        <v>452.0</v>
      </c>
      <c r="V504" s="94" t="s">
        <v>1627</v>
      </c>
    </row>
    <row r="505">
      <c r="A505" s="37">
        <v>45096.31769511574</v>
      </c>
      <c r="B505" s="38" t="s">
        <v>827</v>
      </c>
      <c r="C505" s="38" t="s">
        <v>2626</v>
      </c>
      <c r="D505" s="38" t="s">
        <v>196</v>
      </c>
      <c r="F505" s="38" t="s">
        <v>2274</v>
      </c>
      <c r="G505" s="38" t="s">
        <v>2241</v>
      </c>
      <c r="H505" s="38" t="s">
        <v>3149</v>
      </c>
      <c r="N505" s="38" t="s">
        <v>120</v>
      </c>
      <c r="R505" s="90">
        <v>453.0</v>
      </c>
      <c r="T505" s="90">
        <v>453.0</v>
      </c>
      <c r="V505" s="94" t="s">
        <v>1627</v>
      </c>
    </row>
    <row r="506">
      <c r="A506" s="37">
        <v>45096.40978918981</v>
      </c>
      <c r="B506" s="38" t="s">
        <v>827</v>
      </c>
      <c r="C506" s="38" t="s">
        <v>2920</v>
      </c>
      <c r="D506" s="38" t="s">
        <v>3029</v>
      </c>
      <c r="F506" s="38" t="s">
        <v>2274</v>
      </c>
      <c r="G506" s="38" t="s">
        <v>2241</v>
      </c>
      <c r="H506" s="38" t="s">
        <v>3150</v>
      </c>
      <c r="N506" s="38" t="s">
        <v>374</v>
      </c>
      <c r="R506" s="90">
        <v>454.0</v>
      </c>
      <c r="T506" s="90">
        <v>454.0</v>
      </c>
      <c r="V506" s="94" t="s">
        <v>1627</v>
      </c>
    </row>
    <row r="507">
      <c r="A507" s="37">
        <v>45096.4753978125</v>
      </c>
      <c r="B507" s="38" t="s">
        <v>827</v>
      </c>
      <c r="C507" s="38" t="s">
        <v>2626</v>
      </c>
      <c r="D507" s="38" t="s">
        <v>196</v>
      </c>
      <c r="F507" s="38" t="s">
        <v>2274</v>
      </c>
      <c r="G507" s="38" t="s">
        <v>2241</v>
      </c>
      <c r="H507" s="38" t="s">
        <v>3151</v>
      </c>
      <c r="N507" s="38" t="s">
        <v>120</v>
      </c>
      <c r="R507" s="90">
        <v>455.0</v>
      </c>
      <c r="T507" s="90">
        <v>455.0</v>
      </c>
      <c r="V507" s="94" t="s">
        <v>1627</v>
      </c>
    </row>
    <row r="508">
      <c r="A508" s="37">
        <v>45096.500183344906</v>
      </c>
      <c r="B508" s="38" t="s">
        <v>827</v>
      </c>
      <c r="C508" s="38" t="s">
        <v>2905</v>
      </c>
      <c r="D508" s="38" t="s">
        <v>916</v>
      </c>
      <c r="F508" s="38" t="s">
        <v>2274</v>
      </c>
      <c r="G508" s="38" t="s">
        <v>3152</v>
      </c>
      <c r="H508" s="38" t="s">
        <v>3153</v>
      </c>
      <c r="N508" s="38" t="s">
        <v>390</v>
      </c>
      <c r="R508" s="90">
        <v>456.0</v>
      </c>
      <c r="T508" s="90">
        <v>456.0</v>
      </c>
      <c r="V508" s="94" t="s">
        <v>1627</v>
      </c>
    </row>
    <row r="509">
      <c r="A509" s="37">
        <v>45098.44204435185</v>
      </c>
      <c r="B509" s="38" t="s">
        <v>827</v>
      </c>
      <c r="C509" s="38" t="s">
        <v>3154</v>
      </c>
      <c r="D509" s="38" t="s">
        <v>44</v>
      </c>
      <c r="F509" s="38" t="s">
        <v>2274</v>
      </c>
      <c r="G509" s="38" t="s">
        <v>3155</v>
      </c>
      <c r="H509" s="38" t="s">
        <v>3155</v>
      </c>
      <c r="N509" s="38" t="s">
        <v>3156</v>
      </c>
      <c r="R509" s="90">
        <v>457.0</v>
      </c>
      <c r="T509" s="90">
        <v>457.0</v>
      </c>
      <c r="V509" s="94" t="s">
        <v>1627</v>
      </c>
    </row>
    <row r="510">
      <c r="A510" s="37">
        <v>45104.453819849536</v>
      </c>
      <c r="B510" s="38" t="s">
        <v>827</v>
      </c>
      <c r="C510" s="38" t="s">
        <v>1713</v>
      </c>
      <c r="D510" s="38" t="s">
        <v>44</v>
      </c>
      <c r="F510" s="38" t="s">
        <v>2274</v>
      </c>
      <c r="G510" s="38" t="s">
        <v>3157</v>
      </c>
      <c r="H510" s="38" t="s">
        <v>3158</v>
      </c>
      <c r="N510" s="38" t="s">
        <v>2272</v>
      </c>
      <c r="R510" s="90">
        <v>458.0</v>
      </c>
      <c r="T510" s="90">
        <v>458.0</v>
      </c>
      <c r="V510" s="94" t="s">
        <v>1627</v>
      </c>
    </row>
    <row r="511">
      <c r="A511" s="37">
        <v>45104.67919023148</v>
      </c>
      <c r="B511" s="38" t="s">
        <v>827</v>
      </c>
      <c r="C511" s="38" t="s">
        <v>3159</v>
      </c>
      <c r="D511" s="38" t="s">
        <v>316</v>
      </c>
      <c r="F511" s="38" t="s">
        <v>2274</v>
      </c>
      <c r="G511" s="38" t="s">
        <v>2275</v>
      </c>
      <c r="H511" s="38" t="s">
        <v>3160</v>
      </c>
      <c r="N511" s="38" t="s">
        <v>2600</v>
      </c>
      <c r="R511" s="90">
        <v>459.0</v>
      </c>
      <c r="T511" s="90">
        <v>459.0</v>
      </c>
      <c r="V511" s="94" t="s">
        <v>1627</v>
      </c>
    </row>
    <row r="512">
      <c r="A512" s="37">
        <v>45105.43128280093</v>
      </c>
      <c r="B512" s="38" t="s">
        <v>827</v>
      </c>
      <c r="C512" s="38" t="s">
        <v>1709</v>
      </c>
      <c r="D512" s="38" t="s">
        <v>316</v>
      </c>
      <c r="F512" s="38" t="s">
        <v>2274</v>
      </c>
      <c r="G512" s="38" t="s">
        <v>2241</v>
      </c>
      <c r="H512" s="38" t="s">
        <v>3161</v>
      </c>
      <c r="N512" s="38" t="s">
        <v>272</v>
      </c>
      <c r="R512" s="90">
        <v>460.0</v>
      </c>
      <c r="T512" s="90">
        <v>460.0</v>
      </c>
      <c r="V512" s="94" t="s">
        <v>1627</v>
      </c>
    </row>
    <row r="513">
      <c r="A513" s="37">
        <v>45105.45012252315</v>
      </c>
      <c r="B513" s="38" t="s">
        <v>827</v>
      </c>
      <c r="C513" s="38" t="s">
        <v>1713</v>
      </c>
      <c r="D513" s="38" t="s">
        <v>44</v>
      </c>
      <c r="F513" s="38" t="s">
        <v>2274</v>
      </c>
      <c r="G513" s="38" t="s">
        <v>2249</v>
      </c>
      <c r="H513" s="38" t="s">
        <v>3162</v>
      </c>
      <c r="N513" s="38" t="s">
        <v>2272</v>
      </c>
      <c r="R513" s="90">
        <v>461.0</v>
      </c>
      <c r="T513" s="90">
        <v>461.0</v>
      </c>
      <c r="V513" s="94" t="s">
        <v>1627</v>
      </c>
    </row>
    <row r="514">
      <c r="A514" s="37">
        <v>45105.609533229166</v>
      </c>
      <c r="B514" s="38" t="s">
        <v>827</v>
      </c>
      <c r="C514" s="38" t="s">
        <v>2595</v>
      </c>
      <c r="D514" s="38" t="s">
        <v>3029</v>
      </c>
      <c r="F514" s="38" t="s">
        <v>2274</v>
      </c>
      <c r="G514" s="38" t="s">
        <v>3163</v>
      </c>
      <c r="H514" s="38" t="s">
        <v>3163</v>
      </c>
      <c r="N514" s="38" t="s">
        <v>54</v>
      </c>
      <c r="R514" s="90">
        <v>462.0</v>
      </c>
      <c r="T514" s="90">
        <v>462.0</v>
      </c>
      <c r="V514" s="94" t="s">
        <v>1627</v>
      </c>
    </row>
    <row r="515">
      <c r="A515" s="37">
        <v>45110.70925954861</v>
      </c>
      <c r="B515" s="38" t="s">
        <v>827</v>
      </c>
      <c r="C515" s="38" t="s">
        <v>1749</v>
      </c>
      <c r="D515" s="38" t="s">
        <v>35</v>
      </c>
      <c r="F515" s="38" t="s">
        <v>2264</v>
      </c>
      <c r="J515" s="38" t="s">
        <v>306</v>
      </c>
      <c r="K515" s="38" t="s">
        <v>3164</v>
      </c>
      <c r="L515" s="38">
        <v>1.0</v>
      </c>
      <c r="N515" s="38" t="s">
        <v>1105</v>
      </c>
      <c r="R515" s="90">
        <v>463.0</v>
      </c>
      <c r="T515" s="90">
        <v>463.0</v>
      </c>
      <c r="V515" s="94" t="s">
        <v>1627</v>
      </c>
    </row>
    <row r="516">
      <c r="A516" s="37">
        <v>45111.41064100694</v>
      </c>
      <c r="B516" s="38" t="s">
        <v>827</v>
      </c>
      <c r="C516" s="38" t="s">
        <v>3063</v>
      </c>
      <c r="D516" s="38" t="s">
        <v>916</v>
      </c>
      <c r="F516" s="38" t="s">
        <v>2274</v>
      </c>
      <c r="G516" s="38" t="s">
        <v>2241</v>
      </c>
      <c r="H516" s="38" t="s">
        <v>3165</v>
      </c>
      <c r="N516" s="38" t="s">
        <v>3166</v>
      </c>
      <c r="R516" s="90">
        <v>464.0</v>
      </c>
      <c r="T516" s="90">
        <v>464.0</v>
      </c>
      <c r="V516" s="94" t="s">
        <v>1627</v>
      </c>
    </row>
    <row r="517">
      <c r="A517" s="37">
        <v>45111.425628171295</v>
      </c>
      <c r="B517" s="38" t="s">
        <v>827</v>
      </c>
      <c r="C517" s="38" t="s">
        <v>2905</v>
      </c>
      <c r="D517" s="38" t="s">
        <v>916</v>
      </c>
      <c r="F517" s="38" t="s">
        <v>2264</v>
      </c>
      <c r="J517" s="38" t="s">
        <v>3167</v>
      </c>
      <c r="K517" s="38" t="s">
        <v>3168</v>
      </c>
      <c r="L517" s="38">
        <v>1.0</v>
      </c>
      <c r="N517" s="38" t="s">
        <v>390</v>
      </c>
      <c r="R517" s="90">
        <v>465.0</v>
      </c>
      <c r="T517" s="90">
        <v>465.0</v>
      </c>
      <c r="V517" s="94" t="s">
        <v>1627</v>
      </c>
    </row>
    <row r="518">
      <c r="A518" s="37">
        <v>45111.4466434375</v>
      </c>
      <c r="B518" s="38" t="s">
        <v>827</v>
      </c>
      <c r="C518" s="38" t="s">
        <v>3063</v>
      </c>
      <c r="D518" s="38" t="s">
        <v>916</v>
      </c>
      <c r="F518" s="38" t="s">
        <v>2274</v>
      </c>
      <c r="G518" s="38" t="s">
        <v>2241</v>
      </c>
      <c r="H518" s="38" t="s">
        <v>3169</v>
      </c>
      <c r="N518" s="38" t="s">
        <v>3166</v>
      </c>
      <c r="R518" s="90">
        <v>466.0</v>
      </c>
      <c r="T518" s="90">
        <v>466.0</v>
      </c>
      <c r="V518" s="94" t="s">
        <v>1627</v>
      </c>
    </row>
    <row r="519">
      <c r="A519" s="37">
        <v>45111.499476909725</v>
      </c>
      <c r="B519" s="38" t="s">
        <v>827</v>
      </c>
      <c r="C519" s="38" t="s">
        <v>3088</v>
      </c>
      <c r="D519" s="38" t="s">
        <v>40</v>
      </c>
      <c r="F519" s="38" t="s">
        <v>2274</v>
      </c>
      <c r="G519" s="38" t="s">
        <v>3170</v>
      </c>
      <c r="H519" s="38" t="s">
        <v>3171</v>
      </c>
      <c r="N519" s="38" t="s">
        <v>3172</v>
      </c>
      <c r="R519" s="90">
        <v>467.0</v>
      </c>
      <c r="T519" s="90">
        <v>467.0</v>
      </c>
      <c r="V519" s="94" t="s">
        <v>1627</v>
      </c>
    </row>
    <row r="520">
      <c r="A520" s="37">
        <v>45112.687103449076</v>
      </c>
      <c r="B520" s="38" t="s">
        <v>827</v>
      </c>
      <c r="C520" s="38" t="s">
        <v>3173</v>
      </c>
      <c r="D520" s="38" t="s">
        <v>316</v>
      </c>
      <c r="F520" s="38" t="s">
        <v>2274</v>
      </c>
      <c r="G520" s="38" t="s">
        <v>2241</v>
      </c>
      <c r="H520" s="38" t="s">
        <v>3174</v>
      </c>
      <c r="N520" s="38" t="s">
        <v>3175</v>
      </c>
      <c r="R520" s="90">
        <v>468.0</v>
      </c>
      <c r="T520" s="90">
        <v>468.0</v>
      </c>
      <c r="V520" s="94" t="s">
        <v>1627</v>
      </c>
    </row>
    <row r="521">
      <c r="A521" s="37">
        <v>45119.54179824074</v>
      </c>
      <c r="B521" s="38" t="s">
        <v>827</v>
      </c>
      <c r="C521" s="38" t="s">
        <v>2905</v>
      </c>
      <c r="D521" s="38" t="s">
        <v>916</v>
      </c>
      <c r="F521" s="38" t="s">
        <v>2264</v>
      </c>
      <c r="J521" s="38" t="s">
        <v>3176</v>
      </c>
      <c r="K521" s="38" t="s">
        <v>3177</v>
      </c>
      <c r="L521" s="38">
        <v>1.0</v>
      </c>
      <c r="N521" s="38" t="s">
        <v>390</v>
      </c>
      <c r="R521" s="90">
        <v>469.0</v>
      </c>
      <c r="T521" s="90">
        <v>469.0</v>
      </c>
      <c r="V521" s="94" t="s">
        <v>1627</v>
      </c>
    </row>
    <row r="522">
      <c r="A522" s="37">
        <v>45119.580218773146</v>
      </c>
      <c r="B522" s="38" t="s">
        <v>827</v>
      </c>
      <c r="C522" s="38" t="s">
        <v>1713</v>
      </c>
      <c r="D522" s="38" t="s">
        <v>44</v>
      </c>
      <c r="F522" s="38" t="s">
        <v>2274</v>
      </c>
      <c r="G522" s="38" t="s">
        <v>3178</v>
      </c>
      <c r="H522" s="38" t="s">
        <v>3179</v>
      </c>
      <c r="N522" s="38" t="s">
        <v>2272</v>
      </c>
      <c r="R522" s="90">
        <v>470.0</v>
      </c>
      <c r="T522" s="90">
        <v>470.0</v>
      </c>
      <c r="V522" s="94" t="s">
        <v>1627</v>
      </c>
    </row>
    <row r="523">
      <c r="A523" s="38" t="s">
        <v>336</v>
      </c>
      <c r="B523" s="38" t="s">
        <v>827</v>
      </c>
      <c r="C523" s="38" t="s">
        <v>3180</v>
      </c>
      <c r="D523" s="38" t="s">
        <v>316</v>
      </c>
      <c r="F523" s="38" t="s">
        <v>2264</v>
      </c>
      <c r="J523" s="38" t="s">
        <v>883</v>
      </c>
      <c r="K523" s="38" t="s">
        <v>3181</v>
      </c>
      <c r="L523" s="38">
        <v>1.0</v>
      </c>
      <c r="M523" s="106" t="s">
        <v>3182</v>
      </c>
      <c r="N523" s="38" t="s">
        <v>2600</v>
      </c>
      <c r="R523" s="90">
        <v>471.0</v>
      </c>
      <c r="T523" s="90">
        <v>471.0</v>
      </c>
      <c r="V523" s="94" t="s">
        <v>1627</v>
      </c>
    </row>
    <row r="524">
      <c r="A524" s="37">
        <v>45120.48192255787</v>
      </c>
      <c r="B524" s="38" t="s">
        <v>827</v>
      </c>
      <c r="C524" s="38" t="s">
        <v>1749</v>
      </c>
      <c r="D524" s="38" t="s">
        <v>35</v>
      </c>
      <c r="F524" s="38" t="s">
        <v>2274</v>
      </c>
      <c r="G524" s="38" t="s">
        <v>2241</v>
      </c>
      <c r="H524" s="38" t="s">
        <v>3183</v>
      </c>
      <c r="N524" s="38" t="s">
        <v>1105</v>
      </c>
      <c r="R524" s="90">
        <v>472.0</v>
      </c>
      <c r="T524" s="90">
        <v>472.0</v>
      </c>
      <c r="V524" s="94" t="s">
        <v>1627</v>
      </c>
    </row>
    <row r="525">
      <c r="A525" s="37">
        <v>45120.536097881944</v>
      </c>
      <c r="B525" s="38" t="s">
        <v>827</v>
      </c>
      <c r="C525" s="38" t="s">
        <v>1721</v>
      </c>
      <c r="D525" s="38" t="s">
        <v>95</v>
      </c>
      <c r="F525" s="38" t="s">
        <v>2264</v>
      </c>
      <c r="J525" s="38" t="s">
        <v>3184</v>
      </c>
      <c r="K525" s="38" t="s">
        <v>3185</v>
      </c>
      <c r="L525" s="38">
        <v>3.0</v>
      </c>
      <c r="N525" s="38" t="s">
        <v>93</v>
      </c>
      <c r="R525" s="90">
        <v>473.0</v>
      </c>
      <c r="T525" s="90">
        <v>473.0</v>
      </c>
      <c r="V525" s="94" t="s">
        <v>1627</v>
      </c>
    </row>
    <row r="526">
      <c r="A526" s="37">
        <v>45125.62177215278</v>
      </c>
      <c r="B526" s="38" t="s">
        <v>827</v>
      </c>
      <c r="C526" s="38" t="s">
        <v>2601</v>
      </c>
      <c r="D526" s="38" t="s">
        <v>1079</v>
      </c>
      <c r="F526" s="38" t="s">
        <v>2264</v>
      </c>
      <c r="J526" s="38" t="s">
        <v>883</v>
      </c>
      <c r="K526" s="38" t="s">
        <v>3186</v>
      </c>
      <c r="L526" s="38">
        <v>1.0</v>
      </c>
      <c r="N526" s="38" t="s">
        <v>3187</v>
      </c>
      <c r="R526" s="90">
        <v>474.0</v>
      </c>
      <c r="T526" s="90">
        <v>474.0</v>
      </c>
      <c r="V526" s="94" t="s">
        <v>1627</v>
      </c>
    </row>
    <row r="527">
      <c r="A527" s="37">
        <v>45126.46108608796</v>
      </c>
      <c r="B527" s="38" t="s">
        <v>827</v>
      </c>
      <c r="C527" s="38" t="s">
        <v>1721</v>
      </c>
      <c r="D527" s="38" t="s">
        <v>95</v>
      </c>
      <c r="F527" s="38" t="s">
        <v>2264</v>
      </c>
      <c r="J527" s="38" t="s">
        <v>3188</v>
      </c>
      <c r="K527" s="38" t="s">
        <v>3189</v>
      </c>
      <c r="L527" s="38">
        <v>1.0</v>
      </c>
      <c r="N527" s="38" t="s">
        <v>93</v>
      </c>
      <c r="R527" s="90">
        <v>475.0</v>
      </c>
      <c r="T527" s="90">
        <v>475.0</v>
      </c>
      <c r="V527" s="94" t="s">
        <v>1627</v>
      </c>
    </row>
    <row r="528">
      <c r="A528" s="37">
        <v>45126.46509385417</v>
      </c>
      <c r="B528" s="38" t="s">
        <v>827</v>
      </c>
      <c r="C528" s="38" t="s">
        <v>1721</v>
      </c>
      <c r="D528" s="38" t="s">
        <v>95</v>
      </c>
      <c r="F528" s="38" t="s">
        <v>2264</v>
      </c>
      <c r="J528" s="38" t="s">
        <v>537</v>
      </c>
      <c r="K528" s="38" t="s">
        <v>3190</v>
      </c>
      <c r="L528" s="38">
        <v>1.0</v>
      </c>
      <c r="N528" s="38" t="s">
        <v>93</v>
      </c>
      <c r="R528" s="90">
        <v>476.0</v>
      </c>
      <c r="T528" s="90">
        <v>476.0</v>
      </c>
      <c r="V528" s="94" t="s">
        <v>1627</v>
      </c>
    </row>
    <row r="529">
      <c r="A529" s="37">
        <v>45127.393887071754</v>
      </c>
      <c r="B529" s="38" t="s">
        <v>827</v>
      </c>
      <c r="C529" s="38" t="s">
        <v>2626</v>
      </c>
      <c r="D529" s="38" t="s">
        <v>196</v>
      </c>
      <c r="F529" s="38" t="s">
        <v>2274</v>
      </c>
      <c r="G529" s="38" t="s">
        <v>2249</v>
      </c>
      <c r="H529" s="38" t="s">
        <v>3191</v>
      </c>
      <c r="N529" s="38" t="s">
        <v>120</v>
      </c>
      <c r="R529" s="90">
        <v>477.0</v>
      </c>
      <c r="T529" s="90">
        <v>477.0</v>
      </c>
      <c r="V529" s="94" t="s">
        <v>1627</v>
      </c>
    </row>
    <row r="530">
      <c r="A530" s="37">
        <v>45127.39451672454</v>
      </c>
      <c r="B530" s="38" t="s">
        <v>827</v>
      </c>
      <c r="C530" s="38" t="s">
        <v>2626</v>
      </c>
      <c r="D530" s="38" t="s">
        <v>196</v>
      </c>
      <c r="F530" s="38" t="s">
        <v>2264</v>
      </c>
      <c r="J530" s="38" t="s">
        <v>3192</v>
      </c>
      <c r="K530" s="38" t="s">
        <v>3193</v>
      </c>
      <c r="L530" s="38">
        <v>1.0</v>
      </c>
      <c r="N530" s="38" t="s">
        <v>2372</v>
      </c>
      <c r="R530" s="90">
        <v>478.0</v>
      </c>
      <c r="T530" s="90">
        <v>478.0</v>
      </c>
      <c r="V530" s="94" t="s">
        <v>1627</v>
      </c>
    </row>
    <row r="531">
      <c r="A531" s="37">
        <v>45128.42167895833</v>
      </c>
      <c r="B531" s="38" t="s">
        <v>827</v>
      </c>
      <c r="C531" s="38" t="s">
        <v>2561</v>
      </c>
      <c r="D531" s="38" t="s">
        <v>1261</v>
      </c>
      <c r="F531" s="38" t="s">
        <v>2274</v>
      </c>
      <c r="G531" s="38" t="s">
        <v>2241</v>
      </c>
      <c r="H531" s="38" t="s">
        <v>3194</v>
      </c>
      <c r="N531" s="38" t="s">
        <v>3195</v>
      </c>
      <c r="R531" s="90">
        <v>479.0</v>
      </c>
      <c r="T531" s="90">
        <v>479.0</v>
      </c>
      <c r="V531" s="94" t="s">
        <v>1627</v>
      </c>
    </row>
    <row r="532">
      <c r="A532" s="37">
        <v>45128.43091914352</v>
      </c>
      <c r="B532" s="38" t="s">
        <v>827</v>
      </c>
      <c r="C532" s="38" t="s">
        <v>1721</v>
      </c>
      <c r="D532" s="38" t="s">
        <v>95</v>
      </c>
      <c r="F532" s="38" t="s">
        <v>2264</v>
      </c>
      <c r="J532" s="38" t="s">
        <v>3196</v>
      </c>
      <c r="K532" s="38" t="s">
        <v>3197</v>
      </c>
      <c r="L532" s="38">
        <v>1.0</v>
      </c>
      <c r="N532" s="38" t="s">
        <v>93</v>
      </c>
      <c r="R532" s="90">
        <v>480.0</v>
      </c>
      <c r="T532" s="90">
        <v>480.0</v>
      </c>
      <c r="V532" s="94" t="s">
        <v>1627</v>
      </c>
    </row>
    <row r="533">
      <c r="A533" s="37">
        <v>45131.49385491898</v>
      </c>
      <c r="B533" s="38" t="s">
        <v>827</v>
      </c>
      <c r="C533" s="38" t="s">
        <v>3198</v>
      </c>
      <c r="D533" s="38" t="s">
        <v>16</v>
      </c>
      <c r="F533" s="38" t="s">
        <v>2264</v>
      </c>
      <c r="J533" s="38" t="s">
        <v>883</v>
      </c>
      <c r="K533" s="38" t="s">
        <v>3199</v>
      </c>
      <c r="L533" s="38">
        <v>1.0</v>
      </c>
      <c r="N533" s="38" t="s">
        <v>137</v>
      </c>
      <c r="R533" s="90">
        <v>481.0</v>
      </c>
      <c r="T533" s="90">
        <v>481.0</v>
      </c>
      <c r="V533" s="94" t="s">
        <v>1627</v>
      </c>
    </row>
    <row r="534">
      <c r="A534" s="37">
        <v>45131.61748105324</v>
      </c>
      <c r="B534" s="38" t="s">
        <v>827</v>
      </c>
      <c r="C534" s="38" t="s">
        <v>2561</v>
      </c>
      <c r="D534" s="38" t="s">
        <v>1261</v>
      </c>
      <c r="F534" s="38" t="s">
        <v>2274</v>
      </c>
      <c r="G534" s="38" t="s">
        <v>2241</v>
      </c>
      <c r="H534" s="38" t="s">
        <v>3200</v>
      </c>
      <c r="N534" s="38" t="s">
        <v>1260</v>
      </c>
      <c r="R534" s="90">
        <v>482.0</v>
      </c>
      <c r="T534" s="90">
        <v>482.0</v>
      </c>
      <c r="V534" s="94" t="s">
        <v>1627</v>
      </c>
    </row>
    <row r="535">
      <c r="A535" s="37">
        <v>45134.65443361111</v>
      </c>
      <c r="B535" s="38" t="s">
        <v>827</v>
      </c>
      <c r="C535" s="38" t="s">
        <v>2920</v>
      </c>
      <c r="D535" s="38" t="s">
        <v>3029</v>
      </c>
      <c r="F535" s="38" t="s">
        <v>2274</v>
      </c>
      <c r="G535" s="38" t="s">
        <v>2241</v>
      </c>
      <c r="H535" s="38" t="s">
        <v>3201</v>
      </c>
      <c r="N535" s="38" t="s">
        <v>3202</v>
      </c>
      <c r="R535" s="90">
        <v>483.0</v>
      </c>
      <c r="T535" s="90">
        <v>483.0</v>
      </c>
      <c r="V535" s="94" t="s">
        <v>1627</v>
      </c>
    </row>
    <row r="536">
      <c r="A536" s="37">
        <v>45135.45985806713</v>
      </c>
      <c r="B536" s="38" t="s">
        <v>827</v>
      </c>
      <c r="C536" s="38" t="s">
        <v>1713</v>
      </c>
      <c r="D536" s="38" t="s">
        <v>44</v>
      </c>
      <c r="F536" s="38" t="s">
        <v>2264</v>
      </c>
      <c r="J536" s="38" t="s">
        <v>213</v>
      </c>
      <c r="K536" s="38" t="s">
        <v>3203</v>
      </c>
      <c r="L536" s="38">
        <v>1.0</v>
      </c>
      <c r="N536" s="38" t="s">
        <v>2272</v>
      </c>
      <c r="R536" s="90">
        <v>484.0</v>
      </c>
      <c r="T536" s="90">
        <v>484.0</v>
      </c>
      <c r="V536" s="94" t="s">
        <v>1627</v>
      </c>
    </row>
    <row r="537">
      <c r="A537" s="37">
        <v>45138.453675474535</v>
      </c>
      <c r="B537" s="38" t="s">
        <v>827</v>
      </c>
      <c r="C537" s="38" t="s">
        <v>1713</v>
      </c>
      <c r="D537" s="38" t="s">
        <v>44</v>
      </c>
      <c r="F537" s="38" t="s">
        <v>2274</v>
      </c>
      <c r="G537" s="38" t="s">
        <v>3178</v>
      </c>
      <c r="H537" s="38" t="s">
        <v>3204</v>
      </c>
      <c r="N537" s="38" t="s">
        <v>2272</v>
      </c>
      <c r="R537" s="90">
        <v>485.0</v>
      </c>
      <c r="T537" s="90">
        <v>485.0</v>
      </c>
      <c r="V537" s="94" t="s">
        <v>1627</v>
      </c>
    </row>
    <row r="538">
      <c r="A538" s="37">
        <v>45139.35338634259</v>
      </c>
      <c r="B538" s="38" t="s">
        <v>827</v>
      </c>
      <c r="C538" s="38" t="s">
        <v>3007</v>
      </c>
      <c r="D538" s="38" t="s">
        <v>916</v>
      </c>
      <c r="F538" s="38" t="s">
        <v>2264</v>
      </c>
      <c r="J538" s="38" t="s">
        <v>3205</v>
      </c>
      <c r="K538" s="38" t="s">
        <v>3101</v>
      </c>
      <c r="L538" s="38">
        <v>1.0</v>
      </c>
      <c r="N538" s="38" t="s">
        <v>89</v>
      </c>
      <c r="R538" s="90">
        <v>486.0</v>
      </c>
      <c r="T538" s="90">
        <v>486.0</v>
      </c>
      <c r="V538" s="94" t="s">
        <v>1627</v>
      </c>
    </row>
    <row r="539">
      <c r="A539" s="37">
        <v>45139.63838296296</v>
      </c>
      <c r="B539" s="38" t="s">
        <v>827</v>
      </c>
      <c r="C539" s="38" t="s">
        <v>1721</v>
      </c>
      <c r="D539" s="38" t="s">
        <v>95</v>
      </c>
      <c r="F539" s="38" t="s">
        <v>2264</v>
      </c>
      <c r="J539" s="38" t="s">
        <v>3206</v>
      </c>
      <c r="K539" s="38" t="s">
        <v>3207</v>
      </c>
      <c r="L539" s="38">
        <v>1.0</v>
      </c>
      <c r="N539" s="38" t="s">
        <v>93</v>
      </c>
      <c r="R539" s="90">
        <v>487.0</v>
      </c>
      <c r="T539" s="90">
        <v>487.0</v>
      </c>
      <c r="V539" s="94" t="s">
        <v>1627</v>
      </c>
    </row>
    <row r="540">
      <c r="A540" s="37">
        <v>45139.69309035879</v>
      </c>
      <c r="B540" s="38" t="s">
        <v>827</v>
      </c>
      <c r="C540" s="38" t="s">
        <v>3208</v>
      </c>
      <c r="D540" s="38" t="s">
        <v>35</v>
      </c>
      <c r="F540" s="38" t="s">
        <v>2274</v>
      </c>
      <c r="G540" s="38" t="s">
        <v>2275</v>
      </c>
      <c r="H540" s="38" t="s">
        <v>3209</v>
      </c>
      <c r="N540" s="38" t="s">
        <v>3210</v>
      </c>
      <c r="R540" s="90">
        <v>488.0</v>
      </c>
      <c r="T540" s="90">
        <v>488.0</v>
      </c>
      <c r="V540" s="94" t="s">
        <v>1627</v>
      </c>
    </row>
    <row r="541">
      <c r="A541" s="37">
        <v>45140.559433229166</v>
      </c>
      <c r="B541" s="38" t="s">
        <v>827</v>
      </c>
      <c r="C541" s="38" t="s">
        <v>2626</v>
      </c>
      <c r="D541" s="38" t="s">
        <v>196</v>
      </c>
      <c r="F541" s="38" t="s">
        <v>2274</v>
      </c>
      <c r="G541" s="38" t="s">
        <v>3211</v>
      </c>
      <c r="H541" s="38" t="s">
        <v>3212</v>
      </c>
      <c r="N541" s="38" t="s">
        <v>120</v>
      </c>
      <c r="R541" s="90">
        <v>489.0</v>
      </c>
      <c r="T541" s="90">
        <v>489.0</v>
      </c>
      <c r="V541" s="94" t="s">
        <v>1627</v>
      </c>
    </row>
    <row r="542">
      <c r="A542" s="37">
        <v>45140.57594886574</v>
      </c>
      <c r="B542" s="38" t="s">
        <v>827</v>
      </c>
      <c r="C542" s="38" t="s">
        <v>3173</v>
      </c>
      <c r="D542" s="38" t="s">
        <v>316</v>
      </c>
      <c r="F542" s="38" t="s">
        <v>2274</v>
      </c>
      <c r="G542" s="38" t="s">
        <v>2241</v>
      </c>
      <c r="H542" s="38" t="s">
        <v>3213</v>
      </c>
      <c r="N542" s="38" t="s">
        <v>3175</v>
      </c>
      <c r="R542" s="90">
        <v>490.0</v>
      </c>
      <c r="T542" s="90">
        <v>490.0</v>
      </c>
      <c r="V542" s="94" t="s">
        <v>1627</v>
      </c>
    </row>
    <row r="543">
      <c r="A543" s="37">
        <v>45145.41161001158</v>
      </c>
      <c r="B543" s="38" t="s">
        <v>827</v>
      </c>
      <c r="C543" s="38" t="s">
        <v>3214</v>
      </c>
      <c r="D543" s="38" t="s">
        <v>16</v>
      </c>
      <c r="F543" s="38" t="s">
        <v>2264</v>
      </c>
      <c r="J543" s="38" t="s">
        <v>3215</v>
      </c>
      <c r="K543" s="38" t="s">
        <v>3216</v>
      </c>
      <c r="L543" s="38">
        <v>1.0</v>
      </c>
      <c r="N543" s="38" t="s">
        <v>3217</v>
      </c>
      <c r="R543" s="90">
        <v>491.0</v>
      </c>
      <c r="T543" s="90">
        <v>491.0</v>
      </c>
      <c r="V543" s="94" t="s">
        <v>1627</v>
      </c>
    </row>
    <row r="544">
      <c r="A544" s="37">
        <v>45145.50913452546</v>
      </c>
      <c r="B544" s="38" t="s">
        <v>827</v>
      </c>
      <c r="C544" s="38" t="s">
        <v>1646</v>
      </c>
      <c r="D544" s="38" t="s">
        <v>3029</v>
      </c>
      <c r="F544" s="38" t="s">
        <v>2264</v>
      </c>
      <c r="J544" s="38" t="s">
        <v>3218</v>
      </c>
      <c r="K544" s="38" t="s">
        <v>3219</v>
      </c>
      <c r="L544" s="38">
        <v>1.0</v>
      </c>
      <c r="N544" s="38" t="s">
        <v>419</v>
      </c>
      <c r="R544" s="90">
        <v>492.0</v>
      </c>
      <c r="T544" s="90">
        <v>492.0</v>
      </c>
      <c r="V544" s="94" t="s">
        <v>1627</v>
      </c>
    </row>
    <row r="545">
      <c r="A545" s="37">
        <v>45146.70208541666</v>
      </c>
      <c r="B545" s="38" t="s">
        <v>827</v>
      </c>
      <c r="C545" s="38" t="s">
        <v>2626</v>
      </c>
      <c r="D545" s="38" t="s">
        <v>196</v>
      </c>
      <c r="F545" s="38" t="s">
        <v>2264</v>
      </c>
      <c r="J545" s="38" t="s">
        <v>306</v>
      </c>
      <c r="K545" s="38" t="s">
        <v>3220</v>
      </c>
      <c r="L545" s="38">
        <v>1.0</v>
      </c>
      <c r="N545" s="38" t="s">
        <v>120</v>
      </c>
      <c r="R545" s="90">
        <v>493.0</v>
      </c>
      <c r="T545" s="90">
        <v>493.0</v>
      </c>
      <c r="V545" s="94" t="s">
        <v>1627</v>
      </c>
    </row>
    <row r="546">
      <c r="A546" s="37">
        <v>45147.36812346065</v>
      </c>
      <c r="B546" s="38" t="s">
        <v>827</v>
      </c>
      <c r="C546" s="38" t="s">
        <v>2601</v>
      </c>
      <c r="D546" s="38" t="s">
        <v>1079</v>
      </c>
      <c r="F546" s="38" t="s">
        <v>2274</v>
      </c>
      <c r="G546" s="38" t="s">
        <v>2241</v>
      </c>
      <c r="H546" s="38" t="s">
        <v>3221</v>
      </c>
      <c r="I546" s="85" t="s">
        <v>3222</v>
      </c>
      <c r="N546" s="38" t="s">
        <v>382</v>
      </c>
      <c r="R546" s="90">
        <v>494.0</v>
      </c>
      <c r="T546" s="90">
        <v>494.0</v>
      </c>
      <c r="V546" s="94" t="s">
        <v>1627</v>
      </c>
    </row>
    <row r="547">
      <c r="A547" s="37">
        <v>45147.42653059028</v>
      </c>
      <c r="B547" s="38" t="s">
        <v>827</v>
      </c>
      <c r="C547" s="38" t="s">
        <v>3109</v>
      </c>
      <c r="D547" s="38" t="s">
        <v>196</v>
      </c>
      <c r="F547" s="38" t="s">
        <v>2274</v>
      </c>
      <c r="G547" s="38" t="s">
        <v>2241</v>
      </c>
      <c r="H547" s="38" t="s">
        <v>3223</v>
      </c>
      <c r="N547" s="38" t="s">
        <v>120</v>
      </c>
      <c r="R547" s="90">
        <v>495.0</v>
      </c>
      <c r="T547" s="90">
        <v>495.0</v>
      </c>
      <c r="V547" s="94" t="s">
        <v>1627</v>
      </c>
    </row>
    <row r="548">
      <c r="A548" s="37">
        <v>45148.57829097222</v>
      </c>
      <c r="B548" s="38" t="s">
        <v>827</v>
      </c>
      <c r="C548" s="38" t="s">
        <v>2905</v>
      </c>
      <c r="D548" s="38" t="s">
        <v>916</v>
      </c>
      <c r="F548" s="38" t="s">
        <v>2274</v>
      </c>
      <c r="G548" s="38" t="s">
        <v>2232</v>
      </c>
      <c r="H548" s="38" t="s">
        <v>3224</v>
      </c>
      <c r="N548" s="38" t="s">
        <v>390</v>
      </c>
      <c r="R548" s="90">
        <v>496.0</v>
      </c>
      <c r="T548" s="90">
        <v>496.0</v>
      </c>
      <c r="V548" s="93" t="s">
        <v>1505</v>
      </c>
    </row>
    <row r="549">
      <c r="A549" s="37">
        <v>45149.417670717594</v>
      </c>
      <c r="B549" s="38" t="s">
        <v>827</v>
      </c>
      <c r="C549" s="38" t="s">
        <v>1713</v>
      </c>
      <c r="D549" s="38" t="s">
        <v>44</v>
      </c>
      <c r="F549" s="38" t="s">
        <v>2264</v>
      </c>
      <c r="J549" s="38" t="s">
        <v>3225</v>
      </c>
      <c r="K549" s="38" t="s">
        <v>3226</v>
      </c>
      <c r="L549" s="38">
        <v>1.0</v>
      </c>
      <c r="N549" s="38" t="s">
        <v>2272</v>
      </c>
      <c r="R549" s="90">
        <v>497.0</v>
      </c>
      <c r="T549" s="90">
        <v>497.0</v>
      </c>
      <c r="V549" s="94" t="s">
        <v>1627</v>
      </c>
    </row>
    <row r="550">
      <c r="A550" s="37">
        <v>45152.42514215277</v>
      </c>
      <c r="B550" s="38" t="s">
        <v>827</v>
      </c>
      <c r="C550" s="38" t="s">
        <v>1709</v>
      </c>
      <c r="D550" s="38" t="s">
        <v>316</v>
      </c>
      <c r="F550" s="38" t="s">
        <v>2274</v>
      </c>
      <c r="G550" s="38" t="s">
        <v>2275</v>
      </c>
      <c r="H550" s="38" t="s">
        <v>3227</v>
      </c>
      <c r="N550" s="38" t="s">
        <v>272</v>
      </c>
      <c r="R550" s="90">
        <v>498.0</v>
      </c>
      <c r="T550" s="90">
        <v>498.0</v>
      </c>
      <c r="V550" s="94" t="s">
        <v>1627</v>
      </c>
    </row>
    <row r="551">
      <c r="A551" s="37">
        <v>45153.61382994213</v>
      </c>
      <c r="B551" s="38" t="s">
        <v>827</v>
      </c>
      <c r="C551" s="38" t="s">
        <v>1646</v>
      </c>
      <c r="D551" s="38" t="s">
        <v>3029</v>
      </c>
      <c r="F551" s="38" t="s">
        <v>2264</v>
      </c>
      <c r="J551" s="38" t="s">
        <v>3228</v>
      </c>
      <c r="K551" s="38" t="s">
        <v>3229</v>
      </c>
      <c r="L551" s="38" t="s">
        <v>3230</v>
      </c>
      <c r="N551" s="38" t="s">
        <v>419</v>
      </c>
      <c r="R551" s="90">
        <v>499.0</v>
      </c>
      <c r="T551" s="90">
        <v>499.0</v>
      </c>
      <c r="V551" s="94" t="s">
        <v>1627</v>
      </c>
    </row>
    <row r="552">
      <c r="A552" s="37">
        <v>45155.535978078704</v>
      </c>
      <c r="B552" s="38" t="s">
        <v>827</v>
      </c>
      <c r="C552" s="38" t="s">
        <v>2576</v>
      </c>
      <c r="D552" s="38" t="s">
        <v>95</v>
      </c>
      <c r="F552" s="38" t="s">
        <v>2274</v>
      </c>
      <c r="G552" s="38" t="s">
        <v>2241</v>
      </c>
      <c r="H552" s="38" t="s">
        <v>3231</v>
      </c>
      <c r="N552" s="38" t="s">
        <v>100</v>
      </c>
      <c r="R552" s="90">
        <v>500.0</v>
      </c>
      <c r="T552" s="90">
        <v>500.0</v>
      </c>
      <c r="V552" s="94" t="s">
        <v>1627</v>
      </c>
    </row>
    <row r="553">
      <c r="A553" s="37">
        <v>45159.3418190625</v>
      </c>
      <c r="B553" s="38" t="s">
        <v>827</v>
      </c>
      <c r="C553" s="38" t="s">
        <v>2626</v>
      </c>
      <c r="D553" s="38" t="s">
        <v>196</v>
      </c>
      <c r="F553" s="38" t="s">
        <v>2274</v>
      </c>
      <c r="G553" s="38" t="s">
        <v>2275</v>
      </c>
      <c r="H553" s="38" t="s">
        <v>3232</v>
      </c>
      <c r="N553" s="38" t="s">
        <v>120</v>
      </c>
      <c r="R553" s="90">
        <v>501.0</v>
      </c>
      <c r="T553" s="90">
        <v>501.0</v>
      </c>
      <c r="V553" s="93" t="s">
        <v>1505</v>
      </c>
    </row>
    <row r="554">
      <c r="A554" s="37">
        <v>45159.70985787037</v>
      </c>
      <c r="B554" s="38" t="s">
        <v>827</v>
      </c>
      <c r="C554" s="38" t="s">
        <v>2626</v>
      </c>
      <c r="D554" s="38" t="s">
        <v>196</v>
      </c>
      <c r="F554" s="38" t="s">
        <v>2264</v>
      </c>
      <c r="J554" s="38" t="s">
        <v>3233</v>
      </c>
      <c r="K554" s="38" t="s">
        <v>3234</v>
      </c>
      <c r="L554" s="38">
        <v>1.0</v>
      </c>
      <c r="N554" s="38" t="s">
        <v>120</v>
      </c>
      <c r="R554" s="90">
        <v>502.0</v>
      </c>
      <c r="T554" s="90">
        <v>502.0</v>
      </c>
      <c r="V554" s="94" t="s">
        <v>1627</v>
      </c>
    </row>
    <row r="555">
      <c r="A555" s="37">
        <v>45160.67729640046</v>
      </c>
      <c r="B555" s="38" t="s">
        <v>827</v>
      </c>
      <c r="C555" s="38" t="s">
        <v>1713</v>
      </c>
      <c r="D555" s="38" t="s">
        <v>44</v>
      </c>
      <c r="F555" s="38" t="s">
        <v>2274</v>
      </c>
      <c r="G555" s="38" t="s">
        <v>2388</v>
      </c>
      <c r="H555" s="38" t="s">
        <v>3235</v>
      </c>
      <c r="N555" s="38" t="s">
        <v>2272</v>
      </c>
      <c r="R555" s="90">
        <v>503.0</v>
      </c>
      <c r="T555" s="90">
        <v>503.0</v>
      </c>
      <c r="V555" s="94" t="s">
        <v>1627</v>
      </c>
    </row>
    <row r="556">
      <c r="A556" s="37">
        <v>45161.38698835648</v>
      </c>
      <c r="B556" s="38" t="s">
        <v>827</v>
      </c>
      <c r="C556" s="38" t="s">
        <v>1713</v>
      </c>
      <c r="D556" s="38" t="s">
        <v>44</v>
      </c>
      <c r="F556" s="38" t="s">
        <v>2274</v>
      </c>
      <c r="G556" s="38" t="s">
        <v>2275</v>
      </c>
      <c r="H556" s="38" t="s">
        <v>3236</v>
      </c>
      <c r="N556" s="38" t="s">
        <v>2272</v>
      </c>
      <c r="R556" s="90">
        <v>504.0</v>
      </c>
      <c r="T556" s="90">
        <v>504.0</v>
      </c>
      <c r="V556" s="93" t="s">
        <v>1505</v>
      </c>
    </row>
    <row r="557">
      <c r="A557" s="37">
        <v>45161.50210758102</v>
      </c>
      <c r="B557" s="38" t="s">
        <v>827</v>
      </c>
      <c r="C557" s="38" t="s">
        <v>2905</v>
      </c>
      <c r="D557" s="38" t="s">
        <v>916</v>
      </c>
      <c r="F557" s="38" t="s">
        <v>2274</v>
      </c>
      <c r="G557" s="38" t="s">
        <v>2241</v>
      </c>
      <c r="H557" s="38" t="s">
        <v>3237</v>
      </c>
      <c r="N557" s="38" t="s">
        <v>390</v>
      </c>
      <c r="R557" s="90">
        <v>505.0</v>
      </c>
      <c r="T557" s="90">
        <v>505.0</v>
      </c>
      <c r="V557" s="93" t="s">
        <v>1505</v>
      </c>
    </row>
    <row r="558">
      <c r="A558" s="37">
        <v>45162.35443042824</v>
      </c>
      <c r="B558" s="38" t="s">
        <v>827</v>
      </c>
      <c r="C558" s="38" t="s">
        <v>3109</v>
      </c>
      <c r="D558" s="38" t="s">
        <v>196</v>
      </c>
      <c r="F558" s="38" t="s">
        <v>2274</v>
      </c>
      <c r="G558" s="38" t="s">
        <v>2388</v>
      </c>
      <c r="H558" s="38" t="s">
        <v>3238</v>
      </c>
      <c r="N558" s="38" t="s">
        <v>120</v>
      </c>
      <c r="R558" s="90">
        <v>506.0</v>
      </c>
      <c r="T558" s="90">
        <v>506.0</v>
      </c>
      <c r="V558" s="94" t="s">
        <v>1627</v>
      </c>
    </row>
    <row r="559">
      <c r="A559" s="37">
        <v>45163.40469517361</v>
      </c>
      <c r="B559" s="38" t="s">
        <v>827</v>
      </c>
      <c r="C559" s="38" t="s">
        <v>3239</v>
      </c>
      <c r="D559" s="38" t="s">
        <v>16</v>
      </c>
      <c r="F559" s="38" t="s">
        <v>2264</v>
      </c>
      <c r="J559" s="38" t="s">
        <v>3240</v>
      </c>
      <c r="K559" s="38" t="s">
        <v>3241</v>
      </c>
      <c r="L559" s="38">
        <v>1.0</v>
      </c>
      <c r="N559" s="38" t="s">
        <v>3242</v>
      </c>
      <c r="R559" s="90">
        <v>507.0</v>
      </c>
      <c r="T559" s="90">
        <v>507.0</v>
      </c>
      <c r="V559" s="94" t="s">
        <v>1627</v>
      </c>
    </row>
    <row r="560">
      <c r="A560" s="37">
        <v>45166.327605983795</v>
      </c>
      <c r="B560" s="38" t="s">
        <v>827</v>
      </c>
      <c r="C560" s="38" t="s">
        <v>3109</v>
      </c>
      <c r="D560" s="38" t="s">
        <v>196</v>
      </c>
      <c r="F560" s="38" t="s">
        <v>2264</v>
      </c>
      <c r="J560" s="38" t="s">
        <v>883</v>
      </c>
      <c r="K560" s="38" t="s">
        <v>3243</v>
      </c>
      <c r="L560" s="38">
        <v>1.0</v>
      </c>
      <c r="N560" s="38" t="s">
        <v>120</v>
      </c>
      <c r="R560" s="90">
        <v>508.0</v>
      </c>
      <c r="T560" s="90">
        <v>508.0</v>
      </c>
      <c r="V560" s="94" t="s">
        <v>1627</v>
      </c>
    </row>
    <row r="561">
      <c r="A561" s="37">
        <v>45169.69388247685</v>
      </c>
      <c r="B561" s="38" t="s">
        <v>827</v>
      </c>
      <c r="C561" s="38" t="s">
        <v>1713</v>
      </c>
      <c r="D561" s="38" t="s">
        <v>44</v>
      </c>
      <c r="F561" s="38" t="s">
        <v>2274</v>
      </c>
      <c r="G561" s="38" t="s">
        <v>3244</v>
      </c>
      <c r="H561" s="38" t="s">
        <v>3245</v>
      </c>
      <c r="N561" s="38" t="s">
        <v>2272</v>
      </c>
      <c r="R561" s="90">
        <v>509.0</v>
      </c>
      <c r="T561" s="90">
        <v>509.0</v>
      </c>
      <c r="V561" s="94" t="s">
        <v>1627</v>
      </c>
    </row>
    <row r="562">
      <c r="A562" s="37">
        <v>45170.549281898144</v>
      </c>
      <c r="B562" s="38" t="s">
        <v>827</v>
      </c>
      <c r="C562" s="38" t="s">
        <v>1995</v>
      </c>
      <c r="D562" s="38" t="s">
        <v>916</v>
      </c>
      <c r="F562" s="38" t="s">
        <v>2274</v>
      </c>
      <c r="G562" s="38" t="s">
        <v>2241</v>
      </c>
      <c r="H562" s="38" t="s">
        <v>3246</v>
      </c>
      <c r="N562" s="38" t="s">
        <v>417</v>
      </c>
      <c r="R562" s="90">
        <v>510.0</v>
      </c>
      <c r="T562" s="90">
        <v>510.0</v>
      </c>
      <c r="V562" s="93" t="s">
        <v>1505</v>
      </c>
    </row>
    <row r="563">
      <c r="A563" s="37">
        <v>45177.624265798615</v>
      </c>
      <c r="B563" s="38" t="s">
        <v>827</v>
      </c>
      <c r="C563" s="38" t="s">
        <v>3247</v>
      </c>
      <c r="D563" s="38" t="s">
        <v>16</v>
      </c>
      <c r="F563" s="38" t="s">
        <v>2264</v>
      </c>
      <c r="J563" s="38" t="s">
        <v>3248</v>
      </c>
      <c r="K563" s="38" t="s">
        <v>3249</v>
      </c>
      <c r="L563" s="38">
        <v>2.0</v>
      </c>
      <c r="N563" s="38" t="s">
        <v>3250</v>
      </c>
      <c r="R563" s="90">
        <v>511.0</v>
      </c>
      <c r="T563" s="90">
        <v>511.0</v>
      </c>
      <c r="V563" s="94" t="s">
        <v>1627</v>
      </c>
    </row>
    <row r="564">
      <c r="A564" s="37">
        <v>45181.33756209491</v>
      </c>
      <c r="B564" s="38" t="s">
        <v>827</v>
      </c>
      <c r="C564" s="38" t="s">
        <v>2566</v>
      </c>
      <c r="D564" s="38" t="s">
        <v>82</v>
      </c>
      <c r="F564" s="38" t="s">
        <v>2274</v>
      </c>
      <c r="G564" s="38" t="s">
        <v>3251</v>
      </c>
      <c r="H564" s="38" t="s">
        <v>3251</v>
      </c>
      <c r="N564" s="38" t="s">
        <v>80</v>
      </c>
      <c r="R564" s="90">
        <v>512.0</v>
      </c>
      <c r="T564" s="90">
        <v>512.0</v>
      </c>
      <c r="V564" s="93" t="s">
        <v>1505</v>
      </c>
    </row>
    <row r="565">
      <c r="A565" s="37">
        <v>45182.427084166666</v>
      </c>
      <c r="B565" s="38" t="s">
        <v>827</v>
      </c>
      <c r="C565" s="38" t="s">
        <v>1713</v>
      </c>
      <c r="D565" s="38" t="s">
        <v>44</v>
      </c>
      <c r="F565" s="38" t="s">
        <v>2274</v>
      </c>
      <c r="G565" s="38" t="s">
        <v>2388</v>
      </c>
      <c r="H565" s="38" t="s">
        <v>3252</v>
      </c>
      <c r="N565" s="38" t="s">
        <v>2272</v>
      </c>
      <c r="R565" s="90">
        <v>513.0</v>
      </c>
      <c r="T565" s="90">
        <v>513.0</v>
      </c>
      <c r="V565" s="94" t="s">
        <v>1627</v>
      </c>
    </row>
    <row r="566">
      <c r="A566" s="37">
        <v>45190.66643136574</v>
      </c>
      <c r="B566" s="38" t="s">
        <v>827</v>
      </c>
      <c r="C566" s="38" t="s">
        <v>2861</v>
      </c>
      <c r="D566" s="38" t="s">
        <v>16</v>
      </c>
      <c r="F566" s="38" t="s">
        <v>2274</v>
      </c>
      <c r="G566" s="38" t="s">
        <v>2241</v>
      </c>
      <c r="H566" s="38" t="s">
        <v>3253</v>
      </c>
      <c r="N566" s="38" t="s">
        <v>2863</v>
      </c>
      <c r="R566" s="90">
        <v>514.0</v>
      </c>
      <c r="T566" s="90">
        <v>514.0</v>
      </c>
      <c r="V566" s="94" t="s">
        <v>1627</v>
      </c>
    </row>
    <row r="567">
      <c r="A567" s="37">
        <v>45194.43383974537</v>
      </c>
      <c r="B567" s="38" t="s">
        <v>827</v>
      </c>
      <c r="C567" s="38" t="s">
        <v>3173</v>
      </c>
      <c r="D567" s="38" t="s">
        <v>316</v>
      </c>
      <c r="F567" s="38" t="s">
        <v>2274</v>
      </c>
      <c r="G567" s="38" t="s">
        <v>2241</v>
      </c>
      <c r="H567" s="38" t="s">
        <v>3254</v>
      </c>
      <c r="N567" s="38" t="s">
        <v>3175</v>
      </c>
      <c r="R567" s="90">
        <v>515.0</v>
      </c>
      <c r="T567" s="90">
        <v>515.0</v>
      </c>
      <c r="V567" s="94" t="s">
        <v>1627</v>
      </c>
    </row>
    <row r="568">
      <c r="A568" s="37">
        <v>45195.45726434028</v>
      </c>
      <c r="B568" s="38" t="s">
        <v>827</v>
      </c>
      <c r="C568" s="38" t="s">
        <v>1749</v>
      </c>
      <c r="D568" s="38" t="s">
        <v>35</v>
      </c>
      <c r="F568" s="38" t="s">
        <v>2274</v>
      </c>
      <c r="G568" s="38" t="s">
        <v>2241</v>
      </c>
      <c r="H568" s="38" t="s">
        <v>3255</v>
      </c>
      <c r="I568" s="85" t="s">
        <v>3256</v>
      </c>
      <c r="N568" s="38" t="s">
        <v>1105</v>
      </c>
      <c r="R568" s="90">
        <v>516.0</v>
      </c>
      <c r="T568" s="90">
        <v>516.0</v>
      </c>
      <c r="V568" s="93" t="s">
        <v>1505</v>
      </c>
    </row>
    <row r="569">
      <c r="A569" s="37">
        <v>45196.45255814814</v>
      </c>
      <c r="B569" s="38" t="s">
        <v>827</v>
      </c>
      <c r="C569" s="38" t="s">
        <v>1713</v>
      </c>
      <c r="D569" s="38" t="s">
        <v>44</v>
      </c>
      <c r="F569" s="38" t="s">
        <v>2274</v>
      </c>
      <c r="G569" s="38" t="s">
        <v>3257</v>
      </c>
      <c r="H569" s="38" t="s">
        <v>3258</v>
      </c>
      <c r="N569" s="38" t="s">
        <v>2272</v>
      </c>
      <c r="R569" s="90">
        <v>517.0</v>
      </c>
      <c r="T569" s="90">
        <v>517.0</v>
      </c>
      <c r="V569" s="94" t="s">
        <v>1627</v>
      </c>
    </row>
    <row r="570">
      <c r="A570" s="37">
        <v>45201.516282199074</v>
      </c>
      <c r="B570" s="38" t="s">
        <v>827</v>
      </c>
      <c r="C570" s="38" t="s">
        <v>3259</v>
      </c>
      <c r="D570" s="38" t="s">
        <v>196</v>
      </c>
      <c r="F570" s="38" t="s">
        <v>2264</v>
      </c>
      <c r="J570" s="38" t="s">
        <v>306</v>
      </c>
      <c r="K570" s="38" t="s">
        <v>3260</v>
      </c>
      <c r="L570" s="38">
        <v>1.0</v>
      </c>
      <c r="N570" s="38" t="s">
        <v>120</v>
      </c>
      <c r="R570" s="90">
        <v>518.0</v>
      </c>
      <c r="T570" s="90">
        <v>518.0</v>
      </c>
      <c r="V570" s="93" t="s">
        <v>1505</v>
      </c>
    </row>
    <row r="571">
      <c r="A571" s="37">
        <v>45202.33291819444</v>
      </c>
      <c r="B571" s="38" t="s">
        <v>827</v>
      </c>
      <c r="C571" s="38" t="s">
        <v>3109</v>
      </c>
      <c r="D571" s="38" t="s">
        <v>196</v>
      </c>
      <c r="F571" s="38" t="s">
        <v>2274</v>
      </c>
      <c r="G571" s="38" t="s">
        <v>2249</v>
      </c>
      <c r="H571" s="38" t="s">
        <v>3261</v>
      </c>
      <c r="N571" s="38" t="s">
        <v>120</v>
      </c>
      <c r="R571" s="90">
        <v>519.0</v>
      </c>
      <c r="T571" s="90">
        <v>519.0</v>
      </c>
      <c r="V571" s="94" t="s">
        <v>1627</v>
      </c>
    </row>
    <row r="572">
      <c r="A572" s="37">
        <v>45202.33415768518</v>
      </c>
      <c r="B572" s="38" t="s">
        <v>827</v>
      </c>
      <c r="C572" s="38" t="s">
        <v>3109</v>
      </c>
      <c r="D572" s="38" t="s">
        <v>196</v>
      </c>
      <c r="F572" s="38" t="s">
        <v>2264</v>
      </c>
      <c r="J572" s="38" t="s">
        <v>3262</v>
      </c>
      <c r="K572" s="38" t="s">
        <v>3263</v>
      </c>
      <c r="L572" s="38">
        <v>1.0</v>
      </c>
      <c r="N572" s="38" t="s">
        <v>120</v>
      </c>
      <c r="R572" s="90">
        <v>520.0</v>
      </c>
      <c r="T572" s="90">
        <v>520.0</v>
      </c>
      <c r="V572" s="94" t="s">
        <v>1627</v>
      </c>
    </row>
    <row r="573">
      <c r="A573" s="37">
        <v>45202.69424708333</v>
      </c>
      <c r="B573" s="38" t="s">
        <v>827</v>
      </c>
      <c r="C573" s="38" t="s">
        <v>2905</v>
      </c>
      <c r="D573" s="38" t="s">
        <v>916</v>
      </c>
      <c r="F573" s="38" t="s">
        <v>2264</v>
      </c>
      <c r="J573" s="38" t="s">
        <v>292</v>
      </c>
      <c r="K573" s="38" t="s">
        <v>2499</v>
      </c>
      <c r="L573" s="38">
        <v>1.0</v>
      </c>
      <c r="N573" s="38" t="s">
        <v>390</v>
      </c>
      <c r="R573" s="90">
        <v>521.0</v>
      </c>
      <c r="T573" s="90">
        <v>521.0</v>
      </c>
      <c r="V573" s="92" t="s">
        <v>1621</v>
      </c>
    </row>
    <row r="574">
      <c r="A574" s="37">
        <v>45205.40867962963</v>
      </c>
      <c r="B574" s="38" t="s">
        <v>827</v>
      </c>
      <c r="C574" s="38" t="s">
        <v>1995</v>
      </c>
      <c r="D574" s="38" t="s">
        <v>916</v>
      </c>
      <c r="F574" s="38" t="s">
        <v>2274</v>
      </c>
      <c r="G574" s="38" t="s">
        <v>2249</v>
      </c>
      <c r="H574" s="38" t="s">
        <v>3264</v>
      </c>
      <c r="N574" s="38" t="s">
        <v>417</v>
      </c>
      <c r="R574" s="90">
        <v>522.0</v>
      </c>
      <c r="T574" s="90">
        <v>522.0</v>
      </c>
      <c r="V574" s="94" t="s">
        <v>1627</v>
      </c>
    </row>
    <row r="575">
      <c r="A575" s="37">
        <v>45208.622876168985</v>
      </c>
      <c r="B575" s="38" t="s">
        <v>827</v>
      </c>
      <c r="C575" s="38" t="s">
        <v>3109</v>
      </c>
      <c r="D575" s="38" t="s">
        <v>196</v>
      </c>
      <c r="F575" s="38" t="s">
        <v>2264</v>
      </c>
      <c r="J575" s="38" t="s">
        <v>3265</v>
      </c>
      <c r="K575" s="38" t="s">
        <v>3266</v>
      </c>
      <c r="L575" s="38">
        <v>2.0</v>
      </c>
      <c r="N575" s="38" t="s">
        <v>120</v>
      </c>
      <c r="R575" s="90">
        <v>523.0</v>
      </c>
      <c r="T575" s="90">
        <v>523.0</v>
      </c>
      <c r="V575" s="94" t="s">
        <v>1627</v>
      </c>
    </row>
    <row r="576">
      <c r="A576" s="37">
        <v>45209.49904547454</v>
      </c>
      <c r="B576" s="38" t="s">
        <v>827</v>
      </c>
      <c r="C576" s="38" t="s">
        <v>1758</v>
      </c>
      <c r="D576" s="38" t="s">
        <v>16</v>
      </c>
      <c r="F576" s="38" t="s">
        <v>2274</v>
      </c>
      <c r="G576" s="38" t="s">
        <v>2232</v>
      </c>
      <c r="H576" s="38" t="s">
        <v>3267</v>
      </c>
      <c r="N576" s="38" t="s">
        <v>19</v>
      </c>
      <c r="R576" s="90">
        <v>524.0</v>
      </c>
      <c r="T576" s="90">
        <v>524.0</v>
      </c>
      <c r="V576" s="94" t="s">
        <v>1627</v>
      </c>
    </row>
    <row r="577">
      <c r="A577" s="37">
        <v>45211.646094675925</v>
      </c>
      <c r="B577" s="38" t="s">
        <v>827</v>
      </c>
      <c r="C577" s="38" t="s">
        <v>3109</v>
      </c>
      <c r="D577" s="38" t="s">
        <v>196</v>
      </c>
      <c r="F577" s="38" t="s">
        <v>2274</v>
      </c>
      <c r="G577" s="38" t="s">
        <v>3268</v>
      </c>
      <c r="H577" s="38" t="s">
        <v>3269</v>
      </c>
      <c r="I577" s="85" t="s">
        <v>3270</v>
      </c>
      <c r="N577" s="38" t="s">
        <v>120</v>
      </c>
      <c r="R577" s="90">
        <v>525.0</v>
      </c>
      <c r="T577" s="90">
        <v>525.0</v>
      </c>
      <c r="V577" s="94" t="s">
        <v>1627</v>
      </c>
    </row>
    <row r="578">
      <c r="A578" s="37">
        <v>45212.41589953704</v>
      </c>
      <c r="B578" s="38" t="s">
        <v>827</v>
      </c>
      <c r="C578" s="38" t="s">
        <v>1713</v>
      </c>
      <c r="D578" s="38" t="s">
        <v>44</v>
      </c>
      <c r="F578" s="38" t="s">
        <v>2274</v>
      </c>
      <c r="G578" s="38" t="s">
        <v>3178</v>
      </c>
      <c r="H578" s="38" t="s">
        <v>3271</v>
      </c>
      <c r="N578" s="38" t="s">
        <v>2272</v>
      </c>
      <c r="R578" s="90">
        <v>526.0</v>
      </c>
      <c r="T578" s="90">
        <v>526.0</v>
      </c>
      <c r="V578" s="94" t="s">
        <v>1627</v>
      </c>
    </row>
    <row r="579">
      <c r="A579" s="37">
        <v>45215.63958354166</v>
      </c>
      <c r="B579" s="38" t="s">
        <v>827</v>
      </c>
      <c r="C579" s="38" t="s">
        <v>1758</v>
      </c>
      <c r="D579" s="38" t="s">
        <v>16</v>
      </c>
      <c r="F579" s="38" t="s">
        <v>2264</v>
      </c>
      <c r="J579" s="38" t="s">
        <v>3272</v>
      </c>
      <c r="K579" s="38" t="s">
        <v>3273</v>
      </c>
      <c r="L579" s="38">
        <v>5.0</v>
      </c>
      <c r="M579" s="85" t="s">
        <v>3274</v>
      </c>
      <c r="N579" s="38" t="s">
        <v>19</v>
      </c>
      <c r="R579" s="90">
        <v>527.0</v>
      </c>
      <c r="T579" s="90">
        <v>527.0</v>
      </c>
      <c r="V579" s="94" t="s">
        <v>1627</v>
      </c>
    </row>
    <row r="580">
      <c r="A580" s="37">
        <v>45216.360470127314</v>
      </c>
      <c r="B580" s="38" t="s">
        <v>827</v>
      </c>
      <c r="C580" s="38" t="s">
        <v>2231</v>
      </c>
      <c r="D580" s="38" t="s">
        <v>916</v>
      </c>
      <c r="F580" s="38" t="s">
        <v>2274</v>
      </c>
      <c r="G580" s="38" t="s">
        <v>2275</v>
      </c>
      <c r="H580" s="38" t="s">
        <v>3275</v>
      </c>
      <c r="I580" s="85" t="s">
        <v>3276</v>
      </c>
      <c r="N580" s="38" t="s">
        <v>2248</v>
      </c>
      <c r="R580" s="90">
        <v>528.0</v>
      </c>
      <c r="T580" s="90">
        <v>528.0</v>
      </c>
      <c r="V580" s="94" t="s">
        <v>1627</v>
      </c>
    </row>
    <row r="581">
      <c r="A581" s="37">
        <v>45218.41689533565</v>
      </c>
      <c r="B581" s="38" t="s">
        <v>827</v>
      </c>
      <c r="C581" s="38" t="s">
        <v>3277</v>
      </c>
      <c r="D581" s="38" t="s">
        <v>95</v>
      </c>
      <c r="F581" s="38" t="s">
        <v>2274</v>
      </c>
      <c r="G581" s="38" t="s">
        <v>3278</v>
      </c>
      <c r="H581" s="38" t="s">
        <v>3279</v>
      </c>
      <c r="N581" s="38" t="s">
        <v>3280</v>
      </c>
      <c r="R581" s="90">
        <v>529.0</v>
      </c>
      <c r="T581" s="90">
        <v>529.0</v>
      </c>
      <c r="V581" s="94" t="s">
        <v>1627</v>
      </c>
    </row>
    <row r="582">
      <c r="A582" s="37">
        <v>45224.39541892361</v>
      </c>
      <c r="B582" s="38" t="s">
        <v>827</v>
      </c>
      <c r="C582" s="38" t="s">
        <v>1633</v>
      </c>
      <c r="D582" s="38" t="s">
        <v>316</v>
      </c>
      <c r="F582" s="38" t="s">
        <v>2274</v>
      </c>
      <c r="G582" s="38" t="s">
        <v>2241</v>
      </c>
      <c r="H582" s="38" t="s">
        <v>3281</v>
      </c>
      <c r="N582" s="38" t="s">
        <v>320</v>
      </c>
      <c r="R582" s="90">
        <v>530.0</v>
      </c>
      <c r="T582" s="90">
        <v>530.0</v>
      </c>
      <c r="V582" s="94" t="s">
        <v>1627</v>
      </c>
    </row>
    <row r="583">
      <c r="A583" s="37">
        <v>45225.47078710648</v>
      </c>
      <c r="B583" s="38" t="s">
        <v>827</v>
      </c>
      <c r="C583" s="38" t="s">
        <v>1749</v>
      </c>
      <c r="D583" s="38" t="s">
        <v>35</v>
      </c>
      <c r="F583" s="38" t="s">
        <v>2274</v>
      </c>
      <c r="G583" s="38" t="s">
        <v>2241</v>
      </c>
      <c r="H583" s="38" t="s">
        <v>3282</v>
      </c>
      <c r="N583" s="38" t="s">
        <v>1105</v>
      </c>
      <c r="R583" s="90">
        <v>531.0</v>
      </c>
      <c r="T583" s="90">
        <v>531.0</v>
      </c>
      <c r="V583" s="94" t="s">
        <v>1627</v>
      </c>
    </row>
    <row r="584">
      <c r="A584" s="37">
        <v>45225.48797804398</v>
      </c>
      <c r="B584" s="38" t="s">
        <v>827</v>
      </c>
      <c r="C584" s="38" t="s">
        <v>1713</v>
      </c>
      <c r="D584" s="38" t="s">
        <v>44</v>
      </c>
      <c r="F584" s="38" t="s">
        <v>2274</v>
      </c>
      <c r="G584" s="38" t="s">
        <v>3283</v>
      </c>
      <c r="H584" s="38" t="s">
        <v>3284</v>
      </c>
      <c r="N584" s="38" t="s">
        <v>2272</v>
      </c>
      <c r="R584" s="90">
        <v>532.0</v>
      </c>
      <c r="T584" s="90">
        <v>532.0</v>
      </c>
      <c r="V584" s="94" t="s">
        <v>1627</v>
      </c>
    </row>
    <row r="585">
      <c r="A585" s="37">
        <v>45225.512326516204</v>
      </c>
      <c r="B585" s="38" t="s">
        <v>827</v>
      </c>
      <c r="C585" s="38" t="s">
        <v>1713</v>
      </c>
      <c r="D585" s="38" t="s">
        <v>44</v>
      </c>
      <c r="F585" s="38" t="s">
        <v>2274</v>
      </c>
      <c r="G585" s="38" t="s">
        <v>3283</v>
      </c>
      <c r="H585" s="38" t="s">
        <v>3285</v>
      </c>
      <c r="N585" s="38" t="s">
        <v>2272</v>
      </c>
      <c r="R585" s="90">
        <v>533.0</v>
      </c>
      <c r="T585" s="90">
        <v>533.0</v>
      </c>
      <c r="V585" s="94" t="s">
        <v>1627</v>
      </c>
    </row>
    <row r="586">
      <c r="A586" s="37">
        <v>45229.40618910879</v>
      </c>
      <c r="B586" s="38" t="s">
        <v>827</v>
      </c>
      <c r="C586" s="38" t="s">
        <v>1995</v>
      </c>
      <c r="D586" s="38" t="s">
        <v>916</v>
      </c>
      <c r="F586" s="38" t="s">
        <v>2264</v>
      </c>
      <c r="J586" s="38" t="s">
        <v>3286</v>
      </c>
      <c r="K586" s="38" t="s">
        <v>3287</v>
      </c>
      <c r="L586" s="38">
        <v>2.0</v>
      </c>
      <c r="N586" s="38" t="s">
        <v>417</v>
      </c>
      <c r="R586" s="90">
        <v>534.0</v>
      </c>
      <c r="T586" s="90">
        <v>534.0</v>
      </c>
      <c r="V586" s="94" t="s">
        <v>1627</v>
      </c>
    </row>
    <row r="587">
      <c r="A587" s="37">
        <v>45229.62374969907</v>
      </c>
      <c r="B587" s="38" t="s">
        <v>827</v>
      </c>
      <c r="C587" s="38" t="s">
        <v>3198</v>
      </c>
      <c r="D587" s="38" t="s">
        <v>16</v>
      </c>
      <c r="F587" s="38" t="s">
        <v>2264</v>
      </c>
      <c r="J587" s="38" t="s">
        <v>3288</v>
      </c>
      <c r="K587" s="38" t="s">
        <v>3289</v>
      </c>
      <c r="L587" s="38">
        <v>1.0</v>
      </c>
      <c r="N587" s="38" t="s">
        <v>137</v>
      </c>
      <c r="R587" s="90">
        <v>535.0</v>
      </c>
      <c r="T587" s="90">
        <v>535.0</v>
      </c>
      <c r="V587" s="94" t="s">
        <v>1627</v>
      </c>
    </row>
    <row r="588">
      <c r="A588" s="37">
        <v>45230.61845222222</v>
      </c>
      <c r="B588" s="38" t="s">
        <v>827</v>
      </c>
      <c r="C588" s="38" t="s">
        <v>3198</v>
      </c>
      <c r="D588" s="38" t="s">
        <v>16</v>
      </c>
      <c r="F588" s="38" t="s">
        <v>2264</v>
      </c>
      <c r="J588" s="38" t="s">
        <v>3290</v>
      </c>
      <c r="K588" s="38" t="s">
        <v>3291</v>
      </c>
      <c r="L588" s="38" t="s">
        <v>3292</v>
      </c>
      <c r="N588" s="38" t="s">
        <v>137</v>
      </c>
      <c r="R588" s="90">
        <v>536.0</v>
      </c>
      <c r="T588" s="90">
        <v>536.0</v>
      </c>
      <c r="V588" s="94" t="s">
        <v>1627</v>
      </c>
    </row>
    <row r="589">
      <c r="A589" s="37">
        <v>45230.630809803246</v>
      </c>
      <c r="B589" s="38" t="s">
        <v>827</v>
      </c>
      <c r="C589" s="38" t="s">
        <v>3293</v>
      </c>
      <c r="D589" s="38" t="s">
        <v>878</v>
      </c>
      <c r="F589" s="38" t="s">
        <v>2274</v>
      </c>
      <c r="G589" s="38" t="s">
        <v>3294</v>
      </c>
      <c r="H589" s="38" t="s">
        <v>3295</v>
      </c>
      <c r="N589" s="38" t="s">
        <v>3296</v>
      </c>
      <c r="R589" s="90">
        <v>537.0</v>
      </c>
      <c r="T589" s="90">
        <v>537.0</v>
      </c>
      <c r="V589" s="94" t="s">
        <v>1627</v>
      </c>
    </row>
    <row r="590">
      <c r="A590" s="37">
        <v>45238.48202866898</v>
      </c>
      <c r="B590" s="38" t="s">
        <v>827</v>
      </c>
      <c r="C590" s="38" t="s">
        <v>3297</v>
      </c>
      <c r="D590" s="38" t="s">
        <v>82</v>
      </c>
      <c r="F590" s="38" t="s">
        <v>2264</v>
      </c>
      <c r="J590" s="38" t="s">
        <v>3298</v>
      </c>
      <c r="K590" s="38" t="s">
        <v>3299</v>
      </c>
      <c r="L590" s="38">
        <v>1.0</v>
      </c>
      <c r="N590" s="38" t="s">
        <v>3300</v>
      </c>
      <c r="R590" s="90">
        <v>538.0</v>
      </c>
      <c r="T590" s="90">
        <v>538.0</v>
      </c>
      <c r="V590" s="93" t="s">
        <v>1505</v>
      </c>
    </row>
    <row r="591">
      <c r="A591" s="37">
        <v>45240.61960203704</v>
      </c>
      <c r="B591" s="38" t="s">
        <v>827</v>
      </c>
      <c r="C591" s="38" t="s">
        <v>1707</v>
      </c>
      <c r="D591" s="38" t="s">
        <v>870</v>
      </c>
      <c r="F591" s="38" t="s">
        <v>2264</v>
      </c>
      <c r="J591" s="38" t="s">
        <v>306</v>
      </c>
      <c r="K591" s="38" t="s">
        <v>3301</v>
      </c>
      <c r="L591" s="38" t="s">
        <v>2555</v>
      </c>
      <c r="N591" s="38" t="s">
        <v>2386</v>
      </c>
      <c r="R591" s="90">
        <v>539.0</v>
      </c>
      <c r="T591" s="90">
        <v>539.0</v>
      </c>
      <c r="V591" s="94" t="s">
        <v>1627</v>
      </c>
    </row>
    <row r="592">
      <c r="A592" s="37">
        <v>45245.641933252315</v>
      </c>
      <c r="B592" s="38" t="s">
        <v>827</v>
      </c>
      <c r="C592" s="38" t="s">
        <v>2861</v>
      </c>
      <c r="D592" s="38" t="s">
        <v>16</v>
      </c>
      <c r="F592" s="38" t="s">
        <v>2264</v>
      </c>
      <c r="J592" s="38" t="s">
        <v>3302</v>
      </c>
      <c r="K592" s="38" t="s">
        <v>3303</v>
      </c>
      <c r="L592" s="38" t="s">
        <v>3304</v>
      </c>
      <c r="N592" s="38" t="s">
        <v>2863</v>
      </c>
      <c r="R592" s="90">
        <v>540.0</v>
      </c>
      <c r="T592" s="90">
        <v>540.0</v>
      </c>
      <c r="V592" s="94" t="s">
        <v>1627</v>
      </c>
    </row>
    <row r="593">
      <c r="A593" s="37">
        <v>45246.36904859953</v>
      </c>
      <c r="B593" s="38" t="s">
        <v>827</v>
      </c>
      <c r="C593" s="38" t="s">
        <v>2626</v>
      </c>
      <c r="D593" s="38" t="s">
        <v>196</v>
      </c>
      <c r="F593" s="38" t="s">
        <v>2264</v>
      </c>
      <c r="J593" s="38" t="s">
        <v>213</v>
      </c>
      <c r="K593" s="38" t="s">
        <v>3305</v>
      </c>
      <c r="L593" s="38">
        <v>1.0</v>
      </c>
      <c r="N593" s="38" t="s">
        <v>120</v>
      </c>
      <c r="R593" s="90">
        <v>541.0</v>
      </c>
      <c r="T593" s="90">
        <v>541.0</v>
      </c>
      <c r="V593" s="94" t="s">
        <v>1627</v>
      </c>
    </row>
    <row r="594">
      <c r="A594" s="37">
        <v>45255.4131389699</v>
      </c>
      <c r="B594" s="38" t="s">
        <v>827</v>
      </c>
      <c r="C594" s="38" t="s">
        <v>3109</v>
      </c>
      <c r="D594" s="38" t="s">
        <v>196</v>
      </c>
      <c r="F594" s="38" t="s">
        <v>2274</v>
      </c>
      <c r="G594" s="38" t="s">
        <v>2275</v>
      </c>
      <c r="H594" s="38" t="s">
        <v>3306</v>
      </c>
      <c r="N594" s="38" t="s">
        <v>120</v>
      </c>
      <c r="R594" s="90">
        <v>542.0</v>
      </c>
      <c r="T594" s="90">
        <v>542.0</v>
      </c>
      <c r="V594" s="94" t="s">
        <v>1627</v>
      </c>
    </row>
    <row r="595">
      <c r="A595" s="37">
        <v>45255.414401111106</v>
      </c>
      <c r="B595" s="38" t="s">
        <v>827</v>
      </c>
      <c r="C595" s="38" t="s">
        <v>3109</v>
      </c>
      <c r="D595" s="38" t="s">
        <v>196</v>
      </c>
      <c r="F595" s="38" t="s">
        <v>2274</v>
      </c>
      <c r="G595" s="38" t="s">
        <v>3307</v>
      </c>
      <c r="H595" s="38" t="s">
        <v>3308</v>
      </c>
      <c r="I595" s="85" t="s">
        <v>3309</v>
      </c>
      <c r="N595" s="38" t="s">
        <v>120</v>
      </c>
      <c r="R595" s="90">
        <v>543.0</v>
      </c>
      <c r="T595" s="90">
        <v>543.0</v>
      </c>
      <c r="V595" s="94" t="s">
        <v>1627</v>
      </c>
    </row>
    <row r="596">
      <c r="A596" s="37">
        <v>45257.35863811342</v>
      </c>
      <c r="B596" s="38" t="s">
        <v>827</v>
      </c>
      <c r="C596" s="38" t="s">
        <v>1749</v>
      </c>
      <c r="D596" s="38" t="s">
        <v>35</v>
      </c>
      <c r="F596" s="38" t="s">
        <v>2274</v>
      </c>
      <c r="G596" s="38" t="s">
        <v>2232</v>
      </c>
      <c r="H596" s="38" t="s">
        <v>3310</v>
      </c>
      <c r="N596" s="38" t="s">
        <v>1105</v>
      </c>
      <c r="R596" s="90">
        <v>544.0</v>
      </c>
      <c r="T596" s="90">
        <v>544.0</v>
      </c>
      <c r="V596" s="94" t="s">
        <v>1627</v>
      </c>
    </row>
    <row r="597">
      <c r="A597" s="37">
        <v>45260.30021423611</v>
      </c>
      <c r="B597" s="38" t="s">
        <v>827</v>
      </c>
      <c r="C597" s="38" t="s">
        <v>3109</v>
      </c>
      <c r="D597" s="38" t="s">
        <v>196</v>
      </c>
      <c r="F597" s="38" t="s">
        <v>2274</v>
      </c>
      <c r="G597" s="38" t="s">
        <v>2232</v>
      </c>
      <c r="H597" s="38" t="s">
        <v>3311</v>
      </c>
      <c r="I597" s="85" t="s">
        <v>3312</v>
      </c>
      <c r="N597" s="38" t="s">
        <v>120</v>
      </c>
      <c r="R597" s="90">
        <v>545.0</v>
      </c>
      <c r="T597" s="90">
        <v>545.0</v>
      </c>
      <c r="V597" s="94" t="s">
        <v>1627</v>
      </c>
    </row>
    <row r="598">
      <c r="A598" s="37">
        <v>45264.294500578704</v>
      </c>
      <c r="B598" s="38" t="s">
        <v>827</v>
      </c>
      <c r="C598" s="38" t="s">
        <v>3109</v>
      </c>
      <c r="D598" s="38" t="s">
        <v>196</v>
      </c>
      <c r="F598" s="38" t="s">
        <v>2274</v>
      </c>
      <c r="G598" s="38" t="s">
        <v>2275</v>
      </c>
      <c r="H598" s="38" t="s">
        <v>3313</v>
      </c>
      <c r="N598" s="38" t="s">
        <v>120</v>
      </c>
      <c r="R598" s="90">
        <v>546.0</v>
      </c>
      <c r="T598" s="90">
        <v>546.0</v>
      </c>
      <c r="V598" s="94" t="s">
        <v>1627</v>
      </c>
    </row>
    <row r="599">
      <c r="A599" s="37">
        <v>45266.58458809028</v>
      </c>
      <c r="B599" s="38" t="s">
        <v>827</v>
      </c>
      <c r="C599" s="38" t="s">
        <v>3198</v>
      </c>
      <c r="D599" s="38" t="s">
        <v>16</v>
      </c>
      <c r="F599" s="38" t="s">
        <v>2274</v>
      </c>
      <c r="G599" s="38" t="s">
        <v>2241</v>
      </c>
      <c r="H599" s="38" t="s">
        <v>3314</v>
      </c>
      <c r="N599" s="38" t="s">
        <v>137</v>
      </c>
      <c r="R599" s="90">
        <v>547.0</v>
      </c>
      <c r="T599" s="90">
        <v>547.0</v>
      </c>
      <c r="V599" s="94" t="s">
        <v>1627</v>
      </c>
    </row>
    <row r="600">
      <c r="A600" s="37">
        <v>45268.64699715278</v>
      </c>
      <c r="B600" s="38" t="s">
        <v>827</v>
      </c>
      <c r="C600" s="38" t="s">
        <v>1749</v>
      </c>
      <c r="D600" s="38" t="s">
        <v>35</v>
      </c>
      <c r="F600" s="38" t="s">
        <v>2274</v>
      </c>
      <c r="G600" s="38" t="s">
        <v>2249</v>
      </c>
      <c r="H600" s="38" t="s">
        <v>3315</v>
      </c>
      <c r="N600" s="38" t="s">
        <v>1105</v>
      </c>
      <c r="R600" s="90">
        <v>548.0</v>
      </c>
      <c r="T600" s="90">
        <v>548.0</v>
      </c>
      <c r="V600" s="94" t="s">
        <v>1627</v>
      </c>
    </row>
    <row r="601">
      <c r="A601" s="37">
        <v>45272.56483387732</v>
      </c>
      <c r="B601" s="38" t="s">
        <v>827</v>
      </c>
      <c r="C601" s="38" t="s">
        <v>1713</v>
      </c>
      <c r="D601" s="38" t="s">
        <v>44</v>
      </c>
      <c r="F601" s="38" t="s">
        <v>2274</v>
      </c>
      <c r="G601" s="38" t="s">
        <v>2249</v>
      </c>
      <c r="H601" s="38" t="s">
        <v>3316</v>
      </c>
      <c r="N601" s="38" t="s">
        <v>2272</v>
      </c>
      <c r="R601" s="90">
        <v>549.0</v>
      </c>
      <c r="T601" s="90">
        <v>549.0</v>
      </c>
      <c r="V601" s="94" t="s">
        <v>1627</v>
      </c>
    </row>
    <row r="602">
      <c r="A602" s="37">
        <v>45272.627345625</v>
      </c>
      <c r="B602" s="38" t="s">
        <v>827</v>
      </c>
      <c r="C602" s="38" t="s">
        <v>1713</v>
      </c>
      <c r="D602" s="38" t="s">
        <v>44</v>
      </c>
      <c r="F602" s="38" t="s">
        <v>2274</v>
      </c>
      <c r="G602" s="38" t="s">
        <v>2249</v>
      </c>
      <c r="H602" s="38" t="s">
        <v>3317</v>
      </c>
      <c r="N602" s="38" t="s">
        <v>2272</v>
      </c>
      <c r="R602" s="90">
        <v>550.0</v>
      </c>
      <c r="T602" s="90">
        <v>550.0</v>
      </c>
      <c r="V602" s="93" t="s">
        <v>1505</v>
      </c>
    </row>
    <row r="603">
      <c r="A603" s="37">
        <v>45274.382709074074</v>
      </c>
      <c r="B603" s="38" t="s">
        <v>827</v>
      </c>
      <c r="C603" s="38" t="s">
        <v>1717</v>
      </c>
      <c r="D603" s="38" t="s">
        <v>16</v>
      </c>
      <c r="F603" s="38" t="s">
        <v>2264</v>
      </c>
      <c r="J603" s="38" t="s">
        <v>3318</v>
      </c>
      <c r="K603" s="38" t="s">
        <v>3319</v>
      </c>
      <c r="L603" s="38">
        <v>1.0</v>
      </c>
      <c r="N603" s="38" t="s">
        <v>24</v>
      </c>
      <c r="R603" s="90">
        <v>551.0</v>
      </c>
      <c r="T603" s="90">
        <v>551.0</v>
      </c>
      <c r="V603" s="94" t="s">
        <v>1627</v>
      </c>
    </row>
    <row r="604">
      <c r="A604" s="37">
        <v>45274.74235291667</v>
      </c>
      <c r="B604" s="38" t="s">
        <v>827</v>
      </c>
      <c r="C604" s="38" t="s">
        <v>1717</v>
      </c>
      <c r="D604" s="38" t="s">
        <v>16</v>
      </c>
      <c r="F604" s="38" t="s">
        <v>2264</v>
      </c>
      <c r="J604" s="38" t="s">
        <v>3320</v>
      </c>
      <c r="K604" s="38" t="s">
        <v>3321</v>
      </c>
      <c r="L604" s="38">
        <v>1.0</v>
      </c>
      <c r="N604" s="38" t="s">
        <v>24</v>
      </c>
      <c r="R604" s="90">
        <v>552.0</v>
      </c>
      <c r="T604" s="90">
        <v>552.0</v>
      </c>
      <c r="V604" s="94" t="s">
        <v>1627</v>
      </c>
    </row>
    <row r="605">
      <c r="A605" s="37">
        <v>45275.423705821755</v>
      </c>
      <c r="B605" s="38" t="s">
        <v>827</v>
      </c>
      <c r="C605" s="38" t="s">
        <v>3322</v>
      </c>
      <c r="D605" s="38" t="s">
        <v>196</v>
      </c>
      <c r="F605" s="38" t="s">
        <v>2274</v>
      </c>
      <c r="G605" s="38" t="s">
        <v>2241</v>
      </c>
      <c r="H605" s="38" t="s">
        <v>3323</v>
      </c>
      <c r="N605" s="38" t="s">
        <v>134</v>
      </c>
      <c r="R605" s="90">
        <v>553.0</v>
      </c>
      <c r="T605" s="90">
        <v>553.0</v>
      </c>
      <c r="V605" s="94" t="s">
        <v>1627</v>
      </c>
    </row>
    <row r="606">
      <c r="A606" s="37">
        <v>45276.01976751158</v>
      </c>
      <c r="B606" s="38" t="s">
        <v>827</v>
      </c>
      <c r="C606" s="38" t="s">
        <v>2670</v>
      </c>
      <c r="D606" s="38" t="s">
        <v>316</v>
      </c>
      <c r="F606" s="38" t="s">
        <v>2274</v>
      </c>
      <c r="G606" s="38" t="s">
        <v>2275</v>
      </c>
      <c r="H606" s="38" t="s">
        <v>3324</v>
      </c>
      <c r="N606" s="38" t="s">
        <v>2673</v>
      </c>
      <c r="R606" s="90">
        <v>554.0</v>
      </c>
      <c r="T606" s="90">
        <v>554.0</v>
      </c>
      <c r="V606" s="94" t="s">
        <v>1627</v>
      </c>
    </row>
    <row r="607">
      <c r="A607" s="37">
        <v>45280.378014699076</v>
      </c>
      <c r="B607" s="38" t="s">
        <v>827</v>
      </c>
      <c r="C607" s="38" t="s">
        <v>2231</v>
      </c>
      <c r="D607" s="38" t="s">
        <v>916</v>
      </c>
      <c r="F607" s="38" t="s">
        <v>2274</v>
      </c>
      <c r="G607" s="38" t="s">
        <v>2232</v>
      </c>
      <c r="H607" s="38" t="s">
        <v>3325</v>
      </c>
      <c r="I607" s="85" t="s">
        <v>3326</v>
      </c>
      <c r="N607" s="38" t="s">
        <v>415</v>
      </c>
      <c r="R607" s="90">
        <v>555.0</v>
      </c>
      <c r="T607" s="90">
        <v>555.0</v>
      </c>
      <c r="V607" s="94" t="s">
        <v>1627</v>
      </c>
    </row>
    <row r="608">
      <c r="A608" s="37">
        <v>45282.614241504634</v>
      </c>
      <c r="B608" s="38" t="s">
        <v>827</v>
      </c>
      <c r="C608" s="38" t="s">
        <v>1713</v>
      </c>
      <c r="D608" s="38" t="s">
        <v>44</v>
      </c>
      <c r="F608" s="38" t="s">
        <v>2274</v>
      </c>
      <c r="G608" s="38" t="s">
        <v>2275</v>
      </c>
      <c r="H608" s="38" t="s">
        <v>3327</v>
      </c>
      <c r="I608" s="85" t="s">
        <v>3328</v>
      </c>
      <c r="N608" s="38" t="s">
        <v>2272</v>
      </c>
      <c r="R608" s="90">
        <v>556.0</v>
      </c>
      <c r="T608" s="90">
        <v>556.0</v>
      </c>
      <c r="V608" s="94" t="s">
        <v>1627</v>
      </c>
    </row>
    <row r="609">
      <c r="A609" s="37">
        <v>45293.338038333335</v>
      </c>
      <c r="B609" s="38" t="s">
        <v>827</v>
      </c>
      <c r="C609" s="38" t="s">
        <v>3109</v>
      </c>
      <c r="D609" s="38" t="s">
        <v>196</v>
      </c>
      <c r="F609" s="38" t="s">
        <v>2274</v>
      </c>
      <c r="G609" s="38" t="s">
        <v>2241</v>
      </c>
      <c r="H609" s="38" t="s">
        <v>3329</v>
      </c>
      <c r="N609" s="38" t="s">
        <v>120</v>
      </c>
      <c r="R609" s="90">
        <v>557.0</v>
      </c>
      <c r="T609" s="90">
        <v>557.0</v>
      </c>
      <c r="V609" s="94" t="s">
        <v>1627</v>
      </c>
    </row>
    <row r="610">
      <c r="A610" s="37">
        <v>45306.765682199075</v>
      </c>
      <c r="B610" s="38" t="s">
        <v>827</v>
      </c>
      <c r="C610" s="38" t="s">
        <v>1990</v>
      </c>
      <c r="D610" s="38" t="s">
        <v>870</v>
      </c>
      <c r="F610" s="38" t="s">
        <v>2274</v>
      </c>
      <c r="G610" s="38" t="s">
        <v>2241</v>
      </c>
      <c r="H610" s="38" t="s">
        <v>3330</v>
      </c>
      <c r="I610" s="85" t="s">
        <v>3331</v>
      </c>
      <c r="N610" s="38" t="s">
        <v>2896</v>
      </c>
      <c r="R610" s="90">
        <v>558.0</v>
      </c>
      <c r="T610" s="90">
        <v>558.0</v>
      </c>
      <c r="V610" s="94" t="s">
        <v>1627</v>
      </c>
    </row>
    <row r="611">
      <c r="A611" s="37">
        <v>45309.5051652199</v>
      </c>
      <c r="B611" s="38" t="s">
        <v>827</v>
      </c>
      <c r="C611" s="38" t="s">
        <v>1646</v>
      </c>
      <c r="D611" s="38" t="s">
        <v>3029</v>
      </c>
      <c r="F611" s="38" t="s">
        <v>2274</v>
      </c>
      <c r="G611" s="38" t="s">
        <v>2388</v>
      </c>
      <c r="H611" s="38" t="s">
        <v>3332</v>
      </c>
      <c r="N611" s="38" t="s">
        <v>419</v>
      </c>
      <c r="R611" s="90">
        <v>559.0</v>
      </c>
      <c r="T611" s="90">
        <v>559.0</v>
      </c>
      <c r="V611" s="94" t="s">
        <v>1627</v>
      </c>
    </row>
    <row r="612">
      <c r="A612" s="37">
        <v>45314.619720567134</v>
      </c>
      <c r="B612" s="38" t="s">
        <v>827</v>
      </c>
      <c r="C612" s="38" t="s">
        <v>1731</v>
      </c>
      <c r="D612" s="38" t="s">
        <v>316</v>
      </c>
      <c r="F612" s="38" t="s">
        <v>2274</v>
      </c>
      <c r="G612" s="38" t="s">
        <v>3333</v>
      </c>
      <c r="H612" s="38" t="s">
        <v>3333</v>
      </c>
      <c r="N612" s="38" t="s">
        <v>560</v>
      </c>
      <c r="R612" s="90">
        <v>560.0</v>
      </c>
      <c r="T612" s="90">
        <v>560.0</v>
      </c>
      <c r="V612" s="94" t="s">
        <v>1627</v>
      </c>
    </row>
    <row r="613">
      <c r="A613" s="37">
        <v>45315.39957969908</v>
      </c>
      <c r="B613" s="38" t="s">
        <v>827</v>
      </c>
      <c r="C613" s="38" t="s">
        <v>1713</v>
      </c>
      <c r="D613" s="38" t="s">
        <v>44</v>
      </c>
      <c r="F613" s="38" t="s">
        <v>2274</v>
      </c>
      <c r="G613" s="38" t="s">
        <v>2275</v>
      </c>
      <c r="H613" s="38" t="s">
        <v>3334</v>
      </c>
      <c r="I613" s="85" t="s">
        <v>3335</v>
      </c>
      <c r="N613" s="38" t="s">
        <v>2272</v>
      </c>
      <c r="R613" s="90">
        <v>561.0</v>
      </c>
      <c r="T613" s="90">
        <v>561.0</v>
      </c>
      <c r="V613" s="94" t="s">
        <v>1627</v>
      </c>
    </row>
    <row r="614">
      <c r="A614" s="37">
        <v>45315.43282372685</v>
      </c>
      <c r="B614" s="38" t="s">
        <v>827</v>
      </c>
      <c r="C614" s="38" t="s">
        <v>1713</v>
      </c>
      <c r="D614" s="38" t="s">
        <v>44</v>
      </c>
      <c r="F614" s="38" t="s">
        <v>2274</v>
      </c>
      <c r="G614" s="38" t="s">
        <v>2275</v>
      </c>
      <c r="H614" s="38" t="s">
        <v>3336</v>
      </c>
      <c r="I614" s="85" t="s">
        <v>3337</v>
      </c>
      <c r="N614" s="38" t="s">
        <v>2272</v>
      </c>
      <c r="R614" s="90">
        <v>562.0</v>
      </c>
      <c r="T614" s="90">
        <v>562.0</v>
      </c>
      <c r="V614" s="94" t="s">
        <v>1627</v>
      </c>
    </row>
    <row r="615">
      <c r="A615" s="37">
        <v>45317.47581949074</v>
      </c>
      <c r="B615" s="38" t="s">
        <v>827</v>
      </c>
      <c r="C615" s="38" t="s">
        <v>1713</v>
      </c>
      <c r="D615" s="38" t="s">
        <v>44</v>
      </c>
      <c r="F615" s="38" t="s">
        <v>2274</v>
      </c>
      <c r="G615" s="38" t="s">
        <v>3338</v>
      </c>
      <c r="H615" s="38" t="s">
        <v>3339</v>
      </c>
      <c r="N615" s="38" t="s">
        <v>2272</v>
      </c>
      <c r="R615" s="90">
        <v>563.0</v>
      </c>
      <c r="T615" s="90">
        <v>563.0</v>
      </c>
      <c r="V615" s="94" t="s">
        <v>1627</v>
      </c>
    </row>
    <row r="616">
      <c r="A616" s="37">
        <v>45320.598879259254</v>
      </c>
      <c r="B616" s="38" t="s">
        <v>827</v>
      </c>
      <c r="C616" s="38" t="s">
        <v>3106</v>
      </c>
      <c r="D616" s="38" t="s">
        <v>316</v>
      </c>
      <c r="F616" s="38" t="s">
        <v>2264</v>
      </c>
      <c r="J616" s="38" t="s">
        <v>3340</v>
      </c>
      <c r="K616" s="38" t="s">
        <v>3341</v>
      </c>
      <c r="L616" s="38">
        <v>1.0</v>
      </c>
      <c r="N616" s="38" t="s">
        <v>2673</v>
      </c>
      <c r="R616" s="90">
        <v>564.0</v>
      </c>
      <c r="T616" s="90">
        <v>564.0</v>
      </c>
      <c r="V616" s="94" t="s">
        <v>1627</v>
      </c>
    </row>
    <row r="617">
      <c r="A617" s="37">
        <v>45321.42555413194</v>
      </c>
      <c r="B617" s="38" t="s">
        <v>827</v>
      </c>
      <c r="C617" s="38" t="s">
        <v>3106</v>
      </c>
      <c r="D617" s="38" t="s">
        <v>316</v>
      </c>
      <c r="F617" s="38" t="s">
        <v>2264</v>
      </c>
      <c r="J617" s="38" t="s">
        <v>3342</v>
      </c>
      <c r="K617" s="38" t="s">
        <v>3341</v>
      </c>
      <c r="L617" s="38">
        <v>1.0</v>
      </c>
      <c r="N617" s="38" t="s">
        <v>2673</v>
      </c>
      <c r="R617" s="90">
        <v>565.0</v>
      </c>
      <c r="T617" s="90">
        <v>565.0</v>
      </c>
      <c r="V617" s="94" t="s">
        <v>1627</v>
      </c>
    </row>
    <row r="618">
      <c r="A618" s="37">
        <v>45327.40462094908</v>
      </c>
      <c r="B618" s="38" t="s">
        <v>827</v>
      </c>
      <c r="C618" s="85" t="s">
        <v>3343</v>
      </c>
      <c r="D618" s="38" t="s">
        <v>1261</v>
      </c>
      <c r="F618" s="38" t="s">
        <v>2274</v>
      </c>
      <c r="G618" s="38" t="s">
        <v>2275</v>
      </c>
      <c r="H618" s="38" t="s">
        <v>3344</v>
      </c>
      <c r="N618" s="38" t="s">
        <v>1260</v>
      </c>
      <c r="R618" s="90">
        <v>566.0</v>
      </c>
      <c r="T618" s="90">
        <v>566.0</v>
      </c>
      <c r="V618" s="94" t="s">
        <v>1627</v>
      </c>
    </row>
    <row r="619">
      <c r="A619" s="37">
        <v>45336.3934584838</v>
      </c>
      <c r="B619" s="38" t="s">
        <v>827</v>
      </c>
      <c r="C619" s="38" t="s">
        <v>3159</v>
      </c>
      <c r="D619" s="38" t="s">
        <v>316</v>
      </c>
      <c r="F619" s="38" t="s">
        <v>2274</v>
      </c>
      <c r="G619" s="38" t="s">
        <v>2241</v>
      </c>
      <c r="H619" s="38" t="s">
        <v>3345</v>
      </c>
      <c r="I619" s="85" t="s">
        <v>3346</v>
      </c>
      <c r="N619" s="38" t="s">
        <v>2600</v>
      </c>
      <c r="R619" s="90">
        <v>567.0</v>
      </c>
      <c r="T619" s="90">
        <v>567.0</v>
      </c>
      <c r="V619" s="94" t="s">
        <v>1627</v>
      </c>
    </row>
    <row r="620">
      <c r="A620" s="37">
        <v>45341.53883760417</v>
      </c>
      <c r="B620" s="38" t="s">
        <v>827</v>
      </c>
      <c r="C620" s="38" t="s">
        <v>1646</v>
      </c>
      <c r="D620" s="38" t="s">
        <v>3029</v>
      </c>
      <c r="F620" s="38" t="s">
        <v>2274</v>
      </c>
      <c r="G620" s="38" t="s">
        <v>2275</v>
      </c>
      <c r="H620" s="38" t="s">
        <v>3347</v>
      </c>
      <c r="N620" s="38" t="s">
        <v>419</v>
      </c>
      <c r="R620" s="90">
        <v>568.0</v>
      </c>
      <c r="T620" s="90">
        <v>568.0</v>
      </c>
      <c r="V620" s="94" t="s">
        <v>1627</v>
      </c>
    </row>
    <row r="621">
      <c r="A621" s="37">
        <v>45342.459439212966</v>
      </c>
      <c r="B621" s="38" t="s">
        <v>827</v>
      </c>
      <c r="C621" s="38" t="s">
        <v>1749</v>
      </c>
      <c r="D621" s="38" t="s">
        <v>35</v>
      </c>
      <c r="F621" s="38" t="s">
        <v>2274</v>
      </c>
      <c r="G621" s="38" t="s">
        <v>2241</v>
      </c>
      <c r="H621" s="38" t="s">
        <v>3348</v>
      </c>
      <c r="N621" s="38" t="s">
        <v>1105</v>
      </c>
      <c r="R621" s="90">
        <v>569.0</v>
      </c>
      <c r="T621" s="90">
        <v>569.0</v>
      </c>
      <c r="V621" s="94" t="s">
        <v>1627</v>
      </c>
    </row>
    <row r="622">
      <c r="A622" s="37">
        <v>45350.36444211805</v>
      </c>
      <c r="B622" s="38" t="s">
        <v>827</v>
      </c>
      <c r="C622" s="38" t="s">
        <v>1717</v>
      </c>
      <c r="D622" s="38" t="s">
        <v>16</v>
      </c>
      <c r="F622" s="38" t="s">
        <v>2274</v>
      </c>
      <c r="G622" s="38" t="s">
        <v>2241</v>
      </c>
      <c r="H622" s="38" t="s">
        <v>3349</v>
      </c>
      <c r="I622" s="85" t="s">
        <v>3350</v>
      </c>
      <c r="N622" s="38" t="s">
        <v>24</v>
      </c>
      <c r="R622" s="90">
        <v>570.0</v>
      </c>
      <c r="T622" s="90">
        <v>570.0</v>
      </c>
      <c r="V622" s="94" t="s">
        <v>1627</v>
      </c>
    </row>
    <row r="623">
      <c r="A623" s="37">
        <v>45365.3710840625</v>
      </c>
      <c r="B623" s="38" t="s">
        <v>827</v>
      </c>
      <c r="C623" s="38" t="s">
        <v>3351</v>
      </c>
      <c r="D623" s="38" t="s">
        <v>40</v>
      </c>
      <c r="F623" s="38" t="s">
        <v>2274</v>
      </c>
      <c r="G623" s="38" t="s">
        <v>3352</v>
      </c>
      <c r="H623" s="38" t="s">
        <v>3353</v>
      </c>
      <c r="I623" s="85" t="s">
        <v>3354</v>
      </c>
      <c r="N623" s="38" t="s">
        <v>3355</v>
      </c>
      <c r="R623" s="90">
        <v>571.0</v>
      </c>
      <c r="T623" s="90">
        <v>571.0</v>
      </c>
      <c r="V623" s="94" t="s">
        <v>1627</v>
      </c>
    </row>
    <row r="624">
      <c r="A624" s="37">
        <v>45371.31511258102</v>
      </c>
      <c r="B624" s="38" t="s">
        <v>827</v>
      </c>
      <c r="C624" s="38" t="s">
        <v>3356</v>
      </c>
      <c r="D624" s="38" t="s">
        <v>196</v>
      </c>
      <c r="F624" s="38" t="s">
        <v>2264</v>
      </c>
      <c r="J624" s="38" t="s">
        <v>3357</v>
      </c>
      <c r="K624" s="38" t="s">
        <v>3358</v>
      </c>
      <c r="L624" s="38">
        <v>1.0</v>
      </c>
      <c r="N624" s="38" t="s">
        <v>120</v>
      </c>
      <c r="R624" s="90">
        <v>572.0</v>
      </c>
      <c r="T624" s="90">
        <v>572.0</v>
      </c>
      <c r="V624" s="94" t="s">
        <v>1627</v>
      </c>
    </row>
    <row r="625">
      <c r="A625" s="37">
        <v>45372.41436009259</v>
      </c>
      <c r="B625" s="38" t="s">
        <v>827</v>
      </c>
      <c r="C625" s="38" t="s">
        <v>3351</v>
      </c>
      <c r="D625" s="38" t="s">
        <v>40</v>
      </c>
      <c r="F625" s="38" t="s">
        <v>2264</v>
      </c>
      <c r="J625" s="38" t="s">
        <v>213</v>
      </c>
      <c r="K625" s="38" t="s">
        <v>3359</v>
      </c>
      <c r="L625" s="38">
        <v>1.0</v>
      </c>
      <c r="N625" s="38" t="s">
        <v>3360</v>
      </c>
      <c r="R625" s="90">
        <v>573.0</v>
      </c>
      <c r="T625" s="90">
        <v>573.0</v>
      </c>
      <c r="V625" s="94" t="s">
        <v>1627</v>
      </c>
    </row>
    <row r="626">
      <c r="A626" s="37">
        <v>45386.35143310185</v>
      </c>
      <c r="B626" s="38" t="s">
        <v>827</v>
      </c>
      <c r="C626" s="38" t="s">
        <v>2601</v>
      </c>
      <c r="D626" s="38" t="s">
        <v>1079</v>
      </c>
      <c r="F626" s="38" t="s">
        <v>2274</v>
      </c>
      <c r="G626" s="38" t="s">
        <v>2241</v>
      </c>
      <c r="H626" s="38" t="s">
        <v>3361</v>
      </c>
      <c r="N626" s="38" t="s">
        <v>3362</v>
      </c>
      <c r="R626" s="90">
        <v>574.0</v>
      </c>
      <c r="T626" s="90">
        <v>574.0</v>
      </c>
      <c r="V626" s="94" t="s">
        <v>1627</v>
      </c>
    </row>
    <row r="627">
      <c r="A627" s="37">
        <v>45386.533005324076</v>
      </c>
      <c r="B627" s="38" t="s">
        <v>827</v>
      </c>
      <c r="C627" s="38" t="s">
        <v>1713</v>
      </c>
      <c r="D627" s="38" t="s">
        <v>16</v>
      </c>
      <c r="F627" s="38" t="s">
        <v>2274</v>
      </c>
      <c r="G627" s="38" t="s">
        <v>3363</v>
      </c>
      <c r="H627" s="38" t="s">
        <v>3364</v>
      </c>
      <c r="N627" s="38" t="s">
        <v>3365</v>
      </c>
      <c r="R627" s="90">
        <v>575.0</v>
      </c>
      <c r="T627" s="90">
        <v>575.0</v>
      </c>
      <c r="V627" s="92" t="s">
        <v>1621</v>
      </c>
    </row>
    <row r="628">
      <c r="A628" s="37">
        <v>45432.44320221065</v>
      </c>
      <c r="B628" s="38" t="s">
        <v>827</v>
      </c>
      <c r="C628" s="38" t="s">
        <v>2970</v>
      </c>
      <c r="D628" s="38" t="s">
        <v>870</v>
      </c>
      <c r="F628" s="38" t="s">
        <v>2264</v>
      </c>
      <c r="J628" s="38" t="s">
        <v>3366</v>
      </c>
      <c r="K628" s="38" t="s">
        <v>3367</v>
      </c>
      <c r="L628" s="38">
        <v>1.0</v>
      </c>
      <c r="N628" s="38" t="s">
        <v>413</v>
      </c>
      <c r="R628" s="90">
        <v>576.0</v>
      </c>
      <c r="T628" s="90">
        <v>576.0</v>
      </c>
      <c r="V628" s="94" t="s">
        <v>1627</v>
      </c>
    </row>
    <row r="629">
      <c r="A629" s="37">
        <v>45436.389436666665</v>
      </c>
      <c r="B629" s="38" t="s">
        <v>827</v>
      </c>
      <c r="C629" s="38" t="s">
        <v>2920</v>
      </c>
      <c r="D629" s="38" t="s">
        <v>3029</v>
      </c>
      <c r="F629" s="38" t="s">
        <v>2274</v>
      </c>
      <c r="G629" s="38" t="s">
        <v>3368</v>
      </c>
      <c r="H629" s="38" t="s">
        <v>3369</v>
      </c>
      <c r="N629" s="38" t="s">
        <v>3370</v>
      </c>
      <c r="R629" s="90">
        <v>577.0</v>
      </c>
      <c r="T629" s="90">
        <v>577.0</v>
      </c>
      <c r="V629" s="94" t="s">
        <v>1627</v>
      </c>
    </row>
    <row r="630">
      <c r="A630" s="37">
        <v>45453.44817265046</v>
      </c>
      <c r="B630" s="38" t="s">
        <v>827</v>
      </c>
      <c r="C630" s="38" t="s">
        <v>3371</v>
      </c>
      <c r="D630" s="38" t="s">
        <v>40</v>
      </c>
      <c r="F630" s="38" t="s">
        <v>2274</v>
      </c>
      <c r="G630" s="38" t="s">
        <v>2275</v>
      </c>
      <c r="H630" s="38" t="s">
        <v>1519</v>
      </c>
      <c r="N630" s="38" t="s">
        <v>104</v>
      </c>
      <c r="R630" s="90">
        <v>578.0</v>
      </c>
      <c r="T630" s="90">
        <v>578.0</v>
      </c>
      <c r="V630" s="94" t="s">
        <v>1627</v>
      </c>
    </row>
    <row r="631">
      <c r="A631" s="37">
        <v>45457.46570912037</v>
      </c>
      <c r="B631" s="38" t="s">
        <v>827</v>
      </c>
      <c r="C631" s="38" t="s">
        <v>1713</v>
      </c>
      <c r="D631" s="38" t="s">
        <v>44</v>
      </c>
      <c r="F631" s="38" t="s">
        <v>2274</v>
      </c>
      <c r="G631" s="38" t="s">
        <v>3372</v>
      </c>
      <c r="H631" s="38" t="s">
        <v>3373</v>
      </c>
      <c r="N631" s="38" t="s">
        <v>2272</v>
      </c>
      <c r="R631" s="90">
        <v>579.0</v>
      </c>
      <c r="T631" s="90">
        <v>579.0</v>
      </c>
      <c r="V631" s="94" t="s">
        <v>1627</v>
      </c>
    </row>
    <row r="632">
      <c r="A632" s="37">
        <v>45461.61685627315</v>
      </c>
      <c r="B632" s="38" t="s">
        <v>827</v>
      </c>
      <c r="C632" s="38" t="s">
        <v>2920</v>
      </c>
      <c r="D632" s="38" t="s">
        <v>40</v>
      </c>
      <c r="F632" s="38" t="s">
        <v>2264</v>
      </c>
      <c r="J632" s="38" t="s">
        <v>3374</v>
      </c>
      <c r="K632" s="38" t="s">
        <v>3375</v>
      </c>
      <c r="L632" s="38">
        <v>1.0</v>
      </c>
      <c r="N632" s="38" t="s">
        <v>855</v>
      </c>
      <c r="R632" s="90">
        <v>580.0</v>
      </c>
      <c r="T632" s="90">
        <v>580.0</v>
      </c>
      <c r="V632" s="92" t="s">
        <v>1621</v>
      </c>
    </row>
    <row r="633">
      <c r="A633" s="37">
        <v>45461.6226499537</v>
      </c>
      <c r="B633" s="38" t="s">
        <v>827</v>
      </c>
      <c r="C633" s="38" t="s">
        <v>2920</v>
      </c>
      <c r="D633" s="38" t="s">
        <v>3029</v>
      </c>
      <c r="F633" s="38" t="s">
        <v>2264</v>
      </c>
      <c r="J633" s="38" t="s">
        <v>3374</v>
      </c>
      <c r="K633" s="38" t="s">
        <v>3376</v>
      </c>
      <c r="L633" s="38">
        <v>1.0</v>
      </c>
      <c r="N633" s="38" t="s">
        <v>855</v>
      </c>
      <c r="R633" s="90">
        <v>581.0</v>
      </c>
      <c r="T633" s="90">
        <v>581.0</v>
      </c>
      <c r="V633" s="94" t="s">
        <v>1627</v>
      </c>
    </row>
    <row r="634">
      <c r="A634" s="37">
        <v>45461.62340498842</v>
      </c>
      <c r="B634" s="38" t="s">
        <v>827</v>
      </c>
      <c r="C634" s="38" t="s">
        <v>2959</v>
      </c>
      <c r="D634" s="38" t="s">
        <v>16</v>
      </c>
      <c r="F634" s="38" t="s">
        <v>2274</v>
      </c>
      <c r="G634" s="38" t="s">
        <v>2241</v>
      </c>
      <c r="H634" s="38" t="s">
        <v>3377</v>
      </c>
      <c r="N634" s="38" t="s">
        <v>3378</v>
      </c>
      <c r="R634" s="90">
        <v>582.0</v>
      </c>
      <c r="T634" s="90">
        <v>582.0</v>
      </c>
      <c r="V634" s="93" t="s">
        <v>1505</v>
      </c>
    </row>
    <row r="635">
      <c r="A635" s="37">
        <v>45462.63635943287</v>
      </c>
      <c r="B635" s="38" t="s">
        <v>827</v>
      </c>
      <c r="C635" s="38" t="s">
        <v>2959</v>
      </c>
      <c r="D635" s="38" t="s">
        <v>16</v>
      </c>
      <c r="F635" s="38" t="s">
        <v>2274</v>
      </c>
      <c r="G635" s="38" t="s">
        <v>2241</v>
      </c>
      <c r="H635" s="38" t="s">
        <v>3379</v>
      </c>
      <c r="N635" s="38" t="s">
        <v>3378</v>
      </c>
      <c r="R635" s="90">
        <v>583.0</v>
      </c>
      <c r="T635" s="90">
        <v>583.0</v>
      </c>
      <c r="V635" s="93" t="s">
        <v>1505</v>
      </c>
    </row>
    <row r="636">
      <c r="A636" s="37">
        <v>45463.695465069446</v>
      </c>
      <c r="B636" s="38" t="s">
        <v>827</v>
      </c>
      <c r="C636" s="38" t="s">
        <v>1749</v>
      </c>
      <c r="D636" s="38" t="s">
        <v>35</v>
      </c>
      <c r="F636" s="38" t="s">
        <v>2274</v>
      </c>
      <c r="G636" s="38" t="s">
        <v>3380</v>
      </c>
      <c r="H636" s="38" t="s">
        <v>3381</v>
      </c>
      <c r="N636" s="38" t="s">
        <v>1105</v>
      </c>
      <c r="R636" s="90">
        <v>584.0</v>
      </c>
      <c r="T636" s="90">
        <v>584.0</v>
      </c>
      <c r="V636" s="93" t="s">
        <v>1505</v>
      </c>
    </row>
    <row r="637">
      <c r="A637" s="37">
        <v>45468.74564662037</v>
      </c>
      <c r="B637" s="38" t="s">
        <v>827</v>
      </c>
      <c r="C637" s="38" t="s">
        <v>3043</v>
      </c>
      <c r="D637" s="38" t="s">
        <v>3029</v>
      </c>
      <c r="F637" s="38" t="s">
        <v>2274</v>
      </c>
      <c r="G637" s="38" t="s">
        <v>3382</v>
      </c>
      <c r="H637" s="38" t="s">
        <v>3383</v>
      </c>
      <c r="N637" s="38" t="s">
        <v>3046</v>
      </c>
      <c r="R637" s="90">
        <v>585.0</v>
      </c>
      <c r="T637" s="90">
        <v>585.0</v>
      </c>
      <c r="V637" s="93" t="s">
        <v>1505</v>
      </c>
    </row>
    <row r="638">
      <c r="A638" s="37">
        <v>45470.525657245365</v>
      </c>
      <c r="B638" s="38" t="s">
        <v>827</v>
      </c>
      <c r="C638" s="38" t="s">
        <v>1713</v>
      </c>
      <c r="D638" s="38" t="s">
        <v>44</v>
      </c>
      <c r="F638" s="38" t="s">
        <v>2274</v>
      </c>
      <c r="G638" s="38" t="s">
        <v>3384</v>
      </c>
      <c r="H638" s="38" t="s">
        <v>3385</v>
      </c>
      <c r="N638" s="38" t="s">
        <v>2272</v>
      </c>
      <c r="R638" s="90">
        <v>586.0</v>
      </c>
      <c r="T638" s="90">
        <v>586.0</v>
      </c>
      <c r="V638" s="93" t="s">
        <v>1505</v>
      </c>
    </row>
    <row r="639">
      <c r="A639" s="37">
        <v>45474.353350694444</v>
      </c>
      <c r="B639" s="38" t="s">
        <v>827</v>
      </c>
      <c r="C639" s="38" t="s">
        <v>3386</v>
      </c>
      <c r="D639" s="38" t="s">
        <v>316</v>
      </c>
      <c r="F639" s="38" t="s">
        <v>2264</v>
      </c>
      <c r="J639" s="38" t="s">
        <v>3387</v>
      </c>
      <c r="K639" s="38" t="s">
        <v>3388</v>
      </c>
      <c r="L639" s="38">
        <v>1.0</v>
      </c>
      <c r="N639" s="38" t="s">
        <v>2407</v>
      </c>
      <c r="R639" s="90">
        <v>587.0</v>
      </c>
      <c r="T639" s="90">
        <v>587.0</v>
      </c>
      <c r="V639" s="94" t="s">
        <v>1627</v>
      </c>
    </row>
    <row r="640">
      <c r="A640" s="37">
        <v>45474.359759259256</v>
      </c>
      <c r="B640" s="38" t="s">
        <v>827</v>
      </c>
      <c r="C640" s="38" t="s">
        <v>3386</v>
      </c>
      <c r="D640" s="38" t="s">
        <v>316</v>
      </c>
      <c r="F640" s="38" t="s">
        <v>2264</v>
      </c>
      <c r="J640" s="38" t="s">
        <v>3389</v>
      </c>
      <c r="K640" s="38" t="s">
        <v>316</v>
      </c>
      <c r="L640" s="38">
        <v>1.0</v>
      </c>
      <c r="N640" s="38" t="s">
        <v>2407</v>
      </c>
      <c r="R640" s="90">
        <v>588.0</v>
      </c>
      <c r="T640" s="90">
        <v>588.0</v>
      </c>
      <c r="V640" s="94" t="s">
        <v>1627</v>
      </c>
    </row>
    <row r="641">
      <c r="A641" s="37">
        <v>45477.51339684028</v>
      </c>
      <c r="B641" s="38" t="s">
        <v>827</v>
      </c>
      <c r="C641" s="38" t="s">
        <v>3390</v>
      </c>
      <c r="D641" s="38" t="s">
        <v>82</v>
      </c>
      <c r="F641" s="38" t="s">
        <v>2274</v>
      </c>
      <c r="G641" s="38" t="s">
        <v>2241</v>
      </c>
      <c r="H641" s="38" t="s">
        <v>3391</v>
      </c>
      <c r="N641" s="38" t="s">
        <v>3392</v>
      </c>
      <c r="R641" s="90">
        <v>589.0</v>
      </c>
      <c r="T641" s="90">
        <v>589.0</v>
      </c>
      <c r="V641" s="94" t="s">
        <v>1627</v>
      </c>
    </row>
    <row r="642">
      <c r="A642" s="37">
        <v>45484.42461519676</v>
      </c>
      <c r="B642" s="38" t="s">
        <v>827</v>
      </c>
      <c r="C642" s="38" t="s">
        <v>3393</v>
      </c>
      <c r="D642" s="38" t="s">
        <v>35</v>
      </c>
      <c r="F642" s="38" t="s">
        <v>2274</v>
      </c>
      <c r="G642" s="38" t="s">
        <v>2241</v>
      </c>
      <c r="H642" s="38" t="s">
        <v>3394</v>
      </c>
      <c r="N642" s="38" t="s">
        <v>3395</v>
      </c>
      <c r="R642" s="90">
        <v>590.0</v>
      </c>
      <c r="T642" s="90">
        <v>590.0</v>
      </c>
      <c r="V642" s="93" t="s">
        <v>1505</v>
      </c>
    </row>
    <row r="643">
      <c r="A643" s="37">
        <v>45488.46659145833</v>
      </c>
      <c r="B643" s="38" t="s">
        <v>827</v>
      </c>
      <c r="C643" s="38" t="s">
        <v>1749</v>
      </c>
      <c r="D643" s="38" t="s">
        <v>35</v>
      </c>
      <c r="F643" s="38" t="s">
        <v>2274</v>
      </c>
      <c r="G643" s="38" t="s">
        <v>2241</v>
      </c>
      <c r="H643" s="38" t="s">
        <v>3396</v>
      </c>
      <c r="N643" s="38" t="s">
        <v>1105</v>
      </c>
      <c r="R643" s="90">
        <v>591.0</v>
      </c>
      <c r="T643" s="90">
        <v>591.0</v>
      </c>
      <c r="V643" s="94" t="s">
        <v>1627</v>
      </c>
    </row>
    <row r="644">
      <c r="A644" s="37">
        <v>45491.68029059027</v>
      </c>
      <c r="B644" s="38" t="s">
        <v>827</v>
      </c>
      <c r="C644" s="38" t="s">
        <v>3397</v>
      </c>
      <c r="D644" s="38" t="s">
        <v>44</v>
      </c>
      <c r="F644" s="38" t="s">
        <v>2274</v>
      </c>
      <c r="G644" s="38" t="s">
        <v>3398</v>
      </c>
      <c r="H644" s="38" t="s">
        <v>3399</v>
      </c>
      <c r="N644" s="38" t="s">
        <v>3076</v>
      </c>
      <c r="R644" s="90">
        <v>592.0</v>
      </c>
      <c r="T644" s="90">
        <v>592.0</v>
      </c>
      <c r="V644" s="94" t="s">
        <v>1627</v>
      </c>
    </row>
    <row r="645">
      <c r="A645" s="37">
        <v>45492.34640966435</v>
      </c>
      <c r="B645" s="38" t="s">
        <v>827</v>
      </c>
      <c r="C645" s="38" t="s">
        <v>3400</v>
      </c>
      <c r="D645" s="38" t="s">
        <v>196</v>
      </c>
      <c r="F645" s="38" t="s">
        <v>2264</v>
      </c>
      <c r="J645" s="38" t="s">
        <v>10</v>
      </c>
      <c r="K645" s="38" t="s">
        <v>2499</v>
      </c>
      <c r="L645" s="38">
        <v>1.0</v>
      </c>
      <c r="N645" s="38" t="s">
        <v>3280</v>
      </c>
      <c r="R645" s="90">
        <v>593.0</v>
      </c>
      <c r="T645" s="90">
        <v>593.0</v>
      </c>
      <c r="V645" s="94" t="s">
        <v>1627</v>
      </c>
    </row>
    <row r="646">
      <c r="A646" s="37">
        <v>45503.657802870366</v>
      </c>
      <c r="B646" s="38" t="s">
        <v>827</v>
      </c>
      <c r="C646" s="38" t="s">
        <v>1713</v>
      </c>
      <c r="D646" s="38" t="s">
        <v>44</v>
      </c>
      <c r="F646" s="38" t="s">
        <v>2274</v>
      </c>
      <c r="G646" s="38" t="s">
        <v>3401</v>
      </c>
      <c r="H646" s="38" t="s">
        <v>3402</v>
      </c>
      <c r="N646" s="38" t="s">
        <v>2272</v>
      </c>
      <c r="R646" s="90">
        <v>594.0</v>
      </c>
      <c r="T646" s="90">
        <v>594.0</v>
      </c>
      <c r="V646" s="94" t="s">
        <v>1627</v>
      </c>
    </row>
    <row r="647">
      <c r="A647" s="37">
        <v>45518.40524554398</v>
      </c>
      <c r="B647" s="38" t="s">
        <v>827</v>
      </c>
      <c r="C647" s="38" t="s">
        <v>3293</v>
      </c>
      <c r="D647" s="38" t="s">
        <v>878</v>
      </c>
      <c r="F647" s="38" t="s">
        <v>2274</v>
      </c>
      <c r="G647" s="38" t="s">
        <v>3403</v>
      </c>
      <c r="H647" s="38" t="s">
        <v>3404</v>
      </c>
      <c r="N647" s="38" t="s">
        <v>3296</v>
      </c>
    </row>
    <row r="648">
      <c r="A648" s="37">
        <v>45518.69737587963</v>
      </c>
      <c r="B648" s="38" t="s">
        <v>827</v>
      </c>
      <c r="C648" s="38" t="s">
        <v>3405</v>
      </c>
      <c r="D648" s="38" t="s">
        <v>878</v>
      </c>
      <c r="F648" s="38" t="s">
        <v>2274</v>
      </c>
      <c r="G648" s="38" t="s">
        <v>2249</v>
      </c>
      <c r="H648" s="38" t="s">
        <v>3406</v>
      </c>
      <c r="N648" s="38" t="s">
        <v>3296</v>
      </c>
    </row>
    <row r="649">
      <c r="A649" s="37">
        <v>45523.378061180556</v>
      </c>
      <c r="B649" s="38" t="s">
        <v>827</v>
      </c>
      <c r="C649" s="38" t="s">
        <v>2920</v>
      </c>
      <c r="D649" s="38" t="s">
        <v>3029</v>
      </c>
      <c r="F649" s="38" t="s">
        <v>2274</v>
      </c>
      <c r="G649" s="38" t="s">
        <v>3407</v>
      </c>
      <c r="H649" s="38" t="s">
        <v>3408</v>
      </c>
      <c r="N649" s="38" t="s">
        <v>374</v>
      </c>
    </row>
    <row r="650">
      <c r="A650" s="37">
        <v>45531.696363298615</v>
      </c>
      <c r="B650" s="38" t="s">
        <v>827</v>
      </c>
      <c r="C650" s="38" t="s">
        <v>3409</v>
      </c>
      <c r="D650" s="38" t="s">
        <v>916</v>
      </c>
      <c r="F650" s="38" t="s">
        <v>2274</v>
      </c>
      <c r="G650" s="38" t="s">
        <v>3410</v>
      </c>
      <c r="H650" s="38" t="s">
        <v>3411</v>
      </c>
      <c r="N650" s="38" t="s">
        <v>3412</v>
      </c>
    </row>
    <row r="651">
      <c r="A651" s="37">
        <v>45544.701476331014</v>
      </c>
      <c r="B651" s="38" t="s">
        <v>827</v>
      </c>
      <c r="C651" s="38" t="s">
        <v>3413</v>
      </c>
      <c r="D651" s="38" t="s">
        <v>316</v>
      </c>
      <c r="F651" s="38" t="s">
        <v>2274</v>
      </c>
      <c r="G651" s="38" t="s">
        <v>2241</v>
      </c>
      <c r="H651" s="38" t="s">
        <v>3414</v>
      </c>
      <c r="N651" s="38" t="s">
        <v>3415</v>
      </c>
      <c r="R651" s="90">
        <v>595.0</v>
      </c>
      <c r="T651" s="90">
        <v>595.0</v>
      </c>
      <c r="V651" s="93" t="s">
        <v>1505</v>
      </c>
    </row>
    <row r="652">
      <c r="A652" s="37">
        <v>45545.49081074074</v>
      </c>
      <c r="B652" s="38" t="s">
        <v>827</v>
      </c>
      <c r="C652" s="38" t="s">
        <v>3393</v>
      </c>
      <c r="D652" s="38" t="s">
        <v>35</v>
      </c>
      <c r="F652" s="38" t="s">
        <v>2274</v>
      </c>
      <c r="G652" s="38" t="s">
        <v>2232</v>
      </c>
      <c r="H652" s="38" t="s">
        <v>3416</v>
      </c>
      <c r="N652" s="38" t="s">
        <v>3395</v>
      </c>
      <c r="R652" s="90">
        <v>596.0</v>
      </c>
      <c r="T652" s="90">
        <v>596.0</v>
      </c>
      <c r="V652" s="94" t="s">
        <v>1627</v>
      </c>
    </row>
    <row r="653">
      <c r="A653" s="37">
        <v>45558.448846099534</v>
      </c>
      <c r="B653" s="38" t="s">
        <v>827</v>
      </c>
      <c r="C653" s="38" t="s">
        <v>2561</v>
      </c>
      <c r="D653" s="38" t="s">
        <v>1261</v>
      </c>
      <c r="F653" s="38" t="s">
        <v>2274</v>
      </c>
      <c r="G653" s="38" t="s">
        <v>3417</v>
      </c>
      <c r="H653" s="38" t="s">
        <v>3417</v>
      </c>
      <c r="N653" s="38" t="s">
        <v>1260</v>
      </c>
    </row>
    <row r="654">
      <c r="A654" s="37">
        <v>45559.48650104167</v>
      </c>
      <c r="B654" s="38" t="s">
        <v>827</v>
      </c>
      <c r="C654" s="38" t="s">
        <v>1709</v>
      </c>
      <c r="D654" s="38" t="s">
        <v>16</v>
      </c>
      <c r="F654" s="38" t="s">
        <v>2264</v>
      </c>
      <c r="J654" s="38" t="s">
        <v>883</v>
      </c>
      <c r="K654" s="38" t="s">
        <v>3418</v>
      </c>
      <c r="L654" s="38">
        <v>1.0</v>
      </c>
      <c r="N654" s="38" t="s">
        <v>272</v>
      </c>
    </row>
    <row r="655">
      <c r="A655" s="37">
        <v>45574.38701877315</v>
      </c>
      <c r="B655" s="38" t="s">
        <v>827</v>
      </c>
      <c r="C655" s="38" t="s">
        <v>3393</v>
      </c>
      <c r="D655" s="38" t="s">
        <v>35</v>
      </c>
      <c r="F655" s="38" t="s">
        <v>2264</v>
      </c>
      <c r="J655" s="38" t="s">
        <v>3419</v>
      </c>
      <c r="K655" s="38" t="s">
        <v>3420</v>
      </c>
      <c r="L655" s="38">
        <v>1.0</v>
      </c>
      <c r="N655" s="38" t="s">
        <v>3395</v>
      </c>
    </row>
    <row r="656">
      <c r="A656" s="37">
        <v>45576.368094351856</v>
      </c>
      <c r="B656" s="38" t="s">
        <v>827</v>
      </c>
      <c r="C656" s="38" t="s">
        <v>3400</v>
      </c>
      <c r="D656" s="38" t="s">
        <v>40</v>
      </c>
      <c r="F656" s="38" t="s">
        <v>2274</v>
      </c>
      <c r="G656" s="38" t="s">
        <v>2241</v>
      </c>
      <c r="H656" s="38" t="s">
        <v>3421</v>
      </c>
      <c r="I656" s="85" t="s">
        <v>3422</v>
      </c>
      <c r="N656" s="38" t="s">
        <v>3280</v>
      </c>
    </row>
    <row r="657">
      <c r="A657" s="37">
        <v>45579.44826599537</v>
      </c>
      <c r="B657" s="38" t="s">
        <v>827</v>
      </c>
      <c r="C657" s="38" t="s">
        <v>3423</v>
      </c>
      <c r="D657" s="38" t="s">
        <v>40</v>
      </c>
      <c r="F657" s="38" t="s">
        <v>2264</v>
      </c>
      <c r="J657" s="38" t="s">
        <v>2426</v>
      </c>
      <c r="K657" s="38" t="s">
        <v>3424</v>
      </c>
      <c r="L657" s="38" t="s">
        <v>1519</v>
      </c>
      <c r="N657" s="38" t="s">
        <v>3425</v>
      </c>
      <c r="R657" s="90">
        <v>597.0</v>
      </c>
      <c r="T657" s="90">
        <v>597.0</v>
      </c>
      <c r="V657" s="94" t="s">
        <v>1627</v>
      </c>
    </row>
    <row r="658">
      <c r="A658" s="37">
        <v>45587.63192840278</v>
      </c>
      <c r="B658" s="38" t="s">
        <v>827</v>
      </c>
      <c r="C658" s="38" t="s">
        <v>1717</v>
      </c>
      <c r="D658" s="38" t="s">
        <v>16</v>
      </c>
      <c r="F658" s="38" t="s">
        <v>2264</v>
      </c>
      <c r="J658" s="38" t="s">
        <v>3426</v>
      </c>
      <c r="K658" s="38" t="s">
        <v>3427</v>
      </c>
      <c r="L658" s="38">
        <v>1.0</v>
      </c>
      <c r="N658" s="38" t="s">
        <v>24</v>
      </c>
      <c r="R658" s="90">
        <v>598.0</v>
      </c>
      <c r="T658" s="90">
        <v>598.0</v>
      </c>
      <c r="V658" s="93" t="s">
        <v>1505</v>
      </c>
    </row>
    <row r="659">
      <c r="A659" s="37">
        <v>45595.587890717594</v>
      </c>
      <c r="B659" s="38" t="s">
        <v>827</v>
      </c>
      <c r="C659" s="38" t="s">
        <v>1717</v>
      </c>
      <c r="D659" s="38" t="s">
        <v>16</v>
      </c>
      <c r="F659" s="38" t="s">
        <v>2264</v>
      </c>
      <c r="J659" s="38" t="s">
        <v>306</v>
      </c>
      <c r="K659" s="38" t="s">
        <v>3428</v>
      </c>
      <c r="L659" s="38">
        <v>1.0</v>
      </c>
      <c r="N659" s="38" t="s">
        <v>24</v>
      </c>
      <c r="R659" s="90">
        <v>599.0</v>
      </c>
      <c r="T659" s="90">
        <v>599.0</v>
      </c>
      <c r="V659" s="94" t="s">
        <v>1627</v>
      </c>
    </row>
    <row r="660">
      <c r="A660" s="37">
        <v>45596.4596700463</v>
      </c>
      <c r="B660" s="38" t="s">
        <v>827</v>
      </c>
      <c r="C660" s="38" t="s">
        <v>1713</v>
      </c>
      <c r="D660" s="38" t="s">
        <v>44</v>
      </c>
      <c r="F660" s="38" t="s">
        <v>2274</v>
      </c>
      <c r="G660" s="38" t="s">
        <v>2275</v>
      </c>
      <c r="H660" s="38" t="s">
        <v>3429</v>
      </c>
      <c r="N660" s="38" t="s">
        <v>2272</v>
      </c>
      <c r="R660" s="90">
        <v>600.0</v>
      </c>
      <c r="T660" s="90">
        <v>600.0</v>
      </c>
      <c r="V660" s="94" t="s">
        <v>1627</v>
      </c>
    </row>
    <row r="661">
      <c r="A661" s="37">
        <v>45609.40300539352</v>
      </c>
      <c r="B661" s="38" t="s">
        <v>827</v>
      </c>
      <c r="C661" s="38" t="s">
        <v>3409</v>
      </c>
      <c r="D661" s="38" t="s">
        <v>916</v>
      </c>
      <c r="F661" s="38" t="s">
        <v>2264</v>
      </c>
      <c r="J661" s="38" t="s">
        <v>306</v>
      </c>
      <c r="K661" s="38" t="s">
        <v>3430</v>
      </c>
      <c r="L661" s="38">
        <v>1.0</v>
      </c>
      <c r="N661" s="38" t="s">
        <v>3412</v>
      </c>
      <c r="R661" s="90">
        <v>601.0</v>
      </c>
      <c r="T661" s="90">
        <v>601.0</v>
      </c>
      <c r="V661" s="94" t="s">
        <v>1627</v>
      </c>
    </row>
    <row r="662">
      <c r="A662" s="37">
        <v>45609.56971498842</v>
      </c>
      <c r="B662" s="38" t="s">
        <v>827</v>
      </c>
      <c r="C662" s="38" t="s">
        <v>1713</v>
      </c>
      <c r="D662" s="38" t="s">
        <v>44</v>
      </c>
      <c r="F662" s="38" t="s">
        <v>2274</v>
      </c>
      <c r="G662" s="38" t="s">
        <v>2232</v>
      </c>
      <c r="H662" s="38" t="s">
        <v>3431</v>
      </c>
      <c r="N662" s="38" t="s">
        <v>2272</v>
      </c>
      <c r="R662" s="90">
        <v>602.0</v>
      </c>
      <c r="T662" s="90">
        <v>602.0</v>
      </c>
      <c r="V662" s="94" t="s">
        <v>1627</v>
      </c>
    </row>
    <row r="663">
      <c r="A663" s="37">
        <v>45609.589719282405</v>
      </c>
      <c r="B663" s="38" t="s">
        <v>827</v>
      </c>
      <c r="C663" s="38" t="s">
        <v>1721</v>
      </c>
      <c r="D663" s="38" t="s">
        <v>95</v>
      </c>
      <c r="F663" s="38" t="s">
        <v>2264</v>
      </c>
      <c r="J663" s="38" t="s">
        <v>3432</v>
      </c>
      <c r="K663" s="38" t="s">
        <v>3433</v>
      </c>
      <c r="L663" s="38">
        <v>1.0</v>
      </c>
      <c r="N663" s="38" t="s">
        <v>2718</v>
      </c>
      <c r="R663" s="90">
        <v>603.0</v>
      </c>
      <c r="T663" s="90">
        <v>603.0</v>
      </c>
      <c r="V663" s="94" t="s">
        <v>1627</v>
      </c>
    </row>
    <row r="664">
      <c r="A664" s="37">
        <v>45611.348681145835</v>
      </c>
      <c r="B664" s="38" t="s">
        <v>827</v>
      </c>
      <c r="C664" s="38" t="s">
        <v>3434</v>
      </c>
      <c r="D664" s="38" t="s">
        <v>316</v>
      </c>
      <c r="F664" s="38" t="s">
        <v>2274</v>
      </c>
      <c r="G664" s="38" t="s">
        <v>2241</v>
      </c>
      <c r="H664" s="38" t="s">
        <v>3435</v>
      </c>
      <c r="N664" s="38" t="s">
        <v>3436</v>
      </c>
      <c r="R664" s="90">
        <v>604.0</v>
      </c>
      <c r="T664" s="90">
        <v>604.0</v>
      </c>
      <c r="V664" s="94" t="s">
        <v>1627</v>
      </c>
    </row>
    <row r="665">
      <c r="A665" s="37">
        <v>45614.41369613426</v>
      </c>
      <c r="B665" s="38" t="s">
        <v>827</v>
      </c>
      <c r="C665" s="38" t="s">
        <v>2561</v>
      </c>
      <c r="D665" s="38" t="s">
        <v>1261</v>
      </c>
      <c r="F665" s="38" t="s">
        <v>2264</v>
      </c>
      <c r="J665" s="38" t="s">
        <v>3437</v>
      </c>
      <c r="K665" s="38" t="s">
        <v>3438</v>
      </c>
      <c r="L665" s="38">
        <v>1.0</v>
      </c>
      <c r="N665" s="38" t="s">
        <v>1260</v>
      </c>
      <c r="R665" s="90">
        <v>605.0</v>
      </c>
      <c r="T665" s="90">
        <v>605.0</v>
      </c>
      <c r="V665" s="94" t="s">
        <v>1627</v>
      </c>
    </row>
    <row r="666">
      <c r="A666" s="37">
        <v>45614.77148589121</v>
      </c>
      <c r="B666" s="38" t="s">
        <v>827</v>
      </c>
      <c r="C666" s="38" t="s">
        <v>1713</v>
      </c>
      <c r="D666" s="38" t="s">
        <v>44</v>
      </c>
      <c r="F666" s="38" t="s">
        <v>2274</v>
      </c>
      <c r="G666" s="38" t="s">
        <v>2388</v>
      </c>
      <c r="H666" s="38" t="s">
        <v>3439</v>
      </c>
      <c r="N666" s="38" t="s">
        <v>2272</v>
      </c>
      <c r="R666" s="90">
        <v>606.0</v>
      </c>
      <c r="T666" s="90">
        <v>606.0</v>
      </c>
      <c r="V666" s="94" t="s">
        <v>1627</v>
      </c>
    </row>
    <row r="667">
      <c r="A667" s="37">
        <v>45625.71807236111</v>
      </c>
      <c r="B667" s="38" t="s">
        <v>827</v>
      </c>
      <c r="C667" s="38" t="s">
        <v>1713</v>
      </c>
      <c r="D667" s="38" t="s">
        <v>44</v>
      </c>
      <c r="F667" s="38" t="s">
        <v>2274</v>
      </c>
      <c r="G667" s="38" t="s">
        <v>3440</v>
      </c>
      <c r="H667" s="38" t="s">
        <v>3441</v>
      </c>
      <c r="N667" s="38" t="s">
        <v>2272</v>
      </c>
      <c r="R667" s="90">
        <v>607.0</v>
      </c>
      <c r="T667" s="90">
        <v>607.0</v>
      </c>
      <c r="V667" s="94" t="s">
        <v>1627</v>
      </c>
    </row>
    <row r="668">
      <c r="A668" s="37">
        <v>45628.605352314815</v>
      </c>
      <c r="B668" s="38" t="s">
        <v>827</v>
      </c>
      <c r="C668" s="38" t="s">
        <v>1717</v>
      </c>
      <c r="D668" s="38" t="s">
        <v>16</v>
      </c>
      <c r="F668" s="38" t="s">
        <v>2274</v>
      </c>
      <c r="G668" s="38" t="s">
        <v>2241</v>
      </c>
      <c r="H668" s="38" t="s">
        <v>3442</v>
      </c>
      <c r="N668" s="38" t="s">
        <v>24</v>
      </c>
    </row>
    <row r="669">
      <c r="A669" s="37">
        <v>45629.352716099536</v>
      </c>
      <c r="B669" s="38" t="s">
        <v>827</v>
      </c>
      <c r="C669" s="38" t="s">
        <v>3293</v>
      </c>
      <c r="D669" s="38" t="s">
        <v>878</v>
      </c>
      <c r="F669" s="38" t="s">
        <v>2264</v>
      </c>
      <c r="J669" s="38" t="s">
        <v>306</v>
      </c>
      <c r="K669" s="38" t="s">
        <v>3443</v>
      </c>
      <c r="L669" s="38" t="s">
        <v>3444</v>
      </c>
      <c r="N669" s="38" t="s">
        <v>3296</v>
      </c>
    </row>
    <row r="670">
      <c r="A670" s="37">
        <v>45635.58115625</v>
      </c>
      <c r="B670" s="38" t="s">
        <v>827</v>
      </c>
      <c r="C670" s="38" t="s">
        <v>1717</v>
      </c>
      <c r="D670" s="38" t="s">
        <v>16</v>
      </c>
      <c r="F670" s="38" t="s">
        <v>2264</v>
      </c>
      <c r="J670" s="38" t="s">
        <v>3445</v>
      </c>
      <c r="K670" s="38" t="s">
        <v>3446</v>
      </c>
      <c r="L670" s="38">
        <v>1.0</v>
      </c>
      <c r="N670" s="38" t="s">
        <v>24</v>
      </c>
      <c r="R670" s="90">
        <v>608.0</v>
      </c>
      <c r="T670" s="90">
        <v>608.0</v>
      </c>
      <c r="V670" s="94" t="s">
        <v>1627</v>
      </c>
    </row>
    <row r="671">
      <c r="A671" s="37">
        <v>45642.459705393514</v>
      </c>
      <c r="B671" s="38" t="s">
        <v>827</v>
      </c>
      <c r="C671" s="38" t="s">
        <v>1717</v>
      </c>
      <c r="D671" s="38" t="s">
        <v>16</v>
      </c>
      <c r="F671" s="38" t="s">
        <v>2264</v>
      </c>
      <c r="J671" s="38" t="s">
        <v>3447</v>
      </c>
      <c r="K671" s="38" t="s">
        <v>3448</v>
      </c>
      <c r="L671" s="38">
        <v>1.0</v>
      </c>
      <c r="N671" s="38" t="s">
        <v>24</v>
      </c>
      <c r="R671" s="90">
        <v>609.0</v>
      </c>
      <c r="T671" s="90">
        <v>609.0</v>
      </c>
      <c r="V671" s="94" t="s">
        <v>1627</v>
      </c>
    </row>
    <row r="672">
      <c r="A672" s="37">
        <v>45670.52736918982</v>
      </c>
      <c r="B672" s="38" t="s">
        <v>827</v>
      </c>
      <c r="C672" s="38" t="s">
        <v>1713</v>
      </c>
      <c r="D672" s="38" t="s">
        <v>44</v>
      </c>
      <c r="F672" s="38" t="s">
        <v>2274</v>
      </c>
      <c r="G672" s="38" t="s">
        <v>3449</v>
      </c>
      <c r="H672" s="38" t="s">
        <v>3450</v>
      </c>
      <c r="N672" s="38" t="s">
        <v>2272</v>
      </c>
      <c r="R672" s="90">
        <v>610.0</v>
      </c>
      <c r="T672" s="90">
        <v>610.0</v>
      </c>
      <c r="V672" s="94" t="s">
        <v>1627</v>
      </c>
    </row>
    <row r="673">
      <c r="A673" s="37">
        <v>45673.33856552083</v>
      </c>
      <c r="B673" s="38" t="s">
        <v>827</v>
      </c>
      <c r="C673" s="38" t="s">
        <v>3451</v>
      </c>
      <c r="D673" s="38" t="s">
        <v>35</v>
      </c>
      <c r="F673" s="38" t="s">
        <v>2264</v>
      </c>
      <c r="J673" s="38" t="s">
        <v>10</v>
      </c>
      <c r="K673" s="38" t="s">
        <v>3452</v>
      </c>
      <c r="L673" s="38">
        <v>1.0</v>
      </c>
      <c r="N673" s="38" t="s">
        <v>3453</v>
      </c>
      <c r="R673" s="90">
        <v>611.0</v>
      </c>
      <c r="T673" s="90">
        <v>611.0</v>
      </c>
      <c r="V673" s="93" t="s">
        <v>1505</v>
      </c>
    </row>
    <row r="674">
      <c r="A674" s="37">
        <v>45677.417577534725</v>
      </c>
      <c r="B674" s="38" t="s">
        <v>827</v>
      </c>
      <c r="C674" s="38" t="s">
        <v>1713</v>
      </c>
      <c r="D674" s="38" t="s">
        <v>196</v>
      </c>
      <c r="F674" s="38" t="s">
        <v>2274</v>
      </c>
      <c r="G674" s="38" t="s">
        <v>2275</v>
      </c>
      <c r="H674" s="38" t="s">
        <v>3454</v>
      </c>
      <c r="N674" s="38" t="s">
        <v>2272</v>
      </c>
      <c r="R674" s="90">
        <v>612.0</v>
      </c>
      <c r="T674" s="90">
        <v>612.0</v>
      </c>
      <c r="V674" s="94" t="s">
        <v>1627</v>
      </c>
    </row>
    <row r="675">
      <c r="A675" s="37">
        <v>45677.427118287036</v>
      </c>
      <c r="B675" s="38" t="s">
        <v>827</v>
      </c>
      <c r="C675" s="38" t="s">
        <v>3208</v>
      </c>
      <c r="D675" s="38" t="s">
        <v>35</v>
      </c>
      <c r="F675" s="38" t="s">
        <v>2274</v>
      </c>
      <c r="G675" s="38" t="s">
        <v>2241</v>
      </c>
      <c r="H675" s="38" t="s">
        <v>3455</v>
      </c>
      <c r="N675" s="38" t="s">
        <v>3456</v>
      </c>
      <c r="R675" s="90">
        <v>613.0</v>
      </c>
      <c r="T675" s="90">
        <v>613.0</v>
      </c>
      <c r="V675" s="94" t="s">
        <v>1627</v>
      </c>
    </row>
    <row r="676">
      <c r="A676" s="37">
        <v>45677.44250899306</v>
      </c>
      <c r="B676" s="38" t="s">
        <v>827</v>
      </c>
      <c r="C676" s="38" t="s">
        <v>3293</v>
      </c>
      <c r="D676" s="38" t="s">
        <v>878</v>
      </c>
      <c r="F676" s="38" t="s">
        <v>2274</v>
      </c>
      <c r="G676" s="38" t="s">
        <v>2241</v>
      </c>
      <c r="H676" s="38" t="s">
        <v>3457</v>
      </c>
      <c r="N676" s="38" t="s">
        <v>3458</v>
      </c>
      <c r="R676" s="90">
        <v>614.0</v>
      </c>
      <c r="T676" s="90">
        <v>614.0</v>
      </c>
      <c r="V676" s="94" t="s">
        <v>1627</v>
      </c>
    </row>
    <row r="677">
      <c r="A677" s="37">
        <v>45677.44481400463</v>
      </c>
      <c r="B677" s="38" t="s">
        <v>827</v>
      </c>
      <c r="C677" s="38" t="s">
        <v>3293</v>
      </c>
      <c r="D677" s="38" t="s">
        <v>878</v>
      </c>
      <c r="F677" s="38" t="s">
        <v>2274</v>
      </c>
      <c r="G677" s="38" t="s">
        <v>2232</v>
      </c>
      <c r="H677" s="38" t="s">
        <v>3459</v>
      </c>
      <c r="N677" s="38" t="s">
        <v>3458</v>
      </c>
      <c r="R677" s="90">
        <v>615.0</v>
      </c>
      <c r="T677" s="90">
        <v>615.0</v>
      </c>
      <c r="V677" s="94" t="s">
        <v>1627</v>
      </c>
    </row>
    <row r="678">
      <c r="A678" s="37">
        <v>45679.46245309028</v>
      </c>
      <c r="B678" s="38" t="s">
        <v>827</v>
      </c>
      <c r="C678" s="38" t="s">
        <v>3460</v>
      </c>
      <c r="D678" s="38" t="s">
        <v>1079</v>
      </c>
      <c r="F678" s="38" t="s">
        <v>2274</v>
      </c>
      <c r="G678" s="38" t="s">
        <v>2241</v>
      </c>
      <c r="H678" s="38" t="s">
        <v>3461</v>
      </c>
      <c r="N678" s="38" t="s">
        <v>3462</v>
      </c>
      <c r="R678" s="90">
        <v>616.0</v>
      </c>
      <c r="T678" s="90">
        <v>616.0</v>
      </c>
      <c r="V678" s="94" t="s">
        <v>1627</v>
      </c>
    </row>
    <row r="679">
      <c r="A679" s="37">
        <v>45693.70358908565</v>
      </c>
      <c r="B679" s="38" t="s">
        <v>827</v>
      </c>
      <c r="C679" s="38" t="s">
        <v>3463</v>
      </c>
      <c r="D679" s="38" t="s">
        <v>316</v>
      </c>
      <c r="F679" s="38" t="s">
        <v>2274</v>
      </c>
      <c r="G679" s="38" t="s">
        <v>2241</v>
      </c>
      <c r="H679" s="38" t="s">
        <v>3464</v>
      </c>
      <c r="N679" s="38" t="s">
        <v>2453</v>
      </c>
      <c r="R679" s="90">
        <v>617.0</v>
      </c>
      <c r="T679" s="90">
        <v>617.0</v>
      </c>
      <c r="V679" s="94" t="s">
        <v>1627</v>
      </c>
    </row>
    <row r="680">
      <c r="A680" s="37">
        <v>45698.42323325231</v>
      </c>
      <c r="B680" s="38" t="s">
        <v>827</v>
      </c>
      <c r="C680" s="38" t="s">
        <v>3465</v>
      </c>
      <c r="D680" s="38" t="s">
        <v>878</v>
      </c>
      <c r="F680" s="38" t="s">
        <v>2274</v>
      </c>
      <c r="G680" s="38" t="s">
        <v>2241</v>
      </c>
      <c r="H680" s="38" t="s">
        <v>3466</v>
      </c>
      <c r="N680" s="38" t="s">
        <v>3467</v>
      </c>
      <c r="R680" s="90">
        <v>618.0</v>
      </c>
      <c r="T680" s="90">
        <v>618.0</v>
      </c>
      <c r="V680" s="94" t="s">
        <v>1627</v>
      </c>
    </row>
    <row r="681">
      <c r="A681" s="37">
        <v>45708.44441737268</v>
      </c>
      <c r="B681" s="38" t="s">
        <v>827</v>
      </c>
      <c r="C681" s="38" t="s">
        <v>3393</v>
      </c>
      <c r="D681" s="38" t="s">
        <v>35</v>
      </c>
      <c r="F681" s="38" t="s">
        <v>2264</v>
      </c>
      <c r="J681" s="38" t="s">
        <v>213</v>
      </c>
      <c r="K681" s="38" t="s">
        <v>2402</v>
      </c>
      <c r="L681" s="38">
        <v>1.0</v>
      </c>
      <c r="N681" s="38" t="s">
        <v>3395</v>
      </c>
      <c r="R681" s="90">
        <v>619.0</v>
      </c>
      <c r="T681" s="90">
        <v>619.0</v>
      </c>
      <c r="V681" s="94" t="s">
        <v>1627</v>
      </c>
    </row>
    <row r="682">
      <c r="A682" s="37">
        <v>45719.41177475694</v>
      </c>
      <c r="B682" s="38" t="s">
        <v>827</v>
      </c>
      <c r="C682" s="38" t="s">
        <v>1713</v>
      </c>
      <c r="D682" s="38" t="s">
        <v>44</v>
      </c>
      <c r="F682" s="38" t="s">
        <v>2274</v>
      </c>
      <c r="G682" s="38" t="s">
        <v>3468</v>
      </c>
      <c r="H682" s="38" t="s">
        <v>3469</v>
      </c>
      <c r="N682" s="38" t="s">
        <v>2272</v>
      </c>
      <c r="R682" s="90">
        <v>620.0</v>
      </c>
      <c r="T682" s="90">
        <v>620.0</v>
      </c>
      <c r="V682" s="94" t="s">
        <v>1627</v>
      </c>
    </row>
    <row r="683">
      <c r="A683" s="37">
        <v>45722.57438626158</v>
      </c>
      <c r="B683" s="38" t="s">
        <v>827</v>
      </c>
      <c r="C683" s="38" t="s">
        <v>1717</v>
      </c>
      <c r="D683" s="38" t="s">
        <v>16</v>
      </c>
      <c r="F683" s="38" t="s">
        <v>2264</v>
      </c>
      <c r="J683" s="38" t="s">
        <v>3470</v>
      </c>
      <c r="K683" s="38" t="s">
        <v>3471</v>
      </c>
      <c r="L683" s="38">
        <v>1.0</v>
      </c>
      <c r="N683" s="38" t="s">
        <v>24</v>
      </c>
      <c r="R683" s="90">
        <v>621.0</v>
      </c>
      <c r="T683" s="90">
        <v>621.0</v>
      </c>
      <c r="V683" s="94" t="s">
        <v>1627</v>
      </c>
    </row>
    <row r="684">
      <c r="A684" s="37">
        <v>45729.53651744213</v>
      </c>
      <c r="B684" s="38" t="s">
        <v>827</v>
      </c>
      <c r="C684" s="38" t="s">
        <v>3293</v>
      </c>
      <c r="D684" s="38" t="s">
        <v>878</v>
      </c>
      <c r="F684" s="38" t="s">
        <v>2274</v>
      </c>
      <c r="G684" s="38" t="s">
        <v>2241</v>
      </c>
      <c r="H684" s="38" t="s">
        <v>3472</v>
      </c>
      <c r="N684" s="38" t="s">
        <v>3467</v>
      </c>
      <c r="R684" s="90">
        <v>622.0</v>
      </c>
      <c r="T684" s="90">
        <v>622.0</v>
      </c>
      <c r="V684" s="94" t="s">
        <v>1627</v>
      </c>
    </row>
    <row r="685">
      <c r="A685" s="37">
        <v>45736.44446752315</v>
      </c>
      <c r="B685" s="38" t="s">
        <v>827</v>
      </c>
      <c r="C685" s="38" t="s">
        <v>1713</v>
      </c>
      <c r="D685" s="38" t="s">
        <v>196</v>
      </c>
      <c r="F685" s="38" t="s">
        <v>2264</v>
      </c>
      <c r="J685" s="38" t="s">
        <v>3473</v>
      </c>
      <c r="K685" s="38" t="s">
        <v>3474</v>
      </c>
      <c r="L685" s="38">
        <v>1.0</v>
      </c>
      <c r="N685" s="38" t="s">
        <v>2272</v>
      </c>
      <c r="R685" s="90">
        <v>623.0</v>
      </c>
      <c r="T685" s="90">
        <v>623.0</v>
      </c>
      <c r="V685" s="94" t="s">
        <v>1627</v>
      </c>
    </row>
    <row r="686">
      <c r="A686" s="37">
        <v>45743.320361782404</v>
      </c>
      <c r="B686" s="38" t="s">
        <v>827</v>
      </c>
      <c r="C686" s="38" t="s">
        <v>2561</v>
      </c>
      <c r="D686" s="38" t="s">
        <v>1261</v>
      </c>
      <c r="F686" s="38" t="s">
        <v>2274</v>
      </c>
      <c r="G686" s="38" t="s">
        <v>3475</v>
      </c>
      <c r="H686" s="38" t="s">
        <v>3476</v>
      </c>
      <c r="N686" s="38" t="s">
        <v>1260</v>
      </c>
      <c r="R686" s="90">
        <v>624.0</v>
      </c>
      <c r="T686" s="90">
        <v>624.0</v>
      </c>
      <c r="V686" s="94" t="s">
        <v>1627</v>
      </c>
    </row>
    <row r="687">
      <c r="A687" s="37">
        <v>45749.355106550924</v>
      </c>
      <c r="B687" s="38" t="s">
        <v>827</v>
      </c>
      <c r="C687" s="38" t="s">
        <v>3477</v>
      </c>
      <c r="D687" s="38" t="s">
        <v>878</v>
      </c>
      <c r="F687" s="38" t="s">
        <v>2274</v>
      </c>
      <c r="G687" s="38" t="s">
        <v>2241</v>
      </c>
      <c r="H687" s="38" t="s">
        <v>3478</v>
      </c>
      <c r="N687" s="38" t="s">
        <v>3467</v>
      </c>
      <c r="R687" s="90">
        <v>625.0</v>
      </c>
      <c r="T687" s="90">
        <v>625.0</v>
      </c>
      <c r="V687" s="94" t="s">
        <v>1627</v>
      </c>
    </row>
    <row r="688">
      <c r="A688" s="37">
        <v>45770.45361386574</v>
      </c>
      <c r="B688" s="38" t="s">
        <v>827</v>
      </c>
      <c r="C688" s="38" t="s">
        <v>1717</v>
      </c>
      <c r="D688" s="38" t="s">
        <v>16</v>
      </c>
      <c r="F688" s="38" t="s">
        <v>2274</v>
      </c>
      <c r="G688" s="38" t="s">
        <v>3479</v>
      </c>
      <c r="H688" s="38" t="s">
        <v>3480</v>
      </c>
      <c r="N688" s="38" t="s">
        <v>24</v>
      </c>
      <c r="R688" s="90">
        <v>626.0</v>
      </c>
      <c r="T688" s="90">
        <v>626.0</v>
      </c>
      <c r="V688" s="94" t="s">
        <v>1627</v>
      </c>
    </row>
    <row r="689">
      <c r="A689" s="37">
        <v>45846.43207178241</v>
      </c>
      <c r="B689" s="38" t="s">
        <v>827</v>
      </c>
      <c r="C689" s="38" t="s">
        <v>3293</v>
      </c>
      <c r="D689" s="38" t="s">
        <v>878</v>
      </c>
      <c r="F689" s="38" t="s">
        <v>2274</v>
      </c>
      <c r="G689" s="38" t="s">
        <v>2241</v>
      </c>
      <c r="H689" s="38" t="s">
        <v>3481</v>
      </c>
      <c r="N689" s="38" t="s">
        <v>3458</v>
      </c>
      <c r="R689" s="97">
        <v>627.0</v>
      </c>
      <c r="S689" s="97">
        <v>627.0</v>
      </c>
      <c r="U689" s="102" t="s">
        <v>1627</v>
      </c>
    </row>
    <row r="690">
      <c r="A690" s="37">
        <v>45863.515005381945</v>
      </c>
      <c r="B690" s="38" t="s">
        <v>827</v>
      </c>
      <c r="C690" s="38" t="s">
        <v>2850</v>
      </c>
      <c r="D690" s="38" t="s">
        <v>316</v>
      </c>
      <c r="F690" s="38" t="s">
        <v>2264</v>
      </c>
      <c r="J690" s="38" t="s">
        <v>3482</v>
      </c>
      <c r="K690" s="38" t="s">
        <v>3483</v>
      </c>
      <c r="L690" s="38" t="s">
        <v>3484</v>
      </c>
      <c r="N690" s="38" t="s">
        <v>2744</v>
      </c>
      <c r="R690" s="97">
        <v>628.0</v>
      </c>
      <c r="S690" s="97">
        <v>628.0</v>
      </c>
      <c r="U690" s="102" t="s">
        <v>1627</v>
      </c>
    </row>
    <row r="691">
      <c r="A691" s="37">
        <v>45866.420510104166</v>
      </c>
      <c r="B691" s="38" t="s">
        <v>827</v>
      </c>
      <c r="C691" s="38" t="s">
        <v>1646</v>
      </c>
      <c r="D691" s="38" t="s">
        <v>3029</v>
      </c>
      <c r="F691" s="38" t="s">
        <v>2274</v>
      </c>
      <c r="G691" s="38" t="s">
        <v>2275</v>
      </c>
      <c r="H691" s="38" t="s">
        <v>3485</v>
      </c>
      <c r="N691" s="38" t="s">
        <v>419</v>
      </c>
      <c r="R691" s="97">
        <v>629.0</v>
      </c>
      <c r="S691" s="97">
        <v>629.0</v>
      </c>
      <c r="U691" s="102" t="s">
        <v>1627</v>
      </c>
    </row>
    <row r="692">
      <c r="A692" s="37">
        <v>45874.35594436343</v>
      </c>
      <c r="B692" s="38" t="s">
        <v>827</v>
      </c>
      <c r="C692" s="38" t="s">
        <v>1629</v>
      </c>
      <c r="D692" s="38" t="s">
        <v>16</v>
      </c>
      <c r="F692" s="38" t="s">
        <v>2274</v>
      </c>
      <c r="G692" s="38" t="s">
        <v>3486</v>
      </c>
      <c r="H692" s="38" t="s">
        <v>3487</v>
      </c>
      <c r="N692" s="38" t="s">
        <v>3488</v>
      </c>
      <c r="R692" s="97">
        <v>630.0</v>
      </c>
      <c r="S692" s="97">
        <v>630.0</v>
      </c>
      <c r="U692" s="102" t="s">
        <v>1627</v>
      </c>
    </row>
    <row r="693">
      <c r="A693" s="37">
        <v>45915.668622708334</v>
      </c>
      <c r="B693" s="38" t="s">
        <v>827</v>
      </c>
      <c r="C693" s="38" t="s">
        <v>3451</v>
      </c>
      <c r="D693" s="38" t="s">
        <v>35</v>
      </c>
      <c r="F693" s="38" t="s">
        <v>2274</v>
      </c>
      <c r="G693" s="38" t="s">
        <v>2241</v>
      </c>
      <c r="H693" s="38" t="s">
        <v>3489</v>
      </c>
      <c r="N693" s="38" t="s">
        <v>3210</v>
      </c>
      <c r="R693" s="97">
        <v>631.0</v>
      </c>
      <c r="S693" s="97">
        <v>631.0</v>
      </c>
      <c r="U693" s="102" t="s">
        <v>1627</v>
      </c>
    </row>
    <row r="694">
      <c r="A694" s="37">
        <v>45923.51959380787</v>
      </c>
      <c r="B694" s="38" t="s">
        <v>827</v>
      </c>
      <c r="C694" s="38" t="s">
        <v>1713</v>
      </c>
      <c r="D694" s="38" t="s">
        <v>196</v>
      </c>
      <c r="F694" s="38" t="s">
        <v>2274</v>
      </c>
      <c r="G694" s="38" t="s">
        <v>2275</v>
      </c>
      <c r="H694" s="38" t="s">
        <v>3490</v>
      </c>
      <c r="I694" s="85" t="s">
        <v>3491</v>
      </c>
      <c r="N694" s="38" t="s">
        <v>2272</v>
      </c>
      <c r="R694" s="97">
        <v>632.0</v>
      </c>
      <c r="S694" s="97">
        <v>632.0</v>
      </c>
      <c r="U694" s="102" t="s">
        <v>1627</v>
      </c>
    </row>
    <row r="695">
      <c r="A695" s="37">
        <v>45929.43946743055</v>
      </c>
      <c r="B695" s="38" t="s">
        <v>827</v>
      </c>
      <c r="C695" s="38" t="s">
        <v>1646</v>
      </c>
      <c r="D695" s="38" t="s">
        <v>3029</v>
      </c>
      <c r="F695" s="38" t="s">
        <v>2274</v>
      </c>
      <c r="G695" s="38" t="s">
        <v>2275</v>
      </c>
      <c r="H695" s="38" t="s">
        <v>3492</v>
      </c>
      <c r="N695" s="38" t="s">
        <v>3493</v>
      </c>
      <c r="R695" s="97">
        <v>633.0</v>
      </c>
      <c r="S695" s="97">
        <v>633.0</v>
      </c>
      <c r="U695" s="102" t="s">
        <v>1627</v>
      </c>
    </row>
    <row r="696">
      <c r="A696" s="37">
        <v>45945.63191414352</v>
      </c>
      <c r="B696" s="38" t="s">
        <v>827</v>
      </c>
      <c r="C696" s="38" t="s">
        <v>3393</v>
      </c>
      <c r="D696" s="38" t="s">
        <v>35</v>
      </c>
      <c r="F696" s="38" t="s">
        <v>2274</v>
      </c>
      <c r="G696" s="38" t="s">
        <v>2275</v>
      </c>
      <c r="H696" s="38" t="s">
        <v>3494</v>
      </c>
      <c r="N696" s="38" t="s">
        <v>3395</v>
      </c>
      <c r="R696" s="97">
        <v>634.0</v>
      </c>
      <c r="S696" s="97">
        <v>634.0</v>
      </c>
      <c r="U696" s="102" t="s">
        <v>1627</v>
      </c>
    </row>
    <row r="697">
      <c r="A697" s="37">
        <v>45957.42170065972</v>
      </c>
      <c r="B697" s="38" t="s">
        <v>827</v>
      </c>
      <c r="C697" s="38" t="s">
        <v>1646</v>
      </c>
      <c r="D697" s="38" t="s">
        <v>3029</v>
      </c>
      <c r="F697" s="38" t="s">
        <v>2274</v>
      </c>
      <c r="G697" s="38" t="s">
        <v>2275</v>
      </c>
      <c r="H697" s="38" t="s">
        <v>3495</v>
      </c>
      <c r="N697" s="38" t="s">
        <v>419</v>
      </c>
      <c r="R697" s="97">
        <v>635.0</v>
      </c>
      <c r="S697" s="97">
        <v>635.0</v>
      </c>
      <c r="U697" s="102" t="s">
        <v>1627</v>
      </c>
    </row>
    <row r="698">
      <c r="A698" s="37">
        <v>46034.69466079861</v>
      </c>
      <c r="B698" s="38" t="s">
        <v>827</v>
      </c>
      <c r="C698" s="38" t="s">
        <v>3496</v>
      </c>
      <c r="D698" s="38" t="s">
        <v>870</v>
      </c>
      <c r="F698" s="38" t="s">
        <v>2274</v>
      </c>
      <c r="G698" s="38" t="s">
        <v>2241</v>
      </c>
      <c r="H698" s="38" t="s">
        <v>3497</v>
      </c>
      <c r="N698" s="38" t="s">
        <v>3498</v>
      </c>
      <c r="R698" s="97">
        <v>636.0</v>
      </c>
      <c r="S698" s="97">
        <v>636.0</v>
      </c>
      <c r="U698" s="102" t="s">
        <v>1627</v>
      </c>
    </row>
    <row r="699">
      <c r="A699" s="37">
        <v>46049.6295133449</v>
      </c>
      <c r="B699" s="38" t="s">
        <v>827</v>
      </c>
      <c r="C699" s="38" t="s">
        <v>3400</v>
      </c>
      <c r="D699" s="38" t="s">
        <v>40</v>
      </c>
      <c r="F699" s="38" t="s">
        <v>2274</v>
      </c>
      <c r="G699" s="38" t="s">
        <v>2241</v>
      </c>
      <c r="H699" s="38" t="s">
        <v>3499</v>
      </c>
      <c r="N699" s="38" t="s">
        <v>3280</v>
      </c>
      <c r="R699" s="97">
        <v>637.0</v>
      </c>
      <c r="S699" s="97">
        <v>637.0</v>
      </c>
      <c r="U699" s="102" t="s">
        <v>1627</v>
      </c>
    </row>
    <row r="700">
      <c r="A700" s="37">
        <v>46125.470058032406</v>
      </c>
      <c r="B700" s="38" t="s">
        <v>827</v>
      </c>
      <c r="C700" s="38" t="s">
        <v>2252</v>
      </c>
      <c r="D700" s="38" t="s">
        <v>916</v>
      </c>
      <c r="F700" s="38" t="s">
        <v>2264</v>
      </c>
      <c r="J700" s="38" t="s">
        <v>883</v>
      </c>
      <c r="K700" s="38" t="s">
        <v>3500</v>
      </c>
      <c r="L700" s="38">
        <v>1.0</v>
      </c>
      <c r="N700" s="38" t="s">
        <v>596</v>
      </c>
      <c r="R700" s="97">
        <v>638.0</v>
      </c>
      <c r="S700" s="97">
        <v>638.0</v>
      </c>
      <c r="U700" s="102" t="s">
        <v>1627</v>
      </c>
    </row>
  </sheetData>
  <hyperlinks>
    <hyperlink r:id="rId2" ref="I14"/>
    <hyperlink r:id="rId3" ref="I22"/>
    <hyperlink r:id="rId4" ref="I35"/>
    <hyperlink r:id="rId5" ref="I39"/>
    <hyperlink r:id="rId6" ref="M48"/>
    <hyperlink r:id="rId7" ref="M49"/>
    <hyperlink r:id="rId8" ref="M50"/>
    <hyperlink r:id="rId9" ref="M51"/>
    <hyperlink r:id="rId10" ref="I68"/>
    <hyperlink r:id="rId11" ref="I75"/>
    <hyperlink r:id="rId12" ref="I82"/>
    <hyperlink r:id="rId13" ref="I84"/>
    <hyperlink r:id="rId14" ref="I85"/>
    <hyperlink r:id="rId15" ref="M91"/>
    <hyperlink r:id="rId16" ref="M94"/>
    <hyperlink r:id="rId17" ref="M95"/>
    <hyperlink r:id="rId18" ref="M96"/>
    <hyperlink r:id="rId19" ref="M97"/>
    <hyperlink r:id="rId20" ref="M98"/>
    <hyperlink r:id="rId21" ref="M99"/>
    <hyperlink r:id="rId22" ref="I105"/>
    <hyperlink r:id="rId23" ref="M107"/>
    <hyperlink r:id="rId24" ref="I134"/>
    <hyperlink r:id="rId25" ref="I158"/>
    <hyperlink r:id="rId26" ref="I167"/>
    <hyperlink r:id="rId27" ref="I168"/>
    <hyperlink r:id="rId28" ref="I215"/>
    <hyperlink r:id="rId29" ref="M242"/>
    <hyperlink r:id="rId30" ref="M254"/>
    <hyperlink r:id="rId31" ref="M255"/>
    <hyperlink r:id="rId32" ref="I257"/>
    <hyperlink r:id="rId33" ref="M279"/>
    <hyperlink r:id="rId34" ref="M282"/>
    <hyperlink r:id="rId35" ref="M284"/>
    <hyperlink r:id="rId36" ref="M286"/>
    <hyperlink r:id="rId37" ref="M299"/>
    <hyperlink r:id="rId38" ref="M300"/>
    <hyperlink r:id="rId39" ref="M304"/>
    <hyperlink r:id="rId40" ref="M305"/>
    <hyperlink r:id="rId41" ref="M306"/>
    <hyperlink r:id="rId42" ref="M315"/>
    <hyperlink r:id="rId43" ref="M320"/>
    <hyperlink r:id="rId44" ref="I323"/>
    <hyperlink r:id="rId45" ref="M335"/>
    <hyperlink r:id="rId46" ref="I339"/>
    <hyperlink r:id="rId47" ref="M340"/>
    <hyperlink r:id="rId48" ref="I348"/>
    <hyperlink r:id="rId49" ref="I375"/>
    <hyperlink r:id="rId50" ref="I376"/>
    <hyperlink r:id="rId51" ref="M379"/>
    <hyperlink r:id="rId52" ref="I395"/>
    <hyperlink r:id="rId53" ref="I424"/>
    <hyperlink r:id="rId54" ref="I425"/>
    <hyperlink r:id="rId55" ref="I431"/>
    <hyperlink r:id="rId56" ref="M458"/>
    <hyperlink r:id="rId57" ref="M474"/>
    <hyperlink r:id="rId58" ref="I491"/>
    <hyperlink r:id="rId59" ref="I493"/>
    <hyperlink r:id="rId60" ref="M523"/>
    <hyperlink r:id="rId61" ref="I546"/>
    <hyperlink r:id="rId62" ref="I568"/>
    <hyperlink r:id="rId63" ref="I577"/>
    <hyperlink r:id="rId64" ref="M579"/>
    <hyperlink r:id="rId65" ref="I580"/>
    <hyperlink r:id="rId66" ref="I595"/>
    <hyperlink r:id="rId67" ref="I597"/>
    <hyperlink r:id="rId68" ref="I607"/>
    <hyperlink r:id="rId69" ref="I608"/>
    <hyperlink r:id="rId70" ref="I610"/>
    <hyperlink r:id="rId71" ref="I613"/>
    <hyperlink r:id="rId72" ref="I614"/>
    <hyperlink r:id="rId73" ref="C618"/>
    <hyperlink r:id="rId74" ref="I619"/>
    <hyperlink r:id="rId75" ref="I622"/>
    <hyperlink r:id="rId76" ref="I623"/>
    <hyperlink r:id="rId77" ref="I656"/>
    <hyperlink r:id="rId78" ref="I694"/>
  </hyperlinks>
  <drawing r:id="rId79"/>
  <legacyDrawing r:id="rId8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3.13"/>
    <col customWidth="1" min="4" max="9" width="18.88"/>
    <col customWidth="1" min="10" max="10" width="4.75"/>
  </cols>
  <sheetData>
    <row r="1">
      <c r="A1" s="66" t="s">
        <v>820</v>
      </c>
      <c r="B1" s="109" t="s">
        <v>303</v>
      </c>
      <c r="C1" s="66" t="s">
        <v>3501</v>
      </c>
      <c r="D1" s="66" t="s">
        <v>3502</v>
      </c>
      <c r="E1" s="110" t="s">
        <v>3503</v>
      </c>
      <c r="F1" s="65" t="s">
        <v>3504</v>
      </c>
      <c r="G1" s="65" t="s">
        <v>3505</v>
      </c>
      <c r="H1" s="111" t="str">
        <f>Inventory!B:B</f>
        <v>Company ID</v>
      </c>
      <c r="I1" s="66"/>
      <c r="J1" s="66"/>
    </row>
    <row r="2">
      <c r="A2" s="37"/>
      <c r="E2" s="112"/>
      <c r="F2" s="113"/>
      <c r="H2" s="111" t="str">
        <f>Inventory!B:B</f>
        <v/>
      </c>
      <c r="J2" s="66"/>
    </row>
    <row r="3">
      <c r="A3" s="37"/>
      <c r="E3" s="112"/>
      <c r="F3" s="113"/>
      <c r="H3" s="39" t="str">
        <f>Inventory!B:B</f>
        <v>OnM Deparment Desktop</v>
      </c>
      <c r="J3" s="66"/>
    </row>
    <row r="4">
      <c r="A4" s="37"/>
      <c r="E4" s="112"/>
      <c r="F4" s="113"/>
      <c r="H4" s="39" t="str">
        <f>Inventory!B:B</f>
        <v>LOG01</v>
      </c>
      <c r="J4" s="66"/>
    </row>
    <row r="5">
      <c r="A5" s="37">
        <v>44727.381457951386</v>
      </c>
      <c r="B5" s="38" t="s">
        <v>3506</v>
      </c>
      <c r="C5" s="38" t="s">
        <v>883</v>
      </c>
      <c r="D5" s="38" t="s">
        <v>419</v>
      </c>
      <c r="E5" s="112">
        <v>1.0</v>
      </c>
      <c r="F5" s="113">
        <f>countif('Check in'!B:B,B5)</f>
        <v>1</v>
      </c>
      <c r="G5" s="39" t="str">
        <f t="shared" ref="G5:G17" si="1">ifs(exact(E5,F5),"Available",F5&gt;E5,"Check item out first",E5&gt;F5,"Checked out")</f>
        <v>Available</v>
      </c>
      <c r="H5" s="39" t="str">
        <f>Inventory!B:B</f>
        <v>LOG02</v>
      </c>
      <c r="J5" s="66"/>
    </row>
    <row r="6">
      <c r="A6" s="37">
        <v>44727.383246365745</v>
      </c>
      <c r="B6" s="38" t="s">
        <v>912</v>
      </c>
      <c r="C6" s="38" t="s">
        <v>3507</v>
      </c>
      <c r="D6" s="38" t="s">
        <v>3508</v>
      </c>
      <c r="E6" s="112">
        <f t="shared" ref="E6:E17" si="2">countif(B:B,B6)</f>
        <v>1</v>
      </c>
      <c r="F6" s="113">
        <f>countif('Check in'!B:B,B6)</f>
        <v>1</v>
      </c>
      <c r="G6" s="39" t="str">
        <f t="shared" si="1"/>
        <v>Available</v>
      </c>
      <c r="H6" s="39" t="str">
        <f>Inventory!B:B</f>
        <v>LOG03</v>
      </c>
      <c r="J6" s="66"/>
    </row>
    <row r="7">
      <c r="A7" s="37">
        <v>44727.38635576389</v>
      </c>
      <c r="B7" s="38" t="s">
        <v>917</v>
      </c>
      <c r="C7" s="38" t="s">
        <v>3507</v>
      </c>
      <c r="D7" s="38" t="s">
        <v>417</v>
      </c>
      <c r="E7" s="112">
        <f t="shared" si="2"/>
        <v>1</v>
      </c>
      <c r="F7" s="113">
        <f>countif('Check in'!B:B,B7)</f>
        <v>0</v>
      </c>
      <c r="G7" s="39" t="str">
        <f t="shared" si="1"/>
        <v>Checked out</v>
      </c>
      <c r="H7" s="39" t="str">
        <f>Inventory!B:B</f>
        <v>LOG04</v>
      </c>
      <c r="J7" s="66"/>
    </row>
    <row r="8">
      <c r="A8" s="37">
        <v>44727.38698439815</v>
      </c>
      <c r="B8" s="38" t="s">
        <v>919</v>
      </c>
      <c r="C8" s="38" t="s">
        <v>3507</v>
      </c>
      <c r="D8" s="38" t="s">
        <v>419</v>
      </c>
      <c r="E8" s="112">
        <f t="shared" si="2"/>
        <v>1</v>
      </c>
      <c r="F8" s="113">
        <f>countif('Check in'!B:B,B8)</f>
        <v>0</v>
      </c>
      <c r="G8" s="39" t="str">
        <f t="shared" si="1"/>
        <v>Checked out</v>
      </c>
      <c r="H8" s="39" t="str">
        <f>Inventory!B:B</f>
        <v>CHR01</v>
      </c>
      <c r="J8" s="66"/>
    </row>
    <row r="9">
      <c r="A9" s="37">
        <v>44727.388407175924</v>
      </c>
      <c r="B9" s="38" t="s">
        <v>1051</v>
      </c>
      <c r="C9" s="38" t="s">
        <v>3509</v>
      </c>
      <c r="D9" s="38" t="s">
        <v>3508</v>
      </c>
      <c r="E9" s="112">
        <f t="shared" si="2"/>
        <v>1</v>
      </c>
      <c r="F9" s="113">
        <f>countif('Check in'!B:B,B9)</f>
        <v>0</v>
      </c>
      <c r="G9" s="39" t="str">
        <f t="shared" si="1"/>
        <v>Checked out</v>
      </c>
      <c r="H9" s="39" t="str">
        <f>Inventory!B:B</f>
        <v>CHR02</v>
      </c>
      <c r="J9" s="66"/>
    </row>
    <row r="10">
      <c r="A10" s="37">
        <v>44727.38918806713</v>
      </c>
      <c r="B10" s="38" t="s">
        <v>1054</v>
      </c>
      <c r="C10" s="38" t="s">
        <v>3509</v>
      </c>
      <c r="D10" s="38" t="s">
        <v>417</v>
      </c>
      <c r="E10" s="112">
        <f t="shared" si="2"/>
        <v>1</v>
      </c>
      <c r="F10" s="113">
        <f>countif('Check in'!B:B,B10)</f>
        <v>0</v>
      </c>
      <c r="G10" s="39" t="str">
        <f t="shared" si="1"/>
        <v>Checked out</v>
      </c>
      <c r="H10" s="39" t="str">
        <f>Inventory!B:B</f>
        <v>CHR03</v>
      </c>
      <c r="J10" s="66"/>
    </row>
    <row r="11">
      <c r="A11" s="37">
        <v>44727.390092500005</v>
      </c>
      <c r="B11" s="38" t="s">
        <v>1062</v>
      </c>
      <c r="C11" s="38" t="s">
        <v>3510</v>
      </c>
      <c r="D11" s="38" t="s">
        <v>1063</v>
      </c>
      <c r="E11" s="112">
        <f t="shared" si="2"/>
        <v>1</v>
      </c>
      <c r="F11" s="113">
        <f>countif('Check in'!B:B,B11)</f>
        <v>0</v>
      </c>
      <c r="G11" s="39" t="str">
        <f t="shared" si="1"/>
        <v>Checked out</v>
      </c>
      <c r="H11" s="39" t="str">
        <f>Inventory!B:B</f>
        <v>CHRO4</v>
      </c>
      <c r="J11" s="66"/>
    </row>
    <row r="12">
      <c r="A12" s="37">
        <v>44727.392531307865</v>
      </c>
      <c r="B12" s="38" t="s">
        <v>92</v>
      </c>
      <c r="C12" s="38" t="s">
        <v>3511</v>
      </c>
      <c r="D12" s="38" t="s">
        <v>93</v>
      </c>
      <c r="E12" s="112">
        <f t="shared" si="2"/>
        <v>1</v>
      </c>
      <c r="F12" s="113">
        <f>countif('Check in'!B:B,B12)</f>
        <v>0</v>
      </c>
      <c r="G12" s="39" t="str">
        <f t="shared" si="1"/>
        <v>Checked out</v>
      </c>
      <c r="H12" s="39" t="str">
        <f>Inventory!B:B</f>
        <v>KB01</v>
      </c>
      <c r="J12" s="66"/>
    </row>
    <row r="13">
      <c r="A13" s="37">
        <v>44727.39313172454</v>
      </c>
      <c r="B13" s="38" t="s">
        <v>754</v>
      </c>
      <c r="C13" s="38" t="s">
        <v>3511</v>
      </c>
      <c r="D13" s="38" t="s">
        <v>128</v>
      </c>
      <c r="E13" s="112">
        <f t="shared" si="2"/>
        <v>1</v>
      </c>
      <c r="F13" s="113">
        <f>countif('Check in'!B:B,B13)</f>
        <v>0</v>
      </c>
      <c r="G13" s="39" t="str">
        <f t="shared" si="1"/>
        <v>Checked out</v>
      </c>
      <c r="H13" s="39" t="str">
        <f>Inventory!B:B</f>
        <v>KB02</v>
      </c>
      <c r="J13" s="66"/>
    </row>
    <row r="14">
      <c r="A14" s="37">
        <v>44727.3937771875</v>
      </c>
      <c r="B14" s="38" t="s">
        <v>1071</v>
      </c>
      <c r="C14" s="38" t="s">
        <v>3512</v>
      </c>
      <c r="D14" s="38" t="s">
        <v>2327</v>
      </c>
      <c r="E14" s="112">
        <f t="shared" si="2"/>
        <v>1</v>
      </c>
      <c r="F14" s="113">
        <f>countif('Check in'!B:B,B14)</f>
        <v>0</v>
      </c>
      <c r="G14" s="39" t="str">
        <f t="shared" si="1"/>
        <v>Checked out</v>
      </c>
      <c r="H14" s="39" t="str">
        <f>Inventory!B:B</f>
        <v>KB03</v>
      </c>
      <c r="J14" s="66"/>
    </row>
    <row r="15">
      <c r="A15" s="37">
        <v>44727.395135729166</v>
      </c>
      <c r="B15" s="38" t="s">
        <v>1073</v>
      </c>
      <c r="C15" s="38" t="s">
        <v>3511</v>
      </c>
      <c r="D15" s="38" t="s">
        <v>42</v>
      </c>
      <c r="E15" s="112">
        <f t="shared" si="2"/>
        <v>1</v>
      </c>
      <c r="F15" s="113">
        <f>countif('Check in'!B:B,B15)</f>
        <v>0</v>
      </c>
      <c r="G15" s="39" t="str">
        <f t="shared" si="1"/>
        <v>Checked out</v>
      </c>
      <c r="H15" s="39" t="str">
        <f>Inventory!B:B</f>
        <v>KB04</v>
      </c>
      <c r="J15" s="66"/>
    </row>
    <row r="16">
      <c r="A16" s="37">
        <v>44727.39603427083</v>
      </c>
      <c r="B16" s="38" t="s">
        <v>1074</v>
      </c>
      <c r="C16" s="38" t="s">
        <v>3511</v>
      </c>
      <c r="D16" s="38" t="s">
        <v>104</v>
      </c>
      <c r="E16" s="112">
        <f t="shared" si="2"/>
        <v>1</v>
      </c>
      <c r="F16" s="113">
        <f>countif('Check in'!B:B,B16)</f>
        <v>0</v>
      </c>
      <c r="G16" s="39" t="str">
        <f t="shared" si="1"/>
        <v>Checked out</v>
      </c>
      <c r="H16" s="39" t="str">
        <f>Inventory!B:B</f>
        <v>CP01</v>
      </c>
      <c r="J16" s="66"/>
    </row>
    <row r="17">
      <c r="A17" s="37">
        <v>44727.39874513889</v>
      </c>
      <c r="B17" s="114" t="s">
        <v>1101</v>
      </c>
      <c r="C17" s="38" t="s">
        <v>3513</v>
      </c>
      <c r="D17" s="38" t="s">
        <v>3514</v>
      </c>
      <c r="E17" s="112">
        <f t="shared" si="2"/>
        <v>1</v>
      </c>
      <c r="F17" s="113">
        <f>countif('Check in'!B:B,B17)</f>
        <v>0</v>
      </c>
      <c r="G17" s="39" t="str">
        <f t="shared" si="1"/>
        <v>Checked out</v>
      </c>
      <c r="H17" s="39" t="str">
        <f>Inventory!B:B</f>
        <v>CP02</v>
      </c>
      <c r="J17" s="66"/>
    </row>
    <row r="18">
      <c r="A18" s="37"/>
      <c r="E18" s="112"/>
      <c r="F18" s="113"/>
      <c r="H18" s="39" t="str">
        <f>Inventory!B:B</f>
        <v>CP03</v>
      </c>
      <c r="J18" s="66"/>
    </row>
    <row r="19">
      <c r="A19" s="37">
        <v>44727.40373097222</v>
      </c>
      <c r="B19" s="38" t="s">
        <v>79</v>
      </c>
      <c r="C19" s="38" t="s">
        <v>3515</v>
      </c>
      <c r="D19" s="38" t="s">
        <v>80</v>
      </c>
      <c r="E19" s="112">
        <f t="shared" ref="E19:E38" si="3">countif(B:B,B19)</f>
        <v>1</v>
      </c>
      <c r="F19" s="113">
        <f>countif('Check in'!B:B,B19)</f>
        <v>0</v>
      </c>
      <c r="G19" s="39" t="str">
        <f t="shared" ref="G19:G50" si="4">ifs(exact(E19,F19),"Available",F19&gt;E19,"Check item out first",E19&gt;F19,"Checked out")</f>
        <v>Checked out</v>
      </c>
      <c r="H19" s="39" t="str">
        <f>Inventory!B:B</f>
        <v>CP04</v>
      </c>
      <c r="J19" s="66"/>
    </row>
    <row r="20">
      <c r="A20" s="37">
        <v>44727.404369675925</v>
      </c>
      <c r="B20" s="38" t="s">
        <v>73</v>
      </c>
      <c r="C20" s="38" t="s">
        <v>3516</v>
      </c>
      <c r="D20" s="38" t="s">
        <v>74</v>
      </c>
      <c r="E20" s="112">
        <f t="shared" si="3"/>
        <v>1</v>
      </c>
      <c r="F20" s="113">
        <f>countif('Check in'!B:B,B20)</f>
        <v>0</v>
      </c>
      <c r="G20" s="39" t="str">
        <f t="shared" si="4"/>
        <v>Checked out</v>
      </c>
      <c r="H20" s="39" t="str">
        <f>Inventory!B:B</f>
        <v>LDS00</v>
      </c>
      <c r="J20" s="66"/>
    </row>
    <row r="21">
      <c r="A21" s="37">
        <v>44727.40639296296</v>
      </c>
      <c r="B21" s="38" t="s">
        <v>1108</v>
      </c>
      <c r="C21" s="38" t="s">
        <v>3517</v>
      </c>
      <c r="D21" s="38" t="s">
        <v>93</v>
      </c>
      <c r="E21" s="112">
        <f t="shared" si="3"/>
        <v>1</v>
      </c>
      <c r="F21" s="113">
        <f>countif('Check in'!B:B,B21)</f>
        <v>0</v>
      </c>
      <c r="G21" s="39" t="str">
        <f t="shared" si="4"/>
        <v>Checked out</v>
      </c>
      <c r="H21" s="39" t="str">
        <f>Inventory!B:B</f>
        <v>RBP00</v>
      </c>
      <c r="J21" s="66"/>
    </row>
    <row r="22">
      <c r="A22" s="37">
        <v>44727.41612454861</v>
      </c>
      <c r="B22" s="38" t="s">
        <v>123</v>
      </c>
      <c r="C22" s="38" t="s">
        <v>3517</v>
      </c>
      <c r="D22" s="38" t="s">
        <v>97</v>
      </c>
      <c r="E22" s="112">
        <f t="shared" si="3"/>
        <v>1</v>
      </c>
      <c r="F22" s="113">
        <f>countif('Check in'!B:B,B22)</f>
        <v>0</v>
      </c>
      <c r="G22" s="39" t="str">
        <f t="shared" si="4"/>
        <v>Checked out</v>
      </c>
      <c r="H22" s="39" t="str">
        <f>Inventory!B:B</f>
        <v>SML001</v>
      </c>
      <c r="J22" s="66"/>
    </row>
    <row r="23">
      <c r="A23" s="37">
        <v>44727.41692570602</v>
      </c>
      <c r="B23" s="38" t="s">
        <v>107</v>
      </c>
      <c r="C23" s="38" t="s">
        <v>3517</v>
      </c>
      <c r="D23" s="38" t="s">
        <v>2327</v>
      </c>
      <c r="E23" s="112">
        <f t="shared" si="3"/>
        <v>1</v>
      </c>
      <c r="F23" s="113">
        <f>countif('Check in'!B:B,B23)</f>
        <v>0</v>
      </c>
      <c r="G23" s="39" t="str">
        <f t="shared" si="4"/>
        <v>Checked out</v>
      </c>
      <c r="H23" s="39" t="str">
        <f>Inventory!B:B</f>
        <v>SML002</v>
      </c>
      <c r="J23" s="66"/>
    </row>
    <row r="24">
      <c r="A24" s="37">
        <v>44727.42044141203</v>
      </c>
      <c r="B24" s="38" t="s">
        <v>1114</v>
      </c>
      <c r="C24" s="38" t="s">
        <v>3518</v>
      </c>
      <c r="D24" s="38" t="s">
        <v>42</v>
      </c>
      <c r="E24" s="112">
        <f t="shared" si="3"/>
        <v>1</v>
      </c>
      <c r="F24" s="113">
        <f>countif('Check in'!B:B,B24)</f>
        <v>0</v>
      </c>
      <c r="G24" s="39" t="str">
        <f t="shared" si="4"/>
        <v>Checked out</v>
      </c>
      <c r="H24" s="39" t="str">
        <f>Inventory!B:B</f>
        <v>SML003</v>
      </c>
      <c r="J24" s="66"/>
    </row>
    <row r="25">
      <c r="A25" s="37">
        <v>44727.42396079861</v>
      </c>
      <c r="B25" s="38" t="s">
        <v>103</v>
      </c>
      <c r="C25" s="38" t="s">
        <v>3517</v>
      </c>
      <c r="D25" s="38" t="s">
        <v>104</v>
      </c>
      <c r="E25" s="112">
        <f t="shared" si="3"/>
        <v>1</v>
      </c>
      <c r="F25" s="113">
        <f>countif('Check in'!B:B,B25)</f>
        <v>0</v>
      </c>
      <c r="G25" s="39" t="str">
        <f t="shared" si="4"/>
        <v>Checked out</v>
      </c>
      <c r="H25" s="39" t="str">
        <f>Inventory!B:B</f>
        <v>SML004</v>
      </c>
      <c r="J25" s="66"/>
    </row>
    <row r="26">
      <c r="A26" s="37">
        <v>44727.42436606481</v>
      </c>
      <c r="B26" s="38" t="s">
        <v>59</v>
      </c>
      <c r="C26" s="38" t="s">
        <v>3517</v>
      </c>
      <c r="D26" s="38" t="s">
        <v>100</v>
      </c>
      <c r="E26" s="112">
        <f t="shared" si="3"/>
        <v>1</v>
      </c>
      <c r="F26" s="113">
        <f>countif('Check in'!B:B,B26)</f>
        <v>0</v>
      </c>
      <c r="G26" s="39" t="str">
        <f t="shared" si="4"/>
        <v>Checked out</v>
      </c>
      <c r="H26" s="39" t="str">
        <f>Inventory!B:B</f>
        <v>SML 005</v>
      </c>
      <c r="J26" s="66"/>
    </row>
    <row r="27">
      <c r="A27" s="37">
        <v>44727.42493194445</v>
      </c>
      <c r="B27" s="38" t="s">
        <v>119</v>
      </c>
      <c r="C27" s="38" t="s">
        <v>3517</v>
      </c>
      <c r="D27" s="38" t="s">
        <v>1120</v>
      </c>
      <c r="E27" s="112">
        <f t="shared" si="3"/>
        <v>1</v>
      </c>
      <c r="F27" s="113">
        <f>countif('Check in'!B:B,B27)</f>
        <v>0</v>
      </c>
      <c r="G27" s="39" t="str">
        <f t="shared" si="4"/>
        <v>Checked out</v>
      </c>
      <c r="H27" s="39" t="str">
        <f>Inventory!B:B</f>
        <v>PMP001</v>
      </c>
      <c r="J27" s="66"/>
    </row>
    <row r="28">
      <c r="A28" s="37">
        <v>44727.42562589121</v>
      </c>
      <c r="B28" s="38" t="s">
        <v>46</v>
      </c>
      <c r="C28" s="38" t="s">
        <v>3518</v>
      </c>
      <c r="D28" s="38" t="s">
        <v>120</v>
      </c>
      <c r="E28" s="112">
        <f t="shared" si="3"/>
        <v>1</v>
      </c>
      <c r="F28" s="113">
        <f>countif('Check in'!B:B,B28)</f>
        <v>0</v>
      </c>
      <c r="G28" s="39" t="str">
        <f t="shared" si="4"/>
        <v>Checked out</v>
      </c>
      <c r="H28" s="39" t="str">
        <f>Inventory!B:B</f>
        <v>BULB001</v>
      </c>
      <c r="J28" s="66"/>
    </row>
    <row r="29">
      <c r="A29" s="37">
        <v>44727.426075717594</v>
      </c>
      <c r="B29" s="38" t="s">
        <v>64</v>
      </c>
      <c r="C29" s="38" t="s">
        <v>3519</v>
      </c>
      <c r="D29" s="38" t="s">
        <v>3520</v>
      </c>
      <c r="E29" s="112">
        <f t="shared" si="3"/>
        <v>1</v>
      </c>
      <c r="F29" s="113">
        <f>countif('Check in'!B:B,B29)</f>
        <v>0</v>
      </c>
      <c r="G29" s="39" t="str">
        <f t="shared" si="4"/>
        <v>Checked out</v>
      </c>
      <c r="H29" s="111" t="str">
        <f>Inventory!B:B</f>
        <v>Untagged/None</v>
      </c>
      <c r="J29" s="66"/>
    </row>
    <row r="30">
      <c r="A30" s="37">
        <v>44727.42705261574</v>
      </c>
      <c r="B30" s="114" t="s">
        <v>157</v>
      </c>
      <c r="C30" s="38" t="s">
        <v>3521</v>
      </c>
      <c r="D30" s="38" t="s">
        <v>144</v>
      </c>
      <c r="E30" s="112">
        <f t="shared" si="3"/>
        <v>2</v>
      </c>
      <c r="F30" s="115">
        <v>1.0</v>
      </c>
      <c r="G30" s="39" t="str">
        <f t="shared" si="4"/>
        <v>Checked out</v>
      </c>
      <c r="H30" s="111" t="str">
        <f>Inventory!B:B</f>
        <v>Surf -1                
</v>
      </c>
      <c r="J30" s="66"/>
    </row>
    <row r="31">
      <c r="A31" s="37">
        <v>44727.427490856484</v>
      </c>
      <c r="B31" s="116" t="s">
        <v>23</v>
      </c>
      <c r="C31" s="38" t="s">
        <v>3521</v>
      </c>
      <c r="D31" s="38" t="s">
        <v>24</v>
      </c>
      <c r="E31" s="112">
        <f t="shared" si="3"/>
        <v>2</v>
      </c>
      <c r="F31" s="113">
        <f>countif('Check in'!B:B,B31)</f>
        <v>1</v>
      </c>
      <c r="G31" s="39" t="str">
        <f t="shared" si="4"/>
        <v>Checked out</v>
      </c>
      <c r="H31" s="39" t="str">
        <f>Inventory!B:B</f>
        <v>Main</v>
      </c>
      <c r="J31" s="66"/>
    </row>
    <row r="32">
      <c r="A32" s="37">
        <v>44727.42935302084</v>
      </c>
      <c r="B32" s="38" t="s">
        <v>31</v>
      </c>
      <c r="C32" s="38" t="s">
        <v>3519</v>
      </c>
      <c r="D32" s="38" t="s">
        <v>1127</v>
      </c>
      <c r="E32" s="112">
        <f t="shared" si="3"/>
        <v>2</v>
      </c>
      <c r="F32" s="113">
        <f>countif('Check in'!B:B,B32)</f>
        <v>1</v>
      </c>
      <c r="G32" s="39" t="str">
        <f t="shared" si="4"/>
        <v>Checked out</v>
      </c>
      <c r="H32" s="111" t="str">
        <f>Inventory!B:B</f>
        <v>X-trail Phone</v>
      </c>
      <c r="J32" s="66"/>
    </row>
    <row r="33">
      <c r="A33" s="37">
        <v>44727.434932222226</v>
      </c>
      <c r="B33" s="38" t="s">
        <v>84</v>
      </c>
      <c r="C33" s="38" t="s">
        <v>3517</v>
      </c>
      <c r="D33" s="38" t="s">
        <v>85</v>
      </c>
      <c r="E33" s="112">
        <f t="shared" si="3"/>
        <v>1</v>
      </c>
      <c r="F33" s="113">
        <f>countif('Check in'!B:B,B33)</f>
        <v>0</v>
      </c>
      <c r="G33" s="39" t="str">
        <f t="shared" si="4"/>
        <v>Checked out</v>
      </c>
      <c r="H33" s="111" t="str">
        <f>Inventory!B:B</f>
        <v>Truck 36 Phone</v>
      </c>
      <c r="J33" s="66"/>
    </row>
    <row r="34">
      <c r="A34" s="37">
        <v>44727.43601186342</v>
      </c>
      <c r="B34" s="38" t="s">
        <v>3522</v>
      </c>
      <c r="C34" s="38" t="s">
        <v>3517</v>
      </c>
      <c r="D34" s="38" t="s">
        <v>1105</v>
      </c>
      <c r="E34" s="112">
        <f t="shared" si="3"/>
        <v>1</v>
      </c>
      <c r="F34" s="113">
        <f>countif('Check in'!B:B,B34)</f>
        <v>0</v>
      </c>
      <c r="G34" s="39" t="str">
        <f t="shared" si="4"/>
        <v>Checked out</v>
      </c>
      <c r="H34" s="111" t="str">
        <f>Inventory!B:B</f>
        <v>SMS gateway</v>
      </c>
      <c r="J34" s="66"/>
    </row>
    <row r="35">
      <c r="A35" s="37">
        <v>44727.43692497685</v>
      </c>
      <c r="B35" s="114" t="s">
        <v>448</v>
      </c>
      <c r="C35" s="38" t="s">
        <v>3523</v>
      </c>
      <c r="D35" s="38" t="s">
        <v>1125</v>
      </c>
      <c r="E35" s="112">
        <f t="shared" si="3"/>
        <v>2</v>
      </c>
      <c r="F35" s="113">
        <f>countif('Check in'!B:B,B35)</f>
        <v>1</v>
      </c>
      <c r="G35" s="39" t="str">
        <f t="shared" si="4"/>
        <v>Checked out</v>
      </c>
      <c r="H35" s="111" t="str">
        <f>Inventory!B:B</f>
        <v>Dev &amp; Test Phone</v>
      </c>
      <c r="J35" s="66"/>
    </row>
    <row r="36">
      <c r="A36" s="37">
        <v>44727.441278032406</v>
      </c>
      <c r="B36" s="38" t="s">
        <v>1136</v>
      </c>
      <c r="C36" s="38" t="s">
        <v>3524</v>
      </c>
      <c r="D36" s="38" t="s">
        <v>3514</v>
      </c>
      <c r="E36" s="112">
        <f t="shared" si="3"/>
        <v>1</v>
      </c>
      <c r="F36" s="113">
        <f>countif('Check in'!B:B,B36)</f>
        <v>0</v>
      </c>
      <c r="G36" s="39" t="str">
        <f t="shared" si="4"/>
        <v>Checked out</v>
      </c>
      <c r="H36" s="111" t="str">
        <f>Inventory!B:B</f>
        <v>Makebe Field Site 0363</v>
      </c>
      <c r="J36" s="66"/>
    </row>
    <row r="37">
      <c r="A37" s="37">
        <v>44727.445749895836</v>
      </c>
      <c r="B37" s="38" t="s">
        <v>1138</v>
      </c>
      <c r="C37" s="38" t="s">
        <v>3525</v>
      </c>
      <c r="D37" s="38" t="s">
        <v>3514</v>
      </c>
      <c r="E37" s="112">
        <f t="shared" si="3"/>
        <v>1</v>
      </c>
      <c r="F37" s="113">
        <f>countif('Check in'!B:B,B37)</f>
        <v>0</v>
      </c>
      <c r="G37" s="39" t="str">
        <f t="shared" si="4"/>
        <v>Checked out</v>
      </c>
      <c r="H37" s="111" t="str">
        <f>Inventory!B:B</f>
        <v>Survey Phone 0369</v>
      </c>
      <c r="J37" s="66"/>
    </row>
    <row r="38">
      <c r="A38" s="37">
        <v>44727.44642532407</v>
      </c>
      <c r="B38" s="38" t="s">
        <v>1140</v>
      </c>
      <c r="C38" s="38" t="s">
        <v>3526</v>
      </c>
      <c r="D38" s="38" t="s">
        <v>3514</v>
      </c>
      <c r="E38" s="112">
        <f t="shared" si="3"/>
        <v>1</v>
      </c>
      <c r="F38" s="113">
        <f>countif('Check in'!B:B,B38)</f>
        <v>0</v>
      </c>
      <c r="G38" s="39" t="str">
        <f t="shared" si="4"/>
        <v>Checked out</v>
      </c>
      <c r="H38" s="111" t="str">
        <f>Inventory!B:B</f>
        <v>Survey Phone 0370</v>
      </c>
      <c r="J38" s="66"/>
    </row>
    <row r="39">
      <c r="A39" s="37">
        <v>44727.651411921295</v>
      </c>
      <c r="B39" s="38" t="s">
        <v>1088</v>
      </c>
      <c r="C39" s="38" t="s">
        <v>3527</v>
      </c>
      <c r="D39" s="38" t="s">
        <v>120</v>
      </c>
      <c r="E39" s="112">
        <v>2.0</v>
      </c>
      <c r="F39" s="113">
        <f>countif('Check in'!B:B,B39)</f>
        <v>2</v>
      </c>
      <c r="G39" s="39" t="str">
        <f t="shared" si="4"/>
        <v>Available</v>
      </c>
      <c r="H39" s="111" t="str">
        <f>Inventory!B:B</f>
        <v>Pajero</v>
      </c>
      <c r="J39" s="66"/>
    </row>
    <row r="40">
      <c r="A40" s="37">
        <v>44810.61100017361</v>
      </c>
      <c r="B40" s="38" t="s">
        <v>881</v>
      </c>
      <c r="C40" s="38" t="s">
        <v>2333</v>
      </c>
      <c r="D40" s="38" t="s">
        <v>42</v>
      </c>
      <c r="E40" s="112">
        <v>2.0</v>
      </c>
      <c r="F40" s="113">
        <f>countif('Check in'!B:B,B40)</f>
        <v>0</v>
      </c>
      <c r="G40" s="39" t="str">
        <f t="shared" si="4"/>
        <v>Checked out</v>
      </c>
      <c r="H40" s="111" t="str">
        <f>Inventory!B:B</f>
        <v>Surf -2 0373</v>
      </c>
    </row>
    <row r="41">
      <c r="A41" s="37">
        <v>44810.614735034724</v>
      </c>
      <c r="B41" s="38" t="s">
        <v>639</v>
      </c>
      <c r="C41" s="38" t="s">
        <v>3528</v>
      </c>
      <c r="D41" s="38" t="s">
        <v>120</v>
      </c>
      <c r="E41" s="112">
        <v>2.0</v>
      </c>
      <c r="F41" s="113">
        <f>countif('Check in'!B:B,B41)</f>
        <v>0</v>
      </c>
      <c r="G41" s="39" t="str">
        <f t="shared" si="4"/>
        <v>Checked out</v>
      </c>
      <c r="H41" s="111" t="str">
        <f>Inventory!B:B</f>
        <v>Customer Support</v>
      </c>
    </row>
    <row r="42">
      <c r="A42" s="37">
        <v>44810.615020509256</v>
      </c>
      <c r="B42" s="38" t="s">
        <v>881</v>
      </c>
      <c r="C42" s="38" t="s">
        <v>3529</v>
      </c>
      <c r="D42" s="38" t="s">
        <v>1105</v>
      </c>
      <c r="E42" s="112">
        <v>2.0</v>
      </c>
      <c r="F42" s="113">
        <f>countif('Check in'!B:B,B42)</f>
        <v>0</v>
      </c>
      <c r="G42" s="39" t="str">
        <f t="shared" si="4"/>
        <v>Checked out</v>
      </c>
      <c r="H42" s="111" t="str">
        <f>Inventory!B:B</f>
        <v/>
      </c>
    </row>
    <row r="43">
      <c r="A43" s="37">
        <v>44810.615571608796</v>
      </c>
      <c r="B43" s="38" t="s">
        <v>881</v>
      </c>
      <c r="C43" s="38" t="s">
        <v>3530</v>
      </c>
      <c r="D43" s="38" t="s">
        <v>3531</v>
      </c>
      <c r="E43" s="112">
        <v>2.0</v>
      </c>
      <c r="F43" s="113">
        <f>countif('Check in'!B:B,B43)</f>
        <v>0</v>
      </c>
      <c r="G43" s="39" t="str">
        <f t="shared" si="4"/>
        <v>Checked out</v>
      </c>
      <c r="H43" s="111" t="str">
        <f>Inventory!B:B</f>
        <v>Com 01</v>
      </c>
    </row>
    <row r="44">
      <c r="A44" s="37">
        <v>44810.61928890046</v>
      </c>
      <c r="B44" s="38" t="s">
        <v>257</v>
      </c>
      <c r="C44" s="38" t="s">
        <v>213</v>
      </c>
      <c r="D44" s="38" t="s">
        <v>128</v>
      </c>
      <c r="E44" s="112">
        <v>2.0</v>
      </c>
      <c r="F44" s="113">
        <f>countif('Check in'!B:B,B44)</f>
        <v>0</v>
      </c>
      <c r="G44" s="39" t="str">
        <f t="shared" si="4"/>
        <v>Checked out</v>
      </c>
      <c r="H44" s="111" t="str">
        <f>Inventory!B:B</f>
        <v>Com 02</v>
      </c>
    </row>
    <row r="45">
      <c r="A45" s="37">
        <v>44810.61958853009</v>
      </c>
      <c r="B45" s="38" t="s">
        <v>851</v>
      </c>
      <c r="C45" s="38" t="s">
        <v>537</v>
      </c>
      <c r="D45" s="38" t="s">
        <v>128</v>
      </c>
      <c r="E45" s="112">
        <v>2.0</v>
      </c>
      <c r="F45" s="113">
        <f>countif('Check in'!B:B,B45)</f>
        <v>0</v>
      </c>
      <c r="G45" s="39" t="str">
        <f t="shared" si="4"/>
        <v>Checked out</v>
      </c>
      <c r="H45" s="111" t="str">
        <f>Inventory!B:B</f>
        <v>Com 03</v>
      </c>
    </row>
    <row r="46">
      <c r="A46" s="37">
        <v>44810.62180180555</v>
      </c>
      <c r="B46" s="38" t="s">
        <v>246</v>
      </c>
      <c r="C46" s="38" t="s">
        <v>213</v>
      </c>
      <c r="D46" s="38" t="s">
        <v>89</v>
      </c>
      <c r="E46" s="112">
        <v>2.0</v>
      </c>
      <c r="F46" s="113">
        <f>countif('Check in'!B:B,B46)</f>
        <v>0</v>
      </c>
      <c r="G46" s="39" t="str">
        <f t="shared" si="4"/>
        <v>Checked out</v>
      </c>
      <c r="H46" s="111" t="str">
        <f>Inventory!B:B</f>
        <v>Com 04</v>
      </c>
    </row>
    <row r="47">
      <c r="A47" s="37">
        <v>44810.62315054398</v>
      </c>
      <c r="B47" s="38" t="s">
        <v>850</v>
      </c>
      <c r="C47" s="38" t="s">
        <v>537</v>
      </c>
      <c r="D47" s="38" t="s">
        <v>89</v>
      </c>
      <c r="E47" s="112">
        <v>2.0</v>
      </c>
      <c r="F47" s="113">
        <f>countif('Check in'!B:B,B47)</f>
        <v>0</v>
      </c>
      <c r="G47" s="39" t="str">
        <f t="shared" si="4"/>
        <v>Checked out</v>
      </c>
      <c r="H47" s="111" t="str">
        <f>Inventory!B:B</f>
        <v>Com 05</v>
      </c>
    </row>
    <row r="48">
      <c r="A48" s="37">
        <v>44810.62437146991</v>
      </c>
      <c r="B48" s="38" t="s">
        <v>185</v>
      </c>
      <c r="C48" s="38" t="s">
        <v>3532</v>
      </c>
      <c r="D48" s="38" t="s">
        <v>89</v>
      </c>
      <c r="E48" s="112">
        <v>2.0</v>
      </c>
      <c r="F48" s="113">
        <f>countif('Check in'!B:B,B48)</f>
        <v>0</v>
      </c>
      <c r="G48" s="39" t="str">
        <f t="shared" si="4"/>
        <v>Checked out</v>
      </c>
      <c r="H48" s="111" t="str">
        <f>Inventory!B:B</f>
        <v>Com 06</v>
      </c>
    </row>
    <row r="49">
      <c r="A49" s="37">
        <v>44810.6249256713</v>
      </c>
      <c r="B49" s="38" t="s">
        <v>840</v>
      </c>
      <c r="C49" s="38" t="s">
        <v>941</v>
      </c>
      <c r="D49" s="38" t="s">
        <v>89</v>
      </c>
      <c r="E49" s="112">
        <v>2.0</v>
      </c>
      <c r="F49" s="113">
        <f>countif('Check in'!B:B,B49)</f>
        <v>0</v>
      </c>
      <c r="G49" s="39" t="str">
        <f t="shared" si="4"/>
        <v>Checked out</v>
      </c>
      <c r="H49" s="111" t="str">
        <f>Inventory!B:B</f>
        <v>Com 07</v>
      </c>
    </row>
    <row r="50">
      <c r="A50" s="37">
        <v>44812.5898434375</v>
      </c>
      <c r="B50" s="38" t="s">
        <v>881</v>
      </c>
      <c r="C50" s="38" t="s">
        <v>3530</v>
      </c>
      <c r="D50" s="38" t="s">
        <v>2645</v>
      </c>
      <c r="E50" s="112">
        <v>2.0</v>
      </c>
      <c r="F50" s="113">
        <f>countif('Check in'!B:B,B50)</f>
        <v>0</v>
      </c>
      <c r="G50" s="39" t="str">
        <f t="shared" si="4"/>
        <v>Checked out</v>
      </c>
    </row>
    <row r="52">
      <c r="B52" s="31" t="s">
        <v>882</v>
      </c>
      <c r="C52" s="38" t="s">
        <v>883</v>
      </c>
      <c r="E52" s="112">
        <f t="shared" ref="E52:E107" si="5">countif(B:B,B52)</f>
        <v>1</v>
      </c>
      <c r="F52" s="113">
        <f>countif('Check in'!B:B,B52)</f>
        <v>1</v>
      </c>
      <c r="G52" s="39" t="str">
        <f t="shared" ref="G52:G107" si="6">ifs(exact(E52,F52),"Available",F52&gt;E52,"Check item out first",E52&gt;F52,"Checked out")</f>
        <v>Available</v>
      </c>
      <c r="J52" s="66"/>
    </row>
    <row r="53">
      <c r="B53" s="46" t="s">
        <v>887</v>
      </c>
      <c r="C53" s="38" t="s">
        <v>883</v>
      </c>
      <c r="E53" s="112">
        <f t="shared" si="5"/>
        <v>1</v>
      </c>
      <c r="F53" s="113">
        <f>countif('Check in'!B:B,B53)</f>
        <v>1</v>
      </c>
      <c r="G53" s="39" t="str">
        <f t="shared" si="6"/>
        <v>Available</v>
      </c>
      <c r="J53" s="66"/>
    </row>
    <row r="54">
      <c r="B54" s="46" t="s">
        <v>890</v>
      </c>
      <c r="C54" s="38" t="s">
        <v>883</v>
      </c>
      <c r="E54" s="112">
        <f t="shared" si="5"/>
        <v>1</v>
      </c>
      <c r="F54" s="113">
        <f>countif('Check in'!B:B,B54)</f>
        <v>1</v>
      </c>
      <c r="G54" s="39" t="str">
        <f t="shared" si="6"/>
        <v>Available</v>
      </c>
      <c r="J54" s="66"/>
    </row>
    <row r="55">
      <c r="B55" s="46" t="s">
        <v>891</v>
      </c>
      <c r="C55" s="38" t="s">
        <v>883</v>
      </c>
      <c r="E55" s="112">
        <f t="shared" si="5"/>
        <v>1</v>
      </c>
      <c r="F55" s="113">
        <f>countif('Check in'!B:B,B55)</f>
        <v>2</v>
      </c>
      <c r="G55" s="39" t="str">
        <f t="shared" si="6"/>
        <v>Check item out first</v>
      </c>
      <c r="J55" s="66"/>
    </row>
    <row r="56">
      <c r="B56" s="46" t="s">
        <v>895</v>
      </c>
      <c r="C56" s="38" t="s">
        <v>883</v>
      </c>
      <c r="E56" s="112">
        <f t="shared" si="5"/>
        <v>1</v>
      </c>
      <c r="F56" s="113">
        <f>countif('Check in'!B:B,B56)</f>
        <v>2</v>
      </c>
      <c r="G56" s="39" t="str">
        <f t="shared" si="6"/>
        <v>Check item out first</v>
      </c>
      <c r="J56" s="66"/>
    </row>
    <row r="57">
      <c r="B57" s="46" t="s">
        <v>897</v>
      </c>
      <c r="C57" s="38" t="s">
        <v>883</v>
      </c>
      <c r="D57" s="38" t="s">
        <v>95</v>
      </c>
      <c r="E57" s="112">
        <f t="shared" si="5"/>
        <v>1</v>
      </c>
      <c r="F57" s="113">
        <f>countif('Check in'!B:B,B57)</f>
        <v>1</v>
      </c>
      <c r="G57" s="39" t="str">
        <f t="shared" si="6"/>
        <v>Available</v>
      </c>
      <c r="J57" s="66"/>
    </row>
    <row r="58">
      <c r="B58" s="46" t="s">
        <v>898</v>
      </c>
      <c r="C58" s="38" t="s">
        <v>883</v>
      </c>
      <c r="E58" s="112">
        <f t="shared" si="5"/>
        <v>1</v>
      </c>
      <c r="F58" s="113">
        <f>countif('Check in'!B:B,B58)</f>
        <v>1</v>
      </c>
      <c r="G58" s="39" t="str">
        <f t="shared" si="6"/>
        <v>Available</v>
      </c>
      <c r="J58" s="66"/>
    </row>
    <row r="59">
      <c r="B59" s="46" t="s">
        <v>901</v>
      </c>
      <c r="C59" s="38" t="s">
        <v>883</v>
      </c>
      <c r="E59" s="112">
        <f t="shared" si="5"/>
        <v>1</v>
      </c>
      <c r="F59" s="113">
        <f>countif('Check in'!B:B,B59)</f>
        <v>1</v>
      </c>
      <c r="G59" s="39" t="str">
        <f t="shared" si="6"/>
        <v>Available</v>
      </c>
      <c r="J59" s="66"/>
    </row>
    <row r="60">
      <c r="B60" s="46" t="s">
        <v>903</v>
      </c>
      <c r="C60" s="38" t="s">
        <v>883</v>
      </c>
      <c r="E60" s="112">
        <f t="shared" si="5"/>
        <v>1</v>
      </c>
      <c r="F60" s="113">
        <f>countif('Check in'!B:B,B60)</f>
        <v>2</v>
      </c>
      <c r="G60" s="39" t="str">
        <f t="shared" si="6"/>
        <v>Check item out first</v>
      </c>
      <c r="J60" s="66"/>
    </row>
    <row r="61">
      <c r="B61" s="46" t="s">
        <v>905</v>
      </c>
      <c r="C61" s="38" t="s">
        <v>883</v>
      </c>
      <c r="E61" s="112">
        <f t="shared" si="5"/>
        <v>1</v>
      </c>
      <c r="F61" s="113">
        <f>countif('Check in'!B:B,B61)</f>
        <v>1</v>
      </c>
      <c r="G61" s="39" t="str">
        <f t="shared" si="6"/>
        <v>Available</v>
      </c>
      <c r="J61" s="66"/>
    </row>
    <row r="62">
      <c r="B62" s="46" t="s">
        <v>907</v>
      </c>
      <c r="C62" s="38" t="s">
        <v>883</v>
      </c>
      <c r="E62" s="112">
        <f t="shared" si="5"/>
        <v>1</v>
      </c>
      <c r="F62" s="113">
        <f>countif('Check in'!B:B,B62)</f>
        <v>1</v>
      </c>
      <c r="G62" s="39" t="str">
        <f t="shared" si="6"/>
        <v>Available</v>
      </c>
      <c r="J62" s="66"/>
    </row>
    <row r="63">
      <c r="B63" s="46" t="s">
        <v>923</v>
      </c>
      <c r="C63" s="38" t="s">
        <v>3533</v>
      </c>
      <c r="D63" s="38" t="s">
        <v>3508</v>
      </c>
      <c r="E63" s="112">
        <f t="shared" si="5"/>
        <v>1</v>
      </c>
      <c r="F63" s="113">
        <f>countif('Check in'!B:B,B63)</f>
        <v>0</v>
      </c>
      <c r="G63" s="39" t="str">
        <f t="shared" si="6"/>
        <v>Checked out</v>
      </c>
      <c r="J63" s="66"/>
    </row>
    <row r="64">
      <c r="B64" s="46" t="s">
        <v>927</v>
      </c>
      <c r="C64" s="38" t="s">
        <v>3533</v>
      </c>
      <c r="D64" s="38" t="s">
        <v>3508</v>
      </c>
      <c r="E64" s="112">
        <f t="shared" si="5"/>
        <v>1</v>
      </c>
      <c r="F64" s="113">
        <f>countif('Check in'!B:B,B64)</f>
        <v>0</v>
      </c>
      <c r="G64" s="39" t="str">
        <f t="shared" si="6"/>
        <v>Checked out</v>
      </c>
      <c r="J64" s="66"/>
    </row>
    <row r="65">
      <c r="B65" s="46" t="s">
        <v>930</v>
      </c>
      <c r="C65" s="38" t="s">
        <v>3533</v>
      </c>
      <c r="D65" s="38" t="s">
        <v>3508</v>
      </c>
      <c r="E65" s="112">
        <f t="shared" si="5"/>
        <v>1</v>
      </c>
      <c r="F65" s="113">
        <f>countif('Check in'!B:B,B65)</f>
        <v>0</v>
      </c>
      <c r="G65" s="39" t="str">
        <f t="shared" si="6"/>
        <v>Checked out</v>
      </c>
      <c r="J65" s="66"/>
    </row>
    <row r="66">
      <c r="B66" s="46" t="s">
        <v>933</v>
      </c>
      <c r="C66" s="38" t="s">
        <v>3533</v>
      </c>
      <c r="D66" s="38" t="s">
        <v>3508</v>
      </c>
      <c r="E66" s="112">
        <f t="shared" si="5"/>
        <v>1</v>
      </c>
      <c r="F66" s="113">
        <f>countif('Check in'!B:B,B66)</f>
        <v>0</v>
      </c>
      <c r="G66" s="39" t="str">
        <f t="shared" si="6"/>
        <v>Checked out</v>
      </c>
      <c r="J66" s="66"/>
    </row>
    <row r="67">
      <c r="B67" s="46" t="s">
        <v>936</v>
      </c>
      <c r="C67" s="38" t="s">
        <v>3533</v>
      </c>
      <c r="D67" s="38" t="s">
        <v>3508</v>
      </c>
      <c r="E67" s="112">
        <f t="shared" si="5"/>
        <v>1</v>
      </c>
      <c r="F67" s="113">
        <f>countif('Check in'!B:B,B67)</f>
        <v>0</v>
      </c>
      <c r="G67" s="39" t="str">
        <f t="shared" si="6"/>
        <v>Checked out</v>
      </c>
      <c r="J67" s="66"/>
    </row>
    <row r="68">
      <c r="B68" s="46" t="s">
        <v>939</v>
      </c>
      <c r="C68" s="38" t="s">
        <v>3533</v>
      </c>
      <c r="D68" s="38" t="s">
        <v>3508</v>
      </c>
      <c r="E68" s="112">
        <f t="shared" si="5"/>
        <v>1</v>
      </c>
      <c r="F68" s="113">
        <f>countif('Check in'!B:B,B68)</f>
        <v>0</v>
      </c>
      <c r="G68" s="39" t="str">
        <f t="shared" si="6"/>
        <v>Checked out</v>
      </c>
      <c r="J68" s="66"/>
    </row>
    <row r="69">
      <c r="B69" s="46" t="s">
        <v>942</v>
      </c>
      <c r="C69" s="38" t="s">
        <v>3533</v>
      </c>
      <c r="D69" s="38" t="s">
        <v>3508</v>
      </c>
      <c r="E69" s="112">
        <f t="shared" si="5"/>
        <v>1</v>
      </c>
      <c r="F69" s="113">
        <f>countif('Check in'!B:B,B69)</f>
        <v>0</v>
      </c>
      <c r="G69" s="39" t="str">
        <f t="shared" si="6"/>
        <v>Checked out</v>
      </c>
      <c r="J69" s="66"/>
    </row>
    <row r="70">
      <c r="B70" s="46" t="s">
        <v>943</v>
      </c>
      <c r="C70" s="38" t="s">
        <v>3533</v>
      </c>
      <c r="D70" s="38" t="s">
        <v>3508</v>
      </c>
      <c r="E70" s="112">
        <f t="shared" si="5"/>
        <v>1</v>
      </c>
      <c r="F70" s="113">
        <f>countif('Check in'!B:B,B70)</f>
        <v>0</v>
      </c>
      <c r="G70" s="39" t="str">
        <f t="shared" si="6"/>
        <v>Checked out</v>
      </c>
      <c r="J70" s="66"/>
    </row>
    <row r="71">
      <c r="B71" s="46" t="s">
        <v>946</v>
      </c>
      <c r="C71" s="38" t="s">
        <v>3533</v>
      </c>
      <c r="D71" s="38" t="s">
        <v>3508</v>
      </c>
      <c r="E71" s="112">
        <f t="shared" si="5"/>
        <v>1</v>
      </c>
      <c r="F71" s="113">
        <f>countif('Check in'!B:B,B71)</f>
        <v>0</v>
      </c>
      <c r="G71" s="39" t="str">
        <f t="shared" si="6"/>
        <v>Checked out</v>
      </c>
      <c r="J71" s="66"/>
    </row>
    <row r="72">
      <c r="B72" s="46" t="s">
        <v>949</v>
      </c>
      <c r="C72" s="38" t="s">
        <v>3533</v>
      </c>
      <c r="D72" s="38" t="s">
        <v>3508</v>
      </c>
      <c r="E72" s="112">
        <f t="shared" si="5"/>
        <v>1</v>
      </c>
      <c r="F72" s="113">
        <f>countif('Check in'!B:B,B72)</f>
        <v>0</v>
      </c>
      <c r="G72" s="39" t="str">
        <f t="shared" si="6"/>
        <v>Checked out</v>
      </c>
      <c r="J72" s="66"/>
    </row>
    <row r="73">
      <c r="B73" s="46" t="s">
        <v>952</v>
      </c>
      <c r="C73" s="38" t="s">
        <v>3533</v>
      </c>
      <c r="D73" s="38" t="s">
        <v>3508</v>
      </c>
      <c r="E73" s="112">
        <f t="shared" si="5"/>
        <v>1</v>
      </c>
      <c r="F73" s="113">
        <f>countif('Check in'!B:B,B73)</f>
        <v>0</v>
      </c>
      <c r="G73" s="39" t="str">
        <f t="shared" si="6"/>
        <v>Checked out</v>
      </c>
      <c r="J73" s="66"/>
    </row>
    <row r="74">
      <c r="B74" s="46" t="s">
        <v>955</v>
      </c>
      <c r="C74" s="38" t="s">
        <v>3533</v>
      </c>
      <c r="D74" s="38" t="s">
        <v>3508</v>
      </c>
      <c r="E74" s="112">
        <f t="shared" si="5"/>
        <v>1</v>
      </c>
      <c r="F74" s="113">
        <f>countif('Check in'!B:B,B74)</f>
        <v>0</v>
      </c>
      <c r="G74" s="39" t="str">
        <f t="shared" si="6"/>
        <v>Checked out</v>
      </c>
      <c r="J74" s="66"/>
    </row>
    <row r="75">
      <c r="B75" s="46" t="s">
        <v>958</v>
      </c>
      <c r="C75" s="38" t="s">
        <v>3533</v>
      </c>
      <c r="D75" s="38" t="s">
        <v>3508</v>
      </c>
      <c r="E75" s="112">
        <f t="shared" si="5"/>
        <v>1</v>
      </c>
      <c r="F75" s="113">
        <f>countif('Check in'!B:B,B75)</f>
        <v>0</v>
      </c>
      <c r="G75" s="39" t="str">
        <f t="shared" si="6"/>
        <v>Checked out</v>
      </c>
      <c r="J75" s="66"/>
    </row>
    <row r="76">
      <c r="B76" s="46" t="s">
        <v>961</v>
      </c>
      <c r="C76" s="38" t="s">
        <v>3533</v>
      </c>
      <c r="D76" s="38" t="s">
        <v>3508</v>
      </c>
      <c r="E76" s="112">
        <f t="shared" si="5"/>
        <v>1</v>
      </c>
      <c r="F76" s="113">
        <f>countif('Check in'!B:B,B76)</f>
        <v>0</v>
      </c>
      <c r="G76" s="39" t="str">
        <f t="shared" si="6"/>
        <v>Checked out</v>
      </c>
      <c r="J76" s="66"/>
    </row>
    <row r="77">
      <c r="B77" s="46" t="s">
        <v>967</v>
      </c>
      <c r="C77" s="38" t="s">
        <v>3533</v>
      </c>
      <c r="D77" s="38" t="s">
        <v>3508</v>
      </c>
      <c r="E77" s="112">
        <f t="shared" si="5"/>
        <v>1</v>
      </c>
      <c r="F77" s="113">
        <f>countif('Check in'!B:B,B77)</f>
        <v>0</v>
      </c>
      <c r="G77" s="39" t="str">
        <f t="shared" si="6"/>
        <v>Checked out</v>
      </c>
      <c r="J77" s="66"/>
    </row>
    <row r="78">
      <c r="B78" s="46" t="s">
        <v>970</v>
      </c>
      <c r="C78" s="38" t="s">
        <v>3533</v>
      </c>
      <c r="D78" s="38" t="s">
        <v>3508</v>
      </c>
      <c r="E78" s="112">
        <f t="shared" si="5"/>
        <v>1</v>
      </c>
      <c r="F78" s="113">
        <f>countif('Check in'!B:B,B78)</f>
        <v>0</v>
      </c>
      <c r="G78" s="39" t="str">
        <f t="shared" si="6"/>
        <v>Checked out</v>
      </c>
      <c r="J78" s="66"/>
    </row>
    <row r="79">
      <c r="B79" s="46" t="s">
        <v>973</v>
      </c>
      <c r="C79" s="38" t="s">
        <v>3533</v>
      </c>
      <c r="D79" s="38" t="s">
        <v>3508</v>
      </c>
      <c r="E79" s="112">
        <f t="shared" si="5"/>
        <v>1</v>
      </c>
      <c r="F79" s="113">
        <f>countif('Check in'!B:B,B79)</f>
        <v>0</v>
      </c>
      <c r="G79" s="39" t="str">
        <f t="shared" si="6"/>
        <v>Checked out</v>
      </c>
      <c r="J79" s="66"/>
    </row>
    <row r="80">
      <c r="B80" s="46" t="s">
        <v>976</v>
      </c>
      <c r="C80" s="38" t="s">
        <v>3533</v>
      </c>
      <c r="D80" s="38" t="s">
        <v>3508</v>
      </c>
      <c r="E80" s="112">
        <f t="shared" si="5"/>
        <v>1</v>
      </c>
      <c r="F80" s="113">
        <f>countif('Check in'!B:B,B80)</f>
        <v>0</v>
      </c>
      <c r="G80" s="39" t="str">
        <f t="shared" si="6"/>
        <v>Checked out</v>
      </c>
      <c r="J80" s="66"/>
    </row>
    <row r="81">
      <c r="B81" s="46" t="s">
        <v>979</v>
      </c>
      <c r="C81" s="38" t="s">
        <v>3533</v>
      </c>
      <c r="D81" s="38" t="s">
        <v>3508</v>
      </c>
      <c r="E81" s="112">
        <f t="shared" si="5"/>
        <v>1</v>
      </c>
      <c r="F81" s="113">
        <f>countif('Check in'!B:B,B81)</f>
        <v>0</v>
      </c>
      <c r="G81" s="39" t="str">
        <f t="shared" si="6"/>
        <v>Checked out</v>
      </c>
      <c r="J81" s="66"/>
    </row>
    <row r="82">
      <c r="B82" s="46" t="s">
        <v>982</v>
      </c>
      <c r="C82" s="38" t="s">
        <v>3533</v>
      </c>
      <c r="D82" s="38" t="s">
        <v>3508</v>
      </c>
      <c r="E82" s="112">
        <f t="shared" si="5"/>
        <v>1</v>
      </c>
      <c r="F82" s="113">
        <f>countif('Check in'!B:B,B82)</f>
        <v>0</v>
      </c>
      <c r="G82" s="39" t="str">
        <f t="shared" si="6"/>
        <v>Checked out</v>
      </c>
      <c r="J82" s="66"/>
    </row>
    <row r="83">
      <c r="B83" s="46" t="s">
        <v>985</v>
      </c>
      <c r="C83" s="38" t="s">
        <v>3533</v>
      </c>
      <c r="D83" s="38" t="s">
        <v>3508</v>
      </c>
      <c r="E83" s="112">
        <f t="shared" si="5"/>
        <v>1</v>
      </c>
      <c r="F83" s="113">
        <f>countif('Check in'!B:B,B83)</f>
        <v>1</v>
      </c>
      <c r="G83" s="39" t="str">
        <f t="shared" si="6"/>
        <v>Available</v>
      </c>
      <c r="J83" s="66"/>
    </row>
    <row r="84">
      <c r="B84" s="46" t="s">
        <v>988</v>
      </c>
      <c r="C84" s="38" t="s">
        <v>3533</v>
      </c>
      <c r="D84" s="38" t="s">
        <v>3508</v>
      </c>
      <c r="E84" s="112">
        <f t="shared" si="5"/>
        <v>1</v>
      </c>
      <c r="F84" s="113">
        <f>countif('Check in'!B:B,B84)</f>
        <v>0</v>
      </c>
      <c r="G84" s="39" t="str">
        <f t="shared" si="6"/>
        <v>Checked out</v>
      </c>
      <c r="J84" s="66"/>
    </row>
    <row r="85">
      <c r="B85" s="46" t="s">
        <v>993</v>
      </c>
      <c r="C85" s="38" t="s">
        <v>3533</v>
      </c>
      <c r="D85" s="38" t="s">
        <v>3508</v>
      </c>
      <c r="E85" s="112">
        <f t="shared" si="5"/>
        <v>1</v>
      </c>
      <c r="F85" s="113">
        <f>countif('Check in'!B:B,B85)</f>
        <v>0</v>
      </c>
      <c r="G85" s="39" t="str">
        <f t="shared" si="6"/>
        <v>Checked out</v>
      </c>
      <c r="J85" s="66"/>
    </row>
    <row r="86">
      <c r="B86" s="46" t="s">
        <v>996</v>
      </c>
      <c r="C86" s="38" t="s">
        <v>3533</v>
      </c>
      <c r="D86" s="38" t="s">
        <v>3508</v>
      </c>
      <c r="E86" s="112">
        <f t="shared" si="5"/>
        <v>1</v>
      </c>
      <c r="F86" s="113">
        <f>countif('Check in'!B:B,B86)</f>
        <v>0</v>
      </c>
      <c r="G86" s="39" t="str">
        <f t="shared" si="6"/>
        <v>Checked out</v>
      </c>
      <c r="J86" s="66"/>
    </row>
    <row r="87">
      <c r="B87" s="46" t="s">
        <v>999</v>
      </c>
      <c r="C87" s="38" t="s">
        <v>3533</v>
      </c>
      <c r="D87" s="38" t="s">
        <v>3508</v>
      </c>
      <c r="E87" s="112">
        <f t="shared" si="5"/>
        <v>1</v>
      </c>
      <c r="F87" s="113">
        <f>countif('Check in'!B:B,B87)</f>
        <v>0</v>
      </c>
      <c r="G87" s="39" t="str">
        <f t="shared" si="6"/>
        <v>Checked out</v>
      </c>
      <c r="J87" s="66"/>
    </row>
    <row r="88">
      <c r="B88" s="46" t="s">
        <v>1005</v>
      </c>
      <c r="C88" s="38" t="s">
        <v>3533</v>
      </c>
      <c r="D88" s="38" t="s">
        <v>3508</v>
      </c>
      <c r="E88" s="112">
        <f t="shared" si="5"/>
        <v>1</v>
      </c>
      <c r="F88" s="113">
        <f>countif('Check in'!B:B,B88)</f>
        <v>0</v>
      </c>
      <c r="G88" s="39" t="str">
        <f t="shared" si="6"/>
        <v>Checked out</v>
      </c>
      <c r="J88" s="66"/>
    </row>
    <row r="89">
      <c r="B89" s="46" t="s">
        <v>1007</v>
      </c>
      <c r="C89" s="38" t="s">
        <v>3533</v>
      </c>
      <c r="D89" s="38" t="s">
        <v>3508</v>
      </c>
      <c r="E89" s="112">
        <f t="shared" si="5"/>
        <v>1</v>
      </c>
      <c r="F89" s="113">
        <f>countif('Check in'!B:B,B89)</f>
        <v>0</v>
      </c>
      <c r="G89" s="39" t="str">
        <f t="shared" si="6"/>
        <v>Checked out</v>
      </c>
      <c r="J89" s="66"/>
    </row>
    <row r="90">
      <c r="B90" s="46" t="s">
        <v>1010</v>
      </c>
      <c r="C90" s="38" t="s">
        <v>3533</v>
      </c>
      <c r="D90" s="38" t="s">
        <v>3508</v>
      </c>
      <c r="E90" s="112">
        <f t="shared" si="5"/>
        <v>1</v>
      </c>
      <c r="F90" s="113">
        <f>countif('Check in'!B:B,B90)</f>
        <v>0</v>
      </c>
      <c r="G90" s="39" t="str">
        <f t="shared" si="6"/>
        <v>Checked out</v>
      </c>
      <c r="J90" s="66"/>
    </row>
    <row r="91">
      <c r="B91" s="46" t="s">
        <v>1012</v>
      </c>
      <c r="C91" s="38" t="s">
        <v>3533</v>
      </c>
      <c r="D91" s="38" t="s">
        <v>3508</v>
      </c>
      <c r="E91" s="112">
        <f t="shared" si="5"/>
        <v>1</v>
      </c>
      <c r="F91" s="113">
        <f>countif('Check in'!B:B,B91)</f>
        <v>0</v>
      </c>
      <c r="G91" s="39" t="str">
        <f t="shared" si="6"/>
        <v>Checked out</v>
      </c>
      <c r="J91" s="66"/>
    </row>
    <row r="92">
      <c r="B92" s="46" t="s">
        <v>1015</v>
      </c>
      <c r="C92" s="38" t="s">
        <v>3533</v>
      </c>
      <c r="D92" s="38" t="s">
        <v>3508</v>
      </c>
      <c r="E92" s="112">
        <f t="shared" si="5"/>
        <v>1</v>
      </c>
      <c r="F92" s="113">
        <f>countif('Check in'!B:B,B92)</f>
        <v>0</v>
      </c>
      <c r="G92" s="39" t="str">
        <f t="shared" si="6"/>
        <v>Checked out</v>
      </c>
      <c r="J92" s="66"/>
    </row>
    <row r="93">
      <c r="B93" s="46" t="s">
        <v>1017</v>
      </c>
      <c r="C93" s="38" t="s">
        <v>3533</v>
      </c>
      <c r="D93" s="38" t="s">
        <v>3508</v>
      </c>
      <c r="E93" s="112">
        <f t="shared" si="5"/>
        <v>1</v>
      </c>
      <c r="F93" s="113">
        <f>countif('Check in'!B:B,B93)</f>
        <v>0</v>
      </c>
      <c r="G93" s="39" t="str">
        <f t="shared" si="6"/>
        <v>Checked out</v>
      </c>
      <c r="J93" s="66"/>
    </row>
    <row r="94">
      <c r="B94" s="46" t="s">
        <v>1020</v>
      </c>
      <c r="C94" s="38" t="s">
        <v>3533</v>
      </c>
      <c r="D94" s="38" t="s">
        <v>3508</v>
      </c>
      <c r="E94" s="112">
        <f t="shared" si="5"/>
        <v>1</v>
      </c>
      <c r="F94" s="113">
        <f>countif('Check in'!B:B,B94)</f>
        <v>0</v>
      </c>
      <c r="G94" s="39" t="str">
        <f t="shared" si="6"/>
        <v>Checked out</v>
      </c>
      <c r="J94" s="66"/>
    </row>
    <row r="95">
      <c r="B95" s="46" t="s">
        <v>1022</v>
      </c>
      <c r="C95" s="38" t="s">
        <v>3533</v>
      </c>
      <c r="D95" s="38" t="s">
        <v>3508</v>
      </c>
      <c r="E95" s="112">
        <f t="shared" si="5"/>
        <v>1</v>
      </c>
      <c r="F95" s="113">
        <f>countif('Check in'!B:B,B95)</f>
        <v>0</v>
      </c>
      <c r="G95" s="39" t="str">
        <f t="shared" si="6"/>
        <v>Checked out</v>
      </c>
      <c r="J95" s="66"/>
    </row>
    <row r="96">
      <c r="B96" s="46" t="s">
        <v>1025</v>
      </c>
      <c r="C96" s="38" t="s">
        <v>3533</v>
      </c>
      <c r="D96" s="38" t="s">
        <v>3508</v>
      </c>
      <c r="E96" s="112">
        <f t="shared" si="5"/>
        <v>1</v>
      </c>
      <c r="F96" s="113">
        <f>countif('Check in'!B:B,B96)</f>
        <v>0</v>
      </c>
      <c r="G96" s="39" t="str">
        <f t="shared" si="6"/>
        <v>Checked out</v>
      </c>
      <c r="J96" s="66"/>
    </row>
    <row r="97">
      <c r="B97" s="46" t="s">
        <v>1028</v>
      </c>
      <c r="C97" s="38" t="s">
        <v>3533</v>
      </c>
      <c r="D97" s="38" t="s">
        <v>3508</v>
      </c>
      <c r="E97" s="112">
        <f t="shared" si="5"/>
        <v>1</v>
      </c>
      <c r="F97" s="113">
        <f>countif('Check in'!B:B,B97)</f>
        <v>0</v>
      </c>
      <c r="G97" s="39" t="str">
        <f t="shared" si="6"/>
        <v>Checked out</v>
      </c>
      <c r="J97" s="66"/>
    </row>
    <row r="98">
      <c r="B98" s="46" t="s">
        <v>1030</v>
      </c>
      <c r="C98" s="38" t="s">
        <v>3533</v>
      </c>
      <c r="D98" s="38" t="s">
        <v>3508</v>
      </c>
      <c r="E98" s="112">
        <f t="shared" si="5"/>
        <v>1</v>
      </c>
      <c r="F98" s="113">
        <f>countif('Check in'!B:B,B98)</f>
        <v>0</v>
      </c>
      <c r="G98" s="39" t="str">
        <f t="shared" si="6"/>
        <v>Checked out</v>
      </c>
      <c r="J98" s="66"/>
    </row>
    <row r="99">
      <c r="B99" s="46" t="s">
        <v>1033</v>
      </c>
      <c r="C99" s="38" t="s">
        <v>3533</v>
      </c>
      <c r="D99" s="38" t="s">
        <v>3508</v>
      </c>
      <c r="E99" s="112">
        <f t="shared" si="5"/>
        <v>1</v>
      </c>
      <c r="F99" s="113">
        <f>countif('Check in'!B:B,B99)</f>
        <v>0</v>
      </c>
      <c r="G99" s="39" t="str">
        <f t="shared" si="6"/>
        <v>Checked out</v>
      </c>
      <c r="J99" s="66"/>
    </row>
    <row r="100">
      <c r="B100" s="46" t="s">
        <v>1036</v>
      </c>
      <c r="C100" s="38" t="s">
        <v>3533</v>
      </c>
      <c r="D100" s="38" t="s">
        <v>3508</v>
      </c>
      <c r="E100" s="112">
        <f t="shared" si="5"/>
        <v>1</v>
      </c>
      <c r="F100" s="113">
        <f>countif('Check in'!B:B,B100)</f>
        <v>0</v>
      </c>
      <c r="G100" s="39" t="str">
        <f t="shared" si="6"/>
        <v>Checked out</v>
      </c>
      <c r="J100" s="66"/>
    </row>
    <row r="101">
      <c r="B101" s="46" t="s">
        <v>1039</v>
      </c>
      <c r="C101" s="38" t="s">
        <v>3533</v>
      </c>
      <c r="D101" s="38" t="s">
        <v>3508</v>
      </c>
      <c r="E101" s="112">
        <f t="shared" si="5"/>
        <v>1</v>
      </c>
      <c r="F101" s="113">
        <f>countif('Check in'!B:B,B101)</f>
        <v>0</v>
      </c>
      <c r="G101" s="39" t="str">
        <f t="shared" si="6"/>
        <v>Checked out</v>
      </c>
      <c r="J101" s="66"/>
    </row>
    <row r="102">
      <c r="B102" s="46" t="s">
        <v>1042</v>
      </c>
      <c r="C102" s="38" t="s">
        <v>3533</v>
      </c>
      <c r="D102" s="38" t="s">
        <v>3508</v>
      </c>
      <c r="E102" s="112">
        <f t="shared" si="5"/>
        <v>1</v>
      </c>
      <c r="F102" s="113">
        <f>countif('Check in'!B:B,B102)</f>
        <v>0</v>
      </c>
      <c r="G102" s="39" t="str">
        <f t="shared" si="6"/>
        <v>Checked out</v>
      </c>
      <c r="J102" s="66"/>
    </row>
    <row r="103">
      <c r="B103" s="51" t="s">
        <v>1048</v>
      </c>
      <c r="E103" s="112">
        <f t="shared" si="5"/>
        <v>1</v>
      </c>
      <c r="F103" s="113">
        <f>countif('Check in'!B:B,B103)</f>
        <v>1</v>
      </c>
      <c r="G103" s="39" t="str">
        <f t="shared" si="6"/>
        <v>Available</v>
      </c>
      <c r="J103" s="66"/>
    </row>
    <row r="104">
      <c r="B104" s="46" t="s">
        <v>249</v>
      </c>
      <c r="E104" s="112">
        <f t="shared" si="5"/>
        <v>1</v>
      </c>
      <c r="F104" s="113">
        <f>countif('Check in'!B:B,B104)</f>
        <v>1</v>
      </c>
      <c r="G104" s="39" t="str">
        <f t="shared" si="6"/>
        <v>Available</v>
      </c>
      <c r="J104" s="66"/>
    </row>
    <row r="105">
      <c r="B105" s="46" t="s">
        <v>1056</v>
      </c>
      <c r="E105" s="112">
        <f t="shared" si="5"/>
        <v>1</v>
      </c>
      <c r="F105" s="113">
        <f>countif('Check in'!B:B,B105)</f>
        <v>1</v>
      </c>
      <c r="G105" s="39" t="str">
        <f t="shared" si="6"/>
        <v>Available</v>
      </c>
      <c r="J105" s="66"/>
    </row>
    <row r="106">
      <c r="B106" s="46" t="s">
        <v>1057</v>
      </c>
      <c r="E106" s="112">
        <f t="shared" si="5"/>
        <v>1</v>
      </c>
      <c r="F106" s="113">
        <f>countif('Check in'!B:B,B106)</f>
        <v>1</v>
      </c>
      <c r="G106" s="39" t="str">
        <f t="shared" si="6"/>
        <v>Available</v>
      </c>
      <c r="J106" s="66"/>
    </row>
    <row r="107">
      <c r="B107" s="46" t="s">
        <v>1059</v>
      </c>
      <c r="E107" s="112">
        <f t="shared" si="5"/>
        <v>1</v>
      </c>
      <c r="F107" s="113">
        <f>countif('Check in'!B:B,B107)</f>
        <v>0</v>
      </c>
      <c r="G107" s="39" t="str">
        <f t="shared" si="6"/>
        <v>Checked out</v>
      </c>
      <c r="J107" s="66"/>
    </row>
    <row r="108">
      <c r="B108" s="46"/>
      <c r="E108" s="112"/>
      <c r="F108" s="113"/>
      <c r="J108" s="66"/>
    </row>
    <row r="109">
      <c r="B109" s="46" t="s">
        <v>1066</v>
      </c>
      <c r="E109" s="112">
        <f t="shared" ref="E109:E112" si="7">countif(B:B,B109)</f>
        <v>1</v>
      </c>
      <c r="F109" s="113">
        <f>countif('Check in'!B:B,B109)</f>
        <v>1</v>
      </c>
      <c r="G109" s="39" t="str">
        <f t="shared" ref="G109:G112" si="8">ifs(exact(E109,F109),"Available",F109&gt;E109,"Check item out first",E109&gt;F109,"Checked out")</f>
        <v>Available</v>
      </c>
      <c r="J109" s="66"/>
    </row>
    <row r="110">
      <c r="B110" s="46" t="s">
        <v>1082</v>
      </c>
      <c r="C110" s="38" t="s">
        <v>3534</v>
      </c>
      <c r="E110" s="112">
        <f t="shared" si="7"/>
        <v>1</v>
      </c>
      <c r="F110" s="113">
        <f>countif('Check in'!B:B,B110)</f>
        <v>1</v>
      </c>
      <c r="G110" s="39" t="str">
        <f t="shared" si="8"/>
        <v>Available</v>
      </c>
      <c r="J110" s="66"/>
    </row>
    <row r="111">
      <c r="B111" s="46" t="s">
        <v>1084</v>
      </c>
      <c r="C111" s="38" t="s">
        <v>3534</v>
      </c>
      <c r="E111" s="112">
        <f t="shared" si="7"/>
        <v>1</v>
      </c>
      <c r="F111" s="113">
        <f>countif('Check in'!B:B,B111)</f>
        <v>1</v>
      </c>
      <c r="G111" s="39" t="str">
        <f t="shared" si="8"/>
        <v>Available</v>
      </c>
      <c r="J111" s="66"/>
    </row>
    <row r="112">
      <c r="B112" s="46" t="s">
        <v>1086</v>
      </c>
      <c r="C112" s="38" t="s">
        <v>3534</v>
      </c>
      <c r="E112" s="112">
        <f t="shared" si="7"/>
        <v>1</v>
      </c>
      <c r="F112" s="113">
        <f>countif('Check in'!B:B,B112)</f>
        <v>1</v>
      </c>
      <c r="G112" s="39" t="str">
        <f t="shared" si="8"/>
        <v>Available</v>
      </c>
      <c r="J112" s="66"/>
    </row>
    <row r="113">
      <c r="B113" s="46"/>
      <c r="E113" s="112"/>
      <c r="F113" s="113"/>
      <c r="J113" s="66"/>
    </row>
    <row r="114">
      <c r="B114" s="46" t="s">
        <v>1090</v>
      </c>
      <c r="C114" s="38" t="s">
        <v>3534</v>
      </c>
      <c r="E114" s="112">
        <f t="shared" ref="E114:E119" si="9">countif(B:B,B114)</f>
        <v>1</v>
      </c>
      <c r="F114" s="113">
        <f>countif('Check in'!B:B,B114)</f>
        <v>1</v>
      </c>
      <c r="G114" s="39" t="str">
        <f t="shared" ref="G114:G119" si="10">ifs(exact(E114,F114),"Available",F114&gt;E114,"Check item out first",E114&gt;F114,"Checked out")</f>
        <v>Available</v>
      </c>
      <c r="J114" s="66"/>
    </row>
    <row r="115">
      <c r="B115" s="46" t="s">
        <v>1092</v>
      </c>
      <c r="C115" s="38" t="s">
        <v>3534</v>
      </c>
      <c r="E115" s="112">
        <f t="shared" si="9"/>
        <v>1</v>
      </c>
      <c r="F115" s="113">
        <f>countif('Check in'!B:B,B115)</f>
        <v>1</v>
      </c>
      <c r="G115" s="39" t="str">
        <f t="shared" si="10"/>
        <v>Available</v>
      </c>
      <c r="J115" s="66"/>
    </row>
    <row r="116">
      <c r="B116" s="46" t="s">
        <v>1094</v>
      </c>
      <c r="C116" s="38" t="s">
        <v>3534</v>
      </c>
      <c r="E116" s="112">
        <f t="shared" si="9"/>
        <v>1</v>
      </c>
      <c r="F116" s="113">
        <f>countif('Check in'!B:B,B116)</f>
        <v>1</v>
      </c>
      <c r="G116" s="39" t="str">
        <f t="shared" si="10"/>
        <v>Available</v>
      </c>
      <c r="J116" s="66"/>
    </row>
    <row r="117">
      <c r="B117" s="46" t="s">
        <v>1096</v>
      </c>
      <c r="C117" s="38" t="s">
        <v>3534</v>
      </c>
      <c r="E117" s="112">
        <f t="shared" si="9"/>
        <v>1</v>
      </c>
      <c r="F117" s="113">
        <f>countif('Check in'!B:B,B117)</f>
        <v>1</v>
      </c>
      <c r="G117" s="39" t="str">
        <f t="shared" si="10"/>
        <v>Available</v>
      </c>
      <c r="J117" s="66"/>
    </row>
    <row r="118">
      <c r="B118" s="46" t="s">
        <v>1098</v>
      </c>
      <c r="C118" s="38" t="s">
        <v>3534</v>
      </c>
      <c r="E118" s="112">
        <f t="shared" si="9"/>
        <v>1</v>
      </c>
      <c r="F118" s="113">
        <f>countif('Check in'!B:B,B118)</f>
        <v>1</v>
      </c>
      <c r="G118" s="39" t="str">
        <f t="shared" si="10"/>
        <v>Available</v>
      </c>
      <c r="J118" s="66"/>
    </row>
    <row r="119">
      <c r="B119" s="46" t="s">
        <v>1100</v>
      </c>
      <c r="C119" s="38" t="s">
        <v>3534</v>
      </c>
      <c r="E119" s="112">
        <f t="shared" si="9"/>
        <v>1</v>
      </c>
      <c r="F119" s="113">
        <f>countif('Check in'!B:B,B119)</f>
        <v>1</v>
      </c>
      <c r="G119" s="39" t="str">
        <f t="shared" si="10"/>
        <v>Available</v>
      </c>
      <c r="J119" s="66"/>
    </row>
    <row r="120">
      <c r="B120" s="31"/>
      <c r="E120" s="112"/>
      <c r="F120" s="113"/>
      <c r="J120" s="66"/>
    </row>
    <row r="121">
      <c r="B121" s="31"/>
      <c r="E121" s="112"/>
      <c r="F121" s="113"/>
      <c r="J121" s="66"/>
    </row>
    <row r="122">
      <c r="B122" s="31"/>
      <c r="E122" s="112"/>
      <c r="F122" s="113"/>
      <c r="J122" s="66"/>
    </row>
    <row r="123">
      <c r="B123" s="31" t="s">
        <v>157</v>
      </c>
      <c r="E123" s="112">
        <f t="shared" ref="E123:E125" si="11">countif(B:B,B123)</f>
        <v>2</v>
      </c>
      <c r="F123" s="113">
        <f>countif('Check in'!B:B,B123)</f>
        <v>1</v>
      </c>
      <c r="G123" s="39" t="str">
        <f t="shared" ref="G123:G125" si="12">ifs(exact(E123,F123),"Available",F123&gt;E123,"Check item out first",E123&gt;F123,"Checked out")</f>
        <v>Checked out</v>
      </c>
      <c r="J123" s="66"/>
    </row>
    <row r="124">
      <c r="B124" s="31" t="s">
        <v>23</v>
      </c>
      <c r="E124" s="112">
        <f t="shared" si="11"/>
        <v>2</v>
      </c>
      <c r="F124" s="115">
        <v>1.0</v>
      </c>
      <c r="G124" s="39" t="str">
        <f t="shared" si="12"/>
        <v>Checked out</v>
      </c>
      <c r="J124" s="66"/>
    </row>
    <row r="125">
      <c r="B125" s="31" t="s">
        <v>31</v>
      </c>
      <c r="E125" s="112">
        <f t="shared" si="11"/>
        <v>2</v>
      </c>
      <c r="F125" s="113">
        <f>countif('Check in'!B:B,B125)</f>
        <v>1</v>
      </c>
      <c r="G125" s="39" t="str">
        <f t="shared" si="12"/>
        <v>Checked out</v>
      </c>
      <c r="J125" s="66"/>
    </row>
    <row r="126">
      <c r="B126" s="31"/>
      <c r="E126" s="112"/>
      <c r="F126" s="113"/>
      <c r="J126" s="66"/>
    </row>
    <row r="127">
      <c r="B127" s="31" t="s">
        <v>448</v>
      </c>
      <c r="E127" s="112">
        <f t="shared" ref="E127:E184" si="13">countif(B:B,B127)</f>
        <v>2</v>
      </c>
      <c r="F127" s="113">
        <f>countif('Check in'!B:B,B127)</f>
        <v>1</v>
      </c>
      <c r="G127" s="39" t="str">
        <f t="shared" ref="G127:G184" si="14">ifs(exact(E127,F127),"Available",F127&gt;E127,"Check item out first",E127&gt;F127,"Checked out")</f>
        <v>Checked out</v>
      </c>
      <c r="J127" s="66"/>
    </row>
    <row r="128">
      <c r="B128" s="31" t="s">
        <v>1142</v>
      </c>
      <c r="E128" s="112">
        <f t="shared" si="13"/>
        <v>1</v>
      </c>
      <c r="F128" s="113">
        <f>countif('Check in'!B:B,B128)</f>
        <v>1</v>
      </c>
      <c r="G128" s="39" t="str">
        <f t="shared" si="14"/>
        <v>Available</v>
      </c>
      <c r="J128" s="66"/>
    </row>
    <row r="129">
      <c r="B129" s="31" t="s">
        <v>1145</v>
      </c>
      <c r="E129" s="112">
        <f t="shared" si="13"/>
        <v>2</v>
      </c>
      <c r="F129" s="113">
        <f>countif('Check in'!B:B,B129)</f>
        <v>2</v>
      </c>
      <c r="G129" s="39" t="str">
        <f t="shared" si="14"/>
        <v>Available</v>
      </c>
      <c r="J129" s="66"/>
    </row>
    <row r="130">
      <c r="B130" s="31" t="s">
        <v>1147</v>
      </c>
      <c r="E130" s="112">
        <f t="shared" si="13"/>
        <v>1</v>
      </c>
      <c r="F130" s="113">
        <f>countif('Check in'!B:B,B130)</f>
        <v>1</v>
      </c>
      <c r="G130" s="39" t="str">
        <f t="shared" si="14"/>
        <v>Available</v>
      </c>
      <c r="J130" s="66"/>
    </row>
    <row r="131">
      <c r="B131" s="31" t="s">
        <v>1150</v>
      </c>
      <c r="E131" s="112">
        <f t="shared" si="13"/>
        <v>1</v>
      </c>
      <c r="F131" s="113">
        <f>countif('Check in'!B:B,B131)</f>
        <v>1</v>
      </c>
      <c r="G131" s="39" t="str">
        <f t="shared" si="14"/>
        <v>Available</v>
      </c>
      <c r="J131" s="66"/>
    </row>
    <row r="132">
      <c r="B132" s="31" t="s">
        <v>1151</v>
      </c>
      <c r="E132" s="112">
        <f t="shared" si="13"/>
        <v>1</v>
      </c>
      <c r="F132" s="113">
        <f>countif('Check in'!B:B,B132)</f>
        <v>1</v>
      </c>
      <c r="G132" s="39" t="str">
        <f t="shared" si="14"/>
        <v>Available</v>
      </c>
      <c r="J132" s="66"/>
    </row>
    <row r="133">
      <c r="B133" s="31" t="s">
        <v>1153</v>
      </c>
      <c r="E133" s="112">
        <f t="shared" si="13"/>
        <v>2</v>
      </c>
      <c r="F133" s="113">
        <f>countif('Check in'!B:B,B133)</f>
        <v>2</v>
      </c>
      <c r="G133" s="39" t="str">
        <f t="shared" si="14"/>
        <v>Available</v>
      </c>
      <c r="J133" s="66"/>
    </row>
    <row r="134">
      <c r="B134" s="31" t="s">
        <v>1155</v>
      </c>
      <c r="E134" s="112">
        <f t="shared" si="13"/>
        <v>2</v>
      </c>
      <c r="F134" s="113">
        <f>countif('Check in'!B:B,B134)</f>
        <v>2</v>
      </c>
      <c r="G134" s="39" t="str">
        <f t="shared" si="14"/>
        <v>Available</v>
      </c>
      <c r="J134" s="66"/>
    </row>
    <row r="135">
      <c r="B135" s="31" t="s">
        <v>1157</v>
      </c>
      <c r="E135" s="112">
        <f t="shared" si="13"/>
        <v>1</v>
      </c>
      <c r="F135" s="113">
        <f>countif('Check in'!B:B,B135)</f>
        <v>1</v>
      </c>
      <c r="G135" s="39" t="str">
        <f t="shared" si="14"/>
        <v>Available</v>
      </c>
      <c r="J135" s="66"/>
    </row>
    <row r="136">
      <c r="B136" s="31" t="s">
        <v>1159</v>
      </c>
      <c r="E136" s="112">
        <f t="shared" si="13"/>
        <v>1</v>
      </c>
      <c r="F136" s="113">
        <f>countif('Check in'!B:B,B136)</f>
        <v>1</v>
      </c>
      <c r="G136" s="39" t="str">
        <f t="shared" si="14"/>
        <v>Available</v>
      </c>
      <c r="J136" s="66"/>
    </row>
    <row r="137">
      <c r="B137" s="31" t="s">
        <v>1161</v>
      </c>
      <c r="E137" s="112">
        <f t="shared" si="13"/>
        <v>2</v>
      </c>
      <c r="F137" s="113">
        <f>countif('Check in'!B:B,B137)</f>
        <v>2</v>
      </c>
      <c r="G137" s="39" t="str">
        <f t="shared" si="14"/>
        <v>Available</v>
      </c>
      <c r="J137" s="66"/>
    </row>
    <row r="138">
      <c r="B138" s="31" t="s">
        <v>1163</v>
      </c>
      <c r="E138" s="112">
        <f t="shared" si="13"/>
        <v>1</v>
      </c>
      <c r="F138" s="113">
        <f>countif('Check in'!B:B,B138)</f>
        <v>1</v>
      </c>
      <c r="G138" s="39" t="str">
        <f t="shared" si="14"/>
        <v>Available</v>
      </c>
      <c r="J138" s="66"/>
    </row>
    <row r="139">
      <c r="B139" s="31" t="s">
        <v>1165</v>
      </c>
      <c r="E139" s="112">
        <f t="shared" si="13"/>
        <v>1</v>
      </c>
      <c r="F139" s="113">
        <f>countif('Check in'!B:B,B139)</f>
        <v>1</v>
      </c>
      <c r="G139" s="39" t="str">
        <f t="shared" si="14"/>
        <v>Available</v>
      </c>
      <c r="J139" s="66"/>
    </row>
    <row r="140">
      <c r="B140" s="31" t="s">
        <v>1166</v>
      </c>
      <c r="E140" s="112">
        <f t="shared" si="13"/>
        <v>1</v>
      </c>
      <c r="F140" s="113">
        <f>countif('Check in'!B:B,B140)</f>
        <v>1</v>
      </c>
      <c r="G140" s="39" t="str">
        <f t="shared" si="14"/>
        <v>Available</v>
      </c>
      <c r="J140" s="66"/>
    </row>
    <row r="141">
      <c r="B141" s="31" t="s">
        <v>1167</v>
      </c>
      <c r="E141" s="112">
        <f t="shared" si="13"/>
        <v>1</v>
      </c>
      <c r="F141" s="113">
        <f>countif('Check in'!B:B,B141)</f>
        <v>1</v>
      </c>
      <c r="G141" s="39" t="str">
        <f t="shared" si="14"/>
        <v>Available</v>
      </c>
      <c r="J141" s="66"/>
    </row>
    <row r="142">
      <c r="B142" s="31" t="s">
        <v>1168</v>
      </c>
      <c r="E142" s="112">
        <f t="shared" si="13"/>
        <v>1</v>
      </c>
      <c r="F142" s="113">
        <f>countif('Check in'!B:B,B142)</f>
        <v>1</v>
      </c>
      <c r="G142" s="39" t="str">
        <f t="shared" si="14"/>
        <v>Available</v>
      </c>
      <c r="J142" s="66"/>
    </row>
    <row r="143">
      <c r="B143" s="31" t="s">
        <v>1170</v>
      </c>
      <c r="E143" s="112">
        <f t="shared" si="13"/>
        <v>1</v>
      </c>
      <c r="F143" s="113">
        <f>countif('Check in'!B:B,B143)</f>
        <v>1</v>
      </c>
      <c r="G143" s="39" t="str">
        <f t="shared" si="14"/>
        <v>Available</v>
      </c>
      <c r="J143" s="66"/>
    </row>
    <row r="144">
      <c r="B144" s="31" t="s">
        <v>1171</v>
      </c>
      <c r="E144" s="112">
        <f t="shared" si="13"/>
        <v>1</v>
      </c>
      <c r="F144" s="113">
        <f>countif('Check in'!B:B,B144)</f>
        <v>1</v>
      </c>
      <c r="G144" s="39" t="str">
        <f t="shared" si="14"/>
        <v>Available</v>
      </c>
      <c r="J144" s="66"/>
    </row>
    <row r="145">
      <c r="B145" s="31" t="s">
        <v>1173</v>
      </c>
      <c r="E145" s="112">
        <f t="shared" si="13"/>
        <v>1</v>
      </c>
      <c r="F145" s="113">
        <f>countif('Check in'!B:B,B145)</f>
        <v>1</v>
      </c>
      <c r="G145" s="39" t="str">
        <f t="shared" si="14"/>
        <v>Available</v>
      </c>
      <c r="J145" s="66"/>
    </row>
    <row r="146">
      <c r="B146" s="31" t="s">
        <v>1175</v>
      </c>
      <c r="E146" s="112">
        <f t="shared" si="13"/>
        <v>1</v>
      </c>
      <c r="F146" s="113">
        <f>countif('Check in'!B:B,B146)</f>
        <v>1</v>
      </c>
      <c r="G146" s="39" t="str">
        <f t="shared" si="14"/>
        <v>Available</v>
      </c>
      <c r="J146" s="66"/>
    </row>
    <row r="147">
      <c r="B147" s="31" t="s">
        <v>1177</v>
      </c>
      <c r="E147" s="112">
        <f t="shared" si="13"/>
        <v>1</v>
      </c>
      <c r="F147" s="113">
        <f>countif('Check in'!B:B,B147)</f>
        <v>1</v>
      </c>
      <c r="G147" s="39" t="str">
        <f t="shared" si="14"/>
        <v>Available</v>
      </c>
      <c r="J147" s="66"/>
    </row>
    <row r="148">
      <c r="B148" s="31" t="s">
        <v>1183</v>
      </c>
      <c r="E148" s="112">
        <f t="shared" si="13"/>
        <v>1</v>
      </c>
      <c r="F148" s="113">
        <f>countif('Check in'!B:B,B148)</f>
        <v>1</v>
      </c>
      <c r="G148" s="39" t="str">
        <f t="shared" si="14"/>
        <v>Available</v>
      </c>
      <c r="J148" s="66"/>
    </row>
    <row r="149">
      <c r="B149" s="46" t="s">
        <v>1184</v>
      </c>
      <c r="E149" s="112">
        <f t="shared" si="13"/>
        <v>1</v>
      </c>
      <c r="F149" s="113">
        <f>countif('Check in'!B:B,B149)</f>
        <v>1</v>
      </c>
      <c r="G149" s="39" t="str">
        <f t="shared" si="14"/>
        <v>Available</v>
      </c>
      <c r="J149" s="66"/>
    </row>
    <row r="150">
      <c r="B150" s="46" t="s">
        <v>1161</v>
      </c>
      <c r="E150" s="112">
        <f t="shared" si="13"/>
        <v>2</v>
      </c>
      <c r="F150" s="113">
        <f>countif('Check in'!B:B,B150)</f>
        <v>2</v>
      </c>
      <c r="G150" s="39" t="str">
        <f t="shared" si="14"/>
        <v>Available</v>
      </c>
      <c r="J150" s="66"/>
    </row>
    <row r="151">
      <c r="B151" s="46" t="s">
        <v>1189</v>
      </c>
      <c r="E151" s="112">
        <f t="shared" si="13"/>
        <v>1</v>
      </c>
      <c r="F151" s="113">
        <f>countif('Check in'!B:B,B151)</f>
        <v>1</v>
      </c>
      <c r="G151" s="39" t="str">
        <f t="shared" si="14"/>
        <v>Available</v>
      </c>
      <c r="J151" s="66"/>
    </row>
    <row r="152">
      <c r="B152" s="46" t="s">
        <v>1191</v>
      </c>
      <c r="E152" s="112">
        <f t="shared" si="13"/>
        <v>1</v>
      </c>
      <c r="F152" s="113">
        <f>countif('Check in'!B:B,B152)</f>
        <v>1</v>
      </c>
      <c r="G152" s="39" t="str">
        <f t="shared" si="14"/>
        <v>Available</v>
      </c>
      <c r="J152" s="66"/>
    </row>
    <row r="153">
      <c r="B153" s="46" t="s">
        <v>1193</v>
      </c>
      <c r="E153" s="112">
        <f t="shared" si="13"/>
        <v>1</v>
      </c>
      <c r="F153" s="113">
        <f>countif('Check in'!B:B,B153)</f>
        <v>1</v>
      </c>
      <c r="G153" s="39" t="str">
        <f t="shared" si="14"/>
        <v>Available</v>
      </c>
      <c r="J153" s="66"/>
    </row>
    <row r="154">
      <c r="B154" s="46" t="s">
        <v>1196</v>
      </c>
      <c r="E154" s="112">
        <f t="shared" si="13"/>
        <v>1</v>
      </c>
      <c r="F154" s="113">
        <f>countif('Check in'!B:B,B154)</f>
        <v>1</v>
      </c>
      <c r="G154" s="39" t="str">
        <f t="shared" si="14"/>
        <v>Available</v>
      </c>
      <c r="J154" s="66"/>
    </row>
    <row r="155">
      <c r="B155" s="46" t="s">
        <v>1198</v>
      </c>
      <c r="E155" s="112">
        <f t="shared" si="13"/>
        <v>1</v>
      </c>
      <c r="F155" s="113">
        <f>countif('Check in'!B:B,B155)</f>
        <v>1</v>
      </c>
      <c r="G155" s="39" t="str">
        <f t="shared" si="14"/>
        <v>Available</v>
      </c>
      <c r="J155" s="66"/>
    </row>
    <row r="156">
      <c r="B156" s="46" t="s">
        <v>1153</v>
      </c>
      <c r="E156" s="112">
        <f t="shared" si="13"/>
        <v>2</v>
      </c>
      <c r="F156" s="113">
        <f>countif('Check in'!B:B,B156)</f>
        <v>2</v>
      </c>
      <c r="G156" s="39" t="str">
        <f t="shared" si="14"/>
        <v>Available</v>
      </c>
      <c r="J156" s="66"/>
    </row>
    <row r="157">
      <c r="B157" s="46" t="s">
        <v>1155</v>
      </c>
      <c r="E157" s="112">
        <f t="shared" si="13"/>
        <v>2</v>
      </c>
      <c r="F157" s="113">
        <f>countif('Check in'!B:B,B157)</f>
        <v>2</v>
      </c>
      <c r="G157" s="39" t="str">
        <f t="shared" si="14"/>
        <v>Available</v>
      </c>
      <c r="J157" s="66"/>
    </row>
    <row r="158">
      <c r="B158" s="46" t="s">
        <v>244</v>
      </c>
      <c r="E158" s="112">
        <f t="shared" si="13"/>
        <v>1</v>
      </c>
      <c r="F158" s="113">
        <f>countif('Check in'!B:B,B158)</f>
        <v>1</v>
      </c>
      <c r="G158" s="39" t="str">
        <f t="shared" si="14"/>
        <v>Available</v>
      </c>
      <c r="J158" s="66"/>
    </row>
    <row r="159">
      <c r="B159" s="46" t="s">
        <v>1204</v>
      </c>
      <c r="E159" s="112">
        <f t="shared" si="13"/>
        <v>1</v>
      </c>
      <c r="F159" s="113">
        <f>countif('Check in'!B:B,B159)</f>
        <v>1</v>
      </c>
      <c r="G159" s="39" t="str">
        <f t="shared" si="14"/>
        <v>Available</v>
      </c>
      <c r="J159" s="66"/>
    </row>
    <row r="160">
      <c r="B160" s="46" t="s">
        <v>260</v>
      </c>
      <c r="E160" s="112">
        <f t="shared" si="13"/>
        <v>1</v>
      </c>
      <c r="F160" s="113">
        <f>countif('Check in'!B:B,B160)</f>
        <v>1</v>
      </c>
      <c r="G160" s="39" t="str">
        <f t="shared" si="14"/>
        <v>Available</v>
      </c>
      <c r="J160" s="66"/>
    </row>
    <row r="161">
      <c r="B161" s="46" t="s">
        <v>68</v>
      </c>
      <c r="E161" s="112">
        <f t="shared" si="13"/>
        <v>1</v>
      </c>
      <c r="F161" s="113">
        <f>countif('Check in'!B:B,B161)</f>
        <v>1</v>
      </c>
      <c r="G161" s="39" t="str">
        <f t="shared" si="14"/>
        <v>Available</v>
      </c>
      <c r="J161" s="66"/>
    </row>
    <row r="162">
      <c r="B162" s="46" t="s">
        <v>1205</v>
      </c>
      <c r="E162" s="112">
        <f t="shared" si="13"/>
        <v>1</v>
      </c>
      <c r="F162" s="113">
        <f>countif('Check in'!B:B,B162)</f>
        <v>1</v>
      </c>
      <c r="G162" s="39" t="str">
        <f t="shared" si="14"/>
        <v>Available</v>
      </c>
      <c r="J162" s="66"/>
    </row>
    <row r="163">
      <c r="B163" s="46" t="s">
        <v>1207</v>
      </c>
      <c r="E163" s="112">
        <f t="shared" si="13"/>
        <v>1</v>
      </c>
      <c r="F163" s="113">
        <f>countif('Check in'!B:B,B163)</f>
        <v>1</v>
      </c>
      <c r="G163" s="39" t="str">
        <f t="shared" si="14"/>
        <v>Available</v>
      </c>
      <c r="J163" s="66"/>
    </row>
    <row r="164">
      <c r="B164" s="46" t="s">
        <v>1209</v>
      </c>
      <c r="E164" s="112">
        <f t="shared" si="13"/>
        <v>1</v>
      </c>
      <c r="F164" s="113">
        <f>countif('Check in'!B:B,B164)</f>
        <v>1</v>
      </c>
      <c r="G164" s="39" t="str">
        <f t="shared" si="14"/>
        <v>Available</v>
      </c>
      <c r="J164" s="66"/>
    </row>
    <row r="165">
      <c r="B165" s="46" t="s">
        <v>1211</v>
      </c>
      <c r="E165" s="112">
        <f t="shared" si="13"/>
        <v>1</v>
      </c>
      <c r="F165" s="113">
        <f>countif('Check in'!B:B,B165)</f>
        <v>1</v>
      </c>
      <c r="G165" s="39" t="str">
        <f t="shared" si="14"/>
        <v>Available</v>
      </c>
      <c r="J165" s="66"/>
    </row>
    <row r="166">
      <c r="B166" s="46" t="s">
        <v>1213</v>
      </c>
      <c r="E166" s="112">
        <f t="shared" si="13"/>
        <v>1</v>
      </c>
      <c r="F166" s="113">
        <f>countif('Check in'!B:B,B166)</f>
        <v>1</v>
      </c>
      <c r="G166" s="39" t="str">
        <f t="shared" si="14"/>
        <v>Available</v>
      </c>
      <c r="J166" s="66"/>
    </row>
    <row r="167">
      <c r="B167" s="46" t="s">
        <v>1215</v>
      </c>
      <c r="E167" s="112">
        <f t="shared" si="13"/>
        <v>1</v>
      </c>
      <c r="F167" s="113">
        <f>countif('Check in'!B:B,B167)</f>
        <v>1</v>
      </c>
      <c r="G167" s="39" t="str">
        <f t="shared" si="14"/>
        <v>Available</v>
      </c>
      <c r="J167" s="66"/>
    </row>
    <row r="168">
      <c r="B168" s="46" t="s">
        <v>1216</v>
      </c>
      <c r="E168" s="112">
        <f t="shared" si="13"/>
        <v>1</v>
      </c>
      <c r="F168" s="113">
        <f>countif('Check in'!B:B,B168)</f>
        <v>1</v>
      </c>
      <c r="G168" s="39" t="str">
        <f t="shared" si="14"/>
        <v>Available</v>
      </c>
      <c r="J168" s="66"/>
    </row>
    <row r="169">
      <c r="B169" s="31" t="s">
        <v>1218</v>
      </c>
      <c r="E169" s="112">
        <f t="shared" si="13"/>
        <v>1</v>
      </c>
      <c r="F169" s="113">
        <f>countif('Check in'!B:B,B169)</f>
        <v>1</v>
      </c>
      <c r="G169" s="39" t="str">
        <f t="shared" si="14"/>
        <v>Available</v>
      </c>
      <c r="J169" s="66"/>
    </row>
    <row r="170">
      <c r="B170" s="31" t="s">
        <v>1220</v>
      </c>
      <c r="E170" s="112">
        <f t="shared" si="13"/>
        <v>1</v>
      </c>
      <c r="F170" s="113">
        <f>countif('Check in'!B:B,B170)</f>
        <v>1</v>
      </c>
      <c r="G170" s="39" t="str">
        <f t="shared" si="14"/>
        <v>Available</v>
      </c>
      <c r="J170" s="66"/>
    </row>
    <row r="171">
      <c r="B171" s="31" t="s">
        <v>1222</v>
      </c>
      <c r="E171" s="112">
        <f t="shared" si="13"/>
        <v>1</v>
      </c>
      <c r="F171" s="113">
        <f>countif('Check in'!B:B,B171)</f>
        <v>1</v>
      </c>
      <c r="G171" s="39" t="str">
        <f t="shared" si="14"/>
        <v>Available</v>
      </c>
      <c r="J171" s="66"/>
    </row>
    <row r="172">
      <c r="B172" s="31" t="s">
        <v>1224</v>
      </c>
      <c r="E172" s="112">
        <f t="shared" si="13"/>
        <v>1</v>
      </c>
      <c r="F172" s="113">
        <f>countif('Check in'!B:B,B172)</f>
        <v>1</v>
      </c>
      <c r="G172" s="39" t="str">
        <f t="shared" si="14"/>
        <v>Available</v>
      </c>
      <c r="J172" s="66"/>
    </row>
    <row r="173">
      <c r="B173" s="31" t="s">
        <v>1226</v>
      </c>
      <c r="E173" s="112">
        <f t="shared" si="13"/>
        <v>1</v>
      </c>
      <c r="F173" s="113">
        <f>countif('Check in'!B:B,B173)</f>
        <v>1</v>
      </c>
      <c r="G173" s="39" t="str">
        <f t="shared" si="14"/>
        <v>Available</v>
      </c>
      <c r="J173" s="66"/>
    </row>
    <row r="174">
      <c r="B174" s="31" t="s">
        <v>1229</v>
      </c>
      <c r="E174" s="112">
        <f t="shared" si="13"/>
        <v>1</v>
      </c>
      <c r="F174" s="113">
        <f>countif('Check in'!B:B,B174)</f>
        <v>1</v>
      </c>
      <c r="G174" s="39" t="str">
        <f t="shared" si="14"/>
        <v>Available</v>
      </c>
      <c r="J174" s="66"/>
    </row>
    <row r="175">
      <c r="B175" s="31" t="s">
        <v>1145</v>
      </c>
      <c r="E175" s="112">
        <f t="shared" si="13"/>
        <v>2</v>
      </c>
      <c r="F175" s="113">
        <f>countif('Check in'!B:B,B175)</f>
        <v>2</v>
      </c>
      <c r="G175" s="39" t="str">
        <f t="shared" si="14"/>
        <v>Available</v>
      </c>
      <c r="J175" s="66"/>
    </row>
    <row r="176">
      <c r="B176" s="31" t="s">
        <v>1230</v>
      </c>
      <c r="E176" s="112">
        <f t="shared" si="13"/>
        <v>1</v>
      </c>
      <c r="F176" s="113">
        <f>countif('Check in'!B:B,B176)</f>
        <v>1</v>
      </c>
      <c r="G176" s="39" t="str">
        <f t="shared" si="14"/>
        <v>Available</v>
      </c>
      <c r="J176" s="66"/>
    </row>
    <row r="177">
      <c r="B177" s="31" t="s">
        <v>1231</v>
      </c>
      <c r="E177" s="112">
        <f t="shared" si="13"/>
        <v>1</v>
      </c>
      <c r="F177" s="113">
        <f>countif('Check in'!B:B,B177)</f>
        <v>1</v>
      </c>
      <c r="G177" s="39" t="str">
        <f t="shared" si="14"/>
        <v>Available</v>
      </c>
      <c r="J177" s="66"/>
    </row>
    <row r="178">
      <c r="B178" s="31" t="s">
        <v>1232</v>
      </c>
      <c r="E178" s="112">
        <f t="shared" si="13"/>
        <v>1</v>
      </c>
      <c r="F178" s="113">
        <f>countif('Check in'!B:B,B178)</f>
        <v>1</v>
      </c>
      <c r="G178" s="39" t="str">
        <f t="shared" si="14"/>
        <v>Available</v>
      </c>
      <c r="J178" s="66"/>
    </row>
    <row r="179">
      <c r="B179" s="31" t="s">
        <v>1234</v>
      </c>
      <c r="E179" s="112">
        <f t="shared" si="13"/>
        <v>1</v>
      </c>
      <c r="F179" s="113">
        <f>countif('Check in'!B:B,B179)</f>
        <v>1</v>
      </c>
      <c r="G179" s="39" t="str">
        <f t="shared" si="14"/>
        <v>Available</v>
      </c>
      <c r="J179" s="66"/>
    </row>
    <row r="180">
      <c r="B180" s="31" t="s">
        <v>1235</v>
      </c>
      <c r="E180" s="112">
        <f t="shared" si="13"/>
        <v>1</v>
      </c>
      <c r="F180" s="113">
        <f>countif('Check in'!B:B,B180)</f>
        <v>1</v>
      </c>
      <c r="G180" s="39" t="str">
        <f t="shared" si="14"/>
        <v>Available</v>
      </c>
      <c r="J180" s="66"/>
    </row>
    <row r="181">
      <c r="B181" s="31" t="s">
        <v>1237</v>
      </c>
      <c r="E181" s="112">
        <f t="shared" si="13"/>
        <v>1</v>
      </c>
      <c r="F181" s="113">
        <f>countif('Check in'!B:B,B181)</f>
        <v>1</v>
      </c>
      <c r="G181" s="39" t="str">
        <f t="shared" si="14"/>
        <v>Available</v>
      </c>
      <c r="J181" s="66"/>
    </row>
    <row r="182">
      <c r="B182" s="31" t="s">
        <v>1238</v>
      </c>
      <c r="E182" s="112">
        <f t="shared" si="13"/>
        <v>1</v>
      </c>
      <c r="F182" s="113">
        <f>countif('Check in'!B:B,B182)</f>
        <v>1</v>
      </c>
      <c r="G182" s="39" t="str">
        <f t="shared" si="14"/>
        <v>Available</v>
      </c>
      <c r="J182" s="66"/>
    </row>
    <row r="183">
      <c r="B183" s="31" t="s">
        <v>1239</v>
      </c>
      <c r="E183" s="112">
        <f t="shared" si="13"/>
        <v>1</v>
      </c>
      <c r="F183" s="113">
        <f>countif('Check in'!B:B,B183)</f>
        <v>1</v>
      </c>
      <c r="G183" s="39" t="str">
        <f t="shared" si="14"/>
        <v>Available</v>
      </c>
      <c r="J183" s="66"/>
    </row>
    <row r="184">
      <c r="B184" s="31" t="s">
        <v>1240</v>
      </c>
      <c r="E184" s="112">
        <f t="shared" si="13"/>
        <v>1</v>
      </c>
      <c r="F184" s="113">
        <f>countif('Check in'!B:B,B184)</f>
        <v>1</v>
      </c>
      <c r="G184" s="39" t="str">
        <f t="shared" si="14"/>
        <v>Available</v>
      </c>
      <c r="J184" s="66"/>
    </row>
    <row r="185">
      <c r="B185" s="31"/>
      <c r="E185" s="112"/>
      <c r="F185" s="113"/>
      <c r="J185" s="66"/>
    </row>
    <row r="186">
      <c r="B186" s="46" t="s">
        <v>1242</v>
      </c>
      <c r="E186" s="112">
        <f t="shared" ref="E186:E354" si="15">countif(B:B,B186)</f>
        <v>1</v>
      </c>
      <c r="F186" s="113">
        <f>countif('Check in'!B:B,B186)</f>
        <v>1</v>
      </c>
      <c r="G186" s="39" t="str">
        <f t="shared" ref="G186:G366" si="16">ifs(exact(E186,F186),"Available",F186&gt;E186,"Check item out first",E186&gt;F186,"Checked out")</f>
        <v>Available</v>
      </c>
      <c r="J186" s="66"/>
    </row>
    <row r="187">
      <c r="B187" s="46" t="s">
        <v>1245</v>
      </c>
      <c r="E187" s="112">
        <f t="shared" si="15"/>
        <v>1</v>
      </c>
      <c r="F187" s="113">
        <f>countif('Check in'!B:B,B187)</f>
        <v>1</v>
      </c>
      <c r="G187" s="39" t="str">
        <f t="shared" si="16"/>
        <v>Available</v>
      </c>
      <c r="J187" s="66"/>
    </row>
    <row r="188">
      <c r="B188" s="46" t="s">
        <v>1247</v>
      </c>
      <c r="E188" s="112">
        <f t="shared" si="15"/>
        <v>1</v>
      </c>
      <c r="F188" s="113">
        <f>countif('Check in'!B:B,B188)</f>
        <v>1</v>
      </c>
      <c r="G188" s="39" t="str">
        <f t="shared" si="16"/>
        <v>Available</v>
      </c>
      <c r="J188" s="66"/>
    </row>
    <row r="189">
      <c r="B189" s="117" t="s">
        <v>1248</v>
      </c>
      <c r="C189" s="38" t="s">
        <v>3535</v>
      </c>
      <c r="E189" s="112">
        <f t="shared" si="15"/>
        <v>1</v>
      </c>
      <c r="F189" s="113">
        <f>countif('Check in'!B:B,B189)</f>
        <v>1</v>
      </c>
      <c r="G189" s="39" t="str">
        <f t="shared" si="16"/>
        <v>Available</v>
      </c>
      <c r="J189" s="66"/>
    </row>
    <row r="190">
      <c r="B190" s="58" t="s">
        <v>1250</v>
      </c>
      <c r="C190" s="38" t="s">
        <v>3535</v>
      </c>
      <c r="E190" s="112">
        <f t="shared" si="15"/>
        <v>1</v>
      </c>
      <c r="F190" s="113">
        <f>countif('Check in'!B:B,B190)</f>
        <v>1</v>
      </c>
      <c r="G190" s="39" t="str">
        <f t="shared" si="16"/>
        <v>Available</v>
      </c>
      <c r="J190" s="66"/>
    </row>
    <row r="191">
      <c r="B191" s="118" t="s">
        <v>1251</v>
      </c>
      <c r="C191" s="38" t="s">
        <v>3535</v>
      </c>
      <c r="E191" s="112">
        <f t="shared" si="15"/>
        <v>1</v>
      </c>
      <c r="F191" s="113">
        <f>countif('Check in'!B:B,B191)</f>
        <v>1</v>
      </c>
      <c r="G191" s="39" t="str">
        <f t="shared" si="16"/>
        <v>Available</v>
      </c>
      <c r="J191" s="66"/>
    </row>
    <row r="192">
      <c r="B192" s="58" t="s">
        <v>1252</v>
      </c>
      <c r="C192" s="38" t="s">
        <v>3535</v>
      </c>
      <c r="E192" s="112">
        <f t="shared" si="15"/>
        <v>1</v>
      </c>
      <c r="F192" s="113">
        <f>countif('Check in'!B:B,B192)</f>
        <v>1</v>
      </c>
      <c r="G192" s="39" t="str">
        <f t="shared" si="16"/>
        <v>Available</v>
      </c>
      <c r="J192" s="66"/>
    </row>
    <row r="193">
      <c r="B193" s="118" t="s">
        <v>731</v>
      </c>
      <c r="C193" s="38" t="s">
        <v>3535</v>
      </c>
      <c r="E193" s="112">
        <f t="shared" si="15"/>
        <v>1</v>
      </c>
      <c r="F193" s="113">
        <f>countif('Check in'!B:B,B193)</f>
        <v>1</v>
      </c>
      <c r="G193" s="39" t="str">
        <f t="shared" si="16"/>
        <v>Available</v>
      </c>
      <c r="J193" s="66"/>
    </row>
    <row r="194">
      <c r="B194" s="58" t="s">
        <v>1253</v>
      </c>
      <c r="C194" s="38" t="s">
        <v>3535</v>
      </c>
      <c r="E194" s="112">
        <f t="shared" si="15"/>
        <v>1</v>
      </c>
      <c r="F194" s="113">
        <f>countif('Check in'!B:B,B194)</f>
        <v>1</v>
      </c>
      <c r="G194" s="39" t="str">
        <f t="shared" si="16"/>
        <v>Available</v>
      </c>
      <c r="J194" s="66"/>
    </row>
    <row r="195">
      <c r="B195" s="118" t="s">
        <v>1254</v>
      </c>
      <c r="C195" s="38" t="s">
        <v>3535</v>
      </c>
      <c r="E195" s="112">
        <f t="shared" si="15"/>
        <v>1</v>
      </c>
      <c r="F195" s="113">
        <f>countif('Check in'!B:B,B195)</f>
        <v>1</v>
      </c>
      <c r="G195" s="39" t="str">
        <f t="shared" si="16"/>
        <v>Available</v>
      </c>
      <c r="J195" s="66"/>
    </row>
    <row r="196">
      <c r="B196" s="58" t="s">
        <v>1255</v>
      </c>
      <c r="C196" s="38" t="s">
        <v>3535</v>
      </c>
      <c r="E196" s="112">
        <f t="shared" si="15"/>
        <v>1</v>
      </c>
      <c r="F196" s="113">
        <f>countif('Check in'!B:B,B196)</f>
        <v>1</v>
      </c>
      <c r="G196" s="39" t="str">
        <f t="shared" si="16"/>
        <v>Available</v>
      </c>
      <c r="J196" s="66"/>
    </row>
    <row r="197">
      <c r="B197" s="118" t="s">
        <v>1256</v>
      </c>
      <c r="C197" s="38" t="s">
        <v>3535</v>
      </c>
      <c r="E197" s="112">
        <f t="shared" si="15"/>
        <v>1</v>
      </c>
      <c r="F197" s="113">
        <f>countif('Check in'!B:B,B197)</f>
        <v>1</v>
      </c>
      <c r="G197" s="39" t="str">
        <f t="shared" si="16"/>
        <v>Available</v>
      </c>
      <c r="J197" s="66"/>
    </row>
    <row r="198">
      <c r="B198" s="58" t="s">
        <v>1257</v>
      </c>
      <c r="C198" s="38" t="s">
        <v>3535</v>
      </c>
      <c r="E198" s="112">
        <f t="shared" si="15"/>
        <v>1</v>
      </c>
      <c r="F198" s="113">
        <f>countif('Check in'!B:B,B198)</f>
        <v>1</v>
      </c>
      <c r="G198" s="39" t="str">
        <f t="shared" si="16"/>
        <v>Available</v>
      </c>
      <c r="J198" s="66"/>
    </row>
    <row r="199">
      <c r="B199" s="118" t="s">
        <v>1258</v>
      </c>
      <c r="C199" s="38" t="s">
        <v>3535</v>
      </c>
      <c r="E199" s="112">
        <f t="shared" si="15"/>
        <v>1</v>
      </c>
      <c r="F199" s="113">
        <f>countif('Check in'!B:B,B199)</f>
        <v>1</v>
      </c>
      <c r="G199" s="39" t="str">
        <f t="shared" si="16"/>
        <v>Available</v>
      </c>
      <c r="J199" s="66"/>
    </row>
    <row r="200">
      <c r="B200" s="58" t="s">
        <v>1259</v>
      </c>
      <c r="C200" s="38" t="s">
        <v>3535</v>
      </c>
      <c r="E200" s="112">
        <f t="shared" si="15"/>
        <v>1</v>
      </c>
      <c r="F200" s="113">
        <f>countif('Check in'!B:B,B200)</f>
        <v>1</v>
      </c>
      <c r="G200" s="39" t="str">
        <f t="shared" si="16"/>
        <v>Available</v>
      </c>
      <c r="J200" s="66"/>
    </row>
    <row r="201">
      <c r="A201" s="119">
        <v>44818.0</v>
      </c>
      <c r="B201" s="58" t="s">
        <v>3536</v>
      </c>
      <c r="C201" s="38" t="s">
        <v>3537</v>
      </c>
      <c r="D201" s="38" t="s">
        <v>560</v>
      </c>
      <c r="E201" s="112">
        <f t="shared" si="15"/>
        <v>1</v>
      </c>
      <c r="F201" s="113">
        <f>countif('Check in'!B:B,B201)</f>
        <v>0</v>
      </c>
      <c r="G201" s="39" t="str">
        <f t="shared" si="16"/>
        <v>Checked out</v>
      </c>
      <c r="J201" s="66"/>
    </row>
    <row r="202">
      <c r="B202" s="58" t="s">
        <v>620</v>
      </c>
      <c r="C202" s="38" t="s">
        <v>3538</v>
      </c>
      <c r="D202" s="38" t="s">
        <v>3539</v>
      </c>
      <c r="E202" s="112">
        <f t="shared" si="15"/>
        <v>1</v>
      </c>
      <c r="F202" s="113">
        <f>countif('Check in'!B:B,B202)</f>
        <v>1</v>
      </c>
      <c r="G202" s="39" t="str">
        <f t="shared" si="16"/>
        <v>Available</v>
      </c>
      <c r="J202" s="66"/>
    </row>
    <row r="203">
      <c r="B203" s="58" t="s">
        <v>776</v>
      </c>
      <c r="C203" s="38" t="s">
        <v>2892</v>
      </c>
      <c r="D203" s="38" t="s">
        <v>3539</v>
      </c>
      <c r="E203" s="112">
        <f t="shared" si="15"/>
        <v>1</v>
      </c>
      <c r="F203" s="113">
        <f>countif('Check in'!B:B,B203)</f>
        <v>1</v>
      </c>
      <c r="G203" s="39" t="str">
        <f t="shared" si="16"/>
        <v>Available</v>
      </c>
      <c r="J203" s="66"/>
    </row>
    <row r="204">
      <c r="B204" s="58"/>
      <c r="C204" s="38"/>
      <c r="E204" s="112">
        <f t="shared" si="15"/>
        <v>0</v>
      </c>
      <c r="F204" s="113">
        <f>countif('Check in'!B:B,B204)</f>
        <v>0</v>
      </c>
      <c r="G204" s="39" t="str">
        <f t="shared" si="16"/>
        <v>Available</v>
      </c>
      <c r="J204" s="66"/>
    </row>
    <row r="205">
      <c r="B205" s="58"/>
      <c r="C205" s="38"/>
      <c r="E205" s="112">
        <f t="shared" si="15"/>
        <v>0</v>
      </c>
      <c r="F205" s="113">
        <f>countif('Check in'!B:B,B205)</f>
        <v>0</v>
      </c>
      <c r="G205" s="39" t="str">
        <f t="shared" si="16"/>
        <v>Available</v>
      </c>
      <c r="J205" s="66"/>
    </row>
    <row r="206">
      <c r="B206" s="58"/>
      <c r="C206" s="38"/>
      <c r="E206" s="112">
        <f t="shared" si="15"/>
        <v>0</v>
      </c>
      <c r="F206" s="113">
        <f>countif('Check in'!B:B,B206)</f>
        <v>0</v>
      </c>
      <c r="G206" s="39" t="str">
        <f t="shared" si="16"/>
        <v>Available</v>
      </c>
      <c r="J206" s="66"/>
    </row>
    <row r="207">
      <c r="B207" s="58"/>
      <c r="C207" s="38"/>
      <c r="E207" s="112">
        <f t="shared" si="15"/>
        <v>0</v>
      </c>
      <c r="F207" s="113">
        <f>countif('Check in'!B:B,B207)</f>
        <v>0</v>
      </c>
      <c r="G207" s="39" t="str">
        <f t="shared" si="16"/>
        <v>Available</v>
      </c>
      <c r="J207" s="66"/>
    </row>
    <row r="208">
      <c r="B208" s="58"/>
      <c r="C208" s="38"/>
      <c r="E208" s="112">
        <f t="shared" si="15"/>
        <v>0</v>
      </c>
      <c r="F208" s="113">
        <f>countif('Check in'!B:B,B208)</f>
        <v>0</v>
      </c>
      <c r="G208" s="39" t="str">
        <f t="shared" si="16"/>
        <v>Available</v>
      </c>
      <c r="J208" s="66"/>
    </row>
    <row r="209">
      <c r="B209" s="58"/>
      <c r="C209" s="38"/>
      <c r="E209" s="112">
        <f t="shared" si="15"/>
        <v>0</v>
      </c>
      <c r="F209" s="113">
        <f>countif('Check in'!B:B,B209)</f>
        <v>0</v>
      </c>
      <c r="G209" s="39" t="str">
        <f t="shared" si="16"/>
        <v>Available</v>
      </c>
      <c r="J209" s="66"/>
    </row>
    <row r="210">
      <c r="A210" s="69"/>
      <c r="B210" s="118"/>
      <c r="C210" s="70"/>
      <c r="D210" s="69"/>
      <c r="E210" s="112">
        <f t="shared" si="15"/>
        <v>0</v>
      </c>
      <c r="F210" s="113">
        <f>countif('Check in'!B:B,B210)</f>
        <v>0</v>
      </c>
      <c r="G210" s="39" t="str">
        <f t="shared" si="16"/>
        <v>Available</v>
      </c>
      <c r="H210" s="69"/>
      <c r="I210" s="69"/>
      <c r="J210" s="69"/>
    </row>
    <row r="211">
      <c r="A211" s="69"/>
      <c r="B211" s="118"/>
      <c r="C211" s="70"/>
      <c r="D211" s="69"/>
      <c r="E211" s="112">
        <f t="shared" si="15"/>
        <v>0</v>
      </c>
      <c r="F211" s="113">
        <f>countif('Check in'!B:B,B211)</f>
        <v>0</v>
      </c>
      <c r="G211" s="39" t="str">
        <f t="shared" si="16"/>
        <v>Available</v>
      </c>
      <c r="H211" s="69"/>
      <c r="I211" s="69"/>
      <c r="J211" s="69"/>
    </row>
    <row r="212">
      <c r="A212" s="69"/>
      <c r="B212" s="118"/>
      <c r="C212" s="70"/>
      <c r="D212" s="69"/>
      <c r="E212" s="112">
        <f t="shared" si="15"/>
        <v>0</v>
      </c>
      <c r="F212" s="113">
        <f>countif('Check in'!B:B,B212)</f>
        <v>0</v>
      </c>
      <c r="G212" s="39" t="str">
        <f t="shared" si="16"/>
        <v>Available</v>
      </c>
      <c r="H212" s="69"/>
      <c r="I212" s="69"/>
      <c r="J212" s="69"/>
    </row>
    <row r="213">
      <c r="A213" s="69"/>
      <c r="B213" s="118"/>
      <c r="C213" s="70"/>
      <c r="D213" s="69"/>
      <c r="E213" s="112">
        <f t="shared" si="15"/>
        <v>0</v>
      </c>
      <c r="F213" s="113">
        <f>countif('Check in'!B:B,B213)</f>
        <v>0</v>
      </c>
      <c r="G213" s="39" t="str">
        <f t="shared" si="16"/>
        <v>Available</v>
      </c>
      <c r="H213" s="69"/>
      <c r="I213" s="69"/>
      <c r="J213" s="69"/>
    </row>
    <row r="214">
      <c r="A214" s="69"/>
      <c r="B214" s="118"/>
      <c r="C214" s="70"/>
      <c r="D214" s="69"/>
      <c r="E214" s="112">
        <f t="shared" si="15"/>
        <v>0</v>
      </c>
      <c r="F214" s="113">
        <f>countif('Check in'!B:B,B214)</f>
        <v>0</v>
      </c>
      <c r="G214" s="39" t="str">
        <f t="shared" si="16"/>
        <v>Available</v>
      </c>
      <c r="H214" s="69"/>
      <c r="I214" s="69"/>
      <c r="J214" s="69"/>
    </row>
    <row r="215">
      <c r="A215" s="69"/>
      <c r="B215" s="118"/>
      <c r="C215" s="70"/>
      <c r="D215" s="69"/>
      <c r="E215" s="112">
        <f t="shared" si="15"/>
        <v>0</v>
      </c>
      <c r="F215" s="113">
        <f>countif('Check in'!B:B,B215)</f>
        <v>0</v>
      </c>
      <c r="G215" s="39" t="str">
        <f t="shared" si="16"/>
        <v>Available</v>
      </c>
      <c r="H215" s="69"/>
      <c r="I215" s="69"/>
      <c r="J215" s="69"/>
    </row>
    <row r="216">
      <c r="A216" s="69"/>
      <c r="B216" s="118"/>
      <c r="C216" s="70"/>
      <c r="D216" s="69"/>
      <c r="E216" s="112">
        <f t="shared" si="15"/>
        <v>0</v>
      </c>
      <c r="F216" s="113">
        <f>countif('Check in'!B:B,B216)</f>
        <v>0</v>
      </c>
      <c r="G216" s="39" t="str">
        <f t="shared" si="16"/>
        <v>Available</v>
      </c>
      <c r="H216" s="69"/>
      <c r="I216" s="69"/>
      <c r="J216" s="69"/>
    </row>
    <row r="217">
      <c r="A217" s="69"/>
      <c r="B217" s="118"/>
      <c r="C217" s="70"/>
      <c r="D217" s="69"/>
      <c r="E217" s="112">
        <f t="shared" si="15"/>
        <v>0</v>
      </c>
      <c r="F217" s="113">
        <f>countif('Check in'!B:B,B217)</f>
        <v>0</v>
      </c>
      <c r="G217" s="39" t="str">
        <f t="shared" si="16"/>
        <v>Available</v>
      </c>
      <c r="H217" s="69"/>
      <c r="I217" s="69"/>
      <c r="J217" s="69"/>
    </row>
    <row r="218">
      <c r="A218" s="69"/>
      <c r="B218" s="118"/>
      <c r="C218" s="70"/>
      <c r="D218" s="69"/>
      <c r="E218" s="112">
        <f t="shared" si="15"/>
        <v>0</v>
      </c>
      <c r="F218" s="113">
        <f>countif('Check in'!B:B,B218)</f>
        <v>0</v>
      </c>
      <c r="G218" s="39" t="str">
        <f t="shared" si="16"/>
        <v>Available</v>
      </c>
      <c r="H218" s="69"/>
      <c r="I218" s="69"/>
      <c r="J218" s="69"/>
    </row>
    <row r="219">
      <c r="A219" s="69"/>
      <c r="B219" s="118"/>
      <c r="C219" s="70"/>
      <c r="D219" s="69"/>
      <c r="E219" s="112">
        <f t="shared" si="15"/>
        <v>0</v>
      </c>
      <c r="F219" s="113">
        <f>countif('Check in'!B:B,B219)</f>
        <v>0</v>
      </c>
      <c r="G219" s="39" t="str">
        <f t="shared" si="16"/>
        <v>Available</v>
      </c>
      <c r="H219" s="69"/>
      <c r="I219" s="69"/>
      <c r="J219" s="69"/>
    </row>
    <row r="220">
      <c r="A220" s="69"/>
      <c r="B220" s="118"/>
      <c r="C220" s="70"/>
      <c r="D220" s="69"/>
      <c r="E220" s="112">
        <f t="shared" si="15"/>
        <v>0</v>
      </c>
      <c r="F220" s="113">
        <f>countif('Check in'!B:B,B220)</f>
        <v>0</v>
      </c>
      <c r="G220" s="39" t="str">
        <f t="shared" si="16"/>
        <v>Available</v>
      </c>
      <c r="H220" s="69"/>
      <c r="I220" s="69"/>
      <c r="J220" s="69"/>
    </row>
    <row r="221">
      <c r="A221" s="69"/>
      <c r="B221" s="118"/>
      <c r="C221" s="70"/>
      <c r="D221" s="69"/>
      <c r="E221" s="112">
        <f t="shared" si="15"/>
        <v>0</v>
      </c>
      <c r="F221" s="113">
        <f>countif('Check in'!B:B,B221)</f>
        <v>0</v>
      </c>
      <c r="G221" s="39" t="str">
        <f t="shared" si="16"/>
        <v>Available</v>
      </c>
      <c r="H221" s="69"/>
      <c r="I221" s="69"/>
      <c r="J221" s="69"/>
    </row>
    <row r="222">
      <c r="A222" s="69"/>
      <c r="B222" s="118"/>
      <c r="C222" s="70"/>
      <c r="D222" s="69"/>
      <c r="E222" s="112">
        <f t="shared" si="15"/>
        <v>0</v>
      </c>
      <c r="F222" s="113">
        <f>countif('Check in'!B:B,B222)</f>
        <v>0</v>
      </c>
      <c r="G222" s="39" t="str">
        <f t="shared" si="16"/>
        <v>Available</v>
      </c>
      <c r="H222" s="69"/>
      <c r="I222" s="69"/>
      <c r="J222" s="69"/>
    </row>
    <row r="223">
      <c r="A223" s="69"/>
      <c r="B223" s="118"/>
      <c r="C223" s="70"/>
      <c r="D223" s="69"/>
      <c r="E223" s="112">
        <f t="shared" si="15"/>
        <v>0</v>
      </c>
      <c r="F223" s="113">
        <f>countif('Check in'!B:B,B223)</f>
        <v>0</v>
      </c>
      <c r="G223" s="39" t="str">
        <f t="shared" si="16"/>
        <v>Available</v>
      </c>
      <c r="H223" s="69"/>
      <c r="I223" s="69"/>
      <c r="J223" s="69"/>
    </row>
    <row r="224">
      <c r="A224" s="69"/>
      <c r="B224" s="118"/>
      <c r="C224" s="70"/>
      <c r="D224" s="69"/>
      <c r="E224" s="112">
        <f t="shared" si="15"/>
        <v>0</v>
      </c>
      <c r="F224" s="113">
        <f>countif('Check in'!B:B,B224)</f>
        <v>0</v>
      </c>
      <c r="G224" s="39" t="str">
        <f t="shared" si="16"/>
        <v>Available</v>
      </c>
      <c r="H224" s="69"/>
      <c r="I224" s="69"/>
      <c r="J224" s="69"/>
    </row>
    <row r="225">
      <c r="A225" s="69"/>
      <c r="B225" s="118"/>
      <c r="C225" s="70"/>
      <c r="D225" s="69"/>
      <c r="E225" s="112">
        <f t="shared" si="15"/>
        <v>0</v>
      </c>
      <c r="F225" s="113">
        <f>countif('Check in'!B:B,B225)</f>
        <v>0</v>
      </c>
      <c r="G225" s="39" t="str">
        <f t="shared" si="16"/>
        <v>Available</v>
      </c>
      <c r="H225" s="69"/>
      <c r="I225" s="69"/>
      <c r="J225" s="69"/>
    </row>
    <row r="226">
      <c r="A226" s="69"/>
      <c r="B226" s="118"/>
      <c r="C226" s="70"/>
      <c r="D226" s="69"/>
      <c r="E226" s="112">
        <f t="shared" si="15"/>
        <v>0</v>
      </c>
      <c r="F226" s="113">
        <f>countif('Check in'!B:B,B226)</f>
        <v>0</v>
      </c>
      <c r="G226" s="39" t="str">
        <f t="shared" si="16"/>
        <v>Available</v>
      </c>
      <c r="H226" s="69"/>
      <c r="I226" s="69"/>
      <c r="J226" s="69"/>
    </row>
    <row r="227">
      <c r="A227" s="69"/>
      <c r="B227" s="118"/>
      <c r="C227" s="70"/>
      <c r="D227" s="69"/>
      <c r="E227" s="112">
        <f t="shared" si="15"/>
        <v>0</v>
      </c>
      <c r="F227" s="113">
        <f>countif('Check in'!B:B,B227)</f>
        <v>0</v>
      </c>
      <c r="G227" s="39" t="str">
        <f t="shared" si="16"/>
        <v>Available</v>
      </c>
      <c r="H227" s="69"/>
      <c r="I227" s="69"/>
      <c r="J227" s="69"/>
    </row>
    <row r="228">
      <c r="A228" s="69"/>
      <c r="B228" s="118"/>
      <c r="C228" s="70"/>
      <c r="D228" s="69"/>
      <c r="E228" s="112">
        <f t="shared" si="15"/>
        <v>0</v>
      </c>
      <c r="F228" s="113">
        <f>countif('Check in'!B:B,B228)</f>
        <v>0</v>
      </c>
      <c r="G228" s="39" t="str">
        <f t="shared" si="16"/>
        <v>Available</v>
      </c>
      <c r="H228" s="69"/>
      <c r="I228" s="69"/>
      <c r="J228" s="69"/>
    </row>
    <row r="229">
      <c r="A229" s="69"/>
      <c r="B229" s="118"/>
      <c r="C229" s="70"/>
      <c r="D229" s="69"/>
      <c r="E229" s="112">
        <f t="shared" si="15"/>
        <v>0</v>
      </c>
      <c r="F229" s="113">
        <f>countif('Check in'!B:B,B229)</f>
        <v>0</v>
      </c>
      <c r="G229" s="39" t="str">
        <f t="shared" si="16"/>
        <v>Available</v>
      </c>
      <c r="H229" s="69"/>
      <c r="I229" s="69"/>
      <c r="J229" s="69"/>
    </row>
    <row r="230">
      <c r="A230" s="69"/>
      <c r="B230" s="118"/>
      <c r="C230" s="70"/>
      <c r="D230" s="69"/>
      <c r="E230" s="112">
        <f t="shared" si="15"/>
        <v>0</v>
      </c>
      <c r="F230" s="113">
        <f>countif('Check in'!B:B,B230)</f>
        <v>0</v>
      </c>
      <c r="G230" s="39" t="str">
        <f t="shared" si="16"/>
        <v>Available</v>
      </c>
      <c r="H230" s="69"/>
      <c r="I230" s="69"/>
      <c r="J230" s="69"/>
    </row>
    <row r="231">
      <c r="A231" s="69"/>
      <c r="B231" s="118"/>
      <c r="C231" s="70"/>
      <c r="D231" s="69"/>
      <c r="E231" s="112">
        <f t="shared" si="15"/>
        <v>0</v>
      </c>
      <c r="F231" s="113">
        <f>countif('Check in'!B:B,B231)</f>
        <v>0</v>
      </c>
      <c r="G231" s="39" t="str">
        <f t="shared" si="16"/>
        <v>Available</v>
      </c>
      <c r="H231" s="69"/>
      <c r="I231" s="69"/>
      <c r="J231" s="69"/>
    </row>
    <row r="232">
      <c r="A232" s="69"/>
      <c r="B232" s="118"/>
      <c r="C232" s="70"/>
      <c r="D232" s="69"/>
      <c r="E232" s="112">
        <f t="shared" si="15"/>
        <v>0</v>
      </c>
      <c r="F232" s="113">
        <f>countif('Check in'!B:B,B232)</f>
        <v>0</v>
      </c>
      <c r="G232" s="39" t="str">
        <f t="shared" si="16"/>
        <v>Available</v>
      </c>
      <c r="H232" s="69"/>
      <c r="I232" s="69"/>
      <c r="J232" s="69"/>
    </row>
    <row r="233">
      <c r="A233" s="69"/>
      <c r="B233" s="118"/>
      <c r="C233" s="70"/>
      <c r="D233" s="69"/>
      <c r="E233" s="112">
        <f t="shared" si="15"/>
        <v>0</v>
      </c>
      <c r="F233" s="113">
        <f>countif('Check in'!B:B,B233)</f>
        <v>0</v>
      </c>
      <c r="G233" s="39" t="str">
        <f t="shared" si="16"/>
        <v>Available</v>
      </c>
      <c r="H233" s="69"/>
      <c r="I233" s="69"/>
      <c r="J233" s="69"/>
    </row>
    <row r="234">
      <c r="A234" s="69"/>
      <c r="B234" s="118"/>
      <c r="C234" s="70"/>
      <c r="D234" s="69"/>
      <c r="E234" s="112">
        <f t="shared" si="15"/>
        <v>0</v>
      </c>
      <c r="F234" s="113">
        <f>countif('Check in'!B:B,B234)</f>
        <v>0</v>
      </c>
      <c r="G234" s="39" t="str">
        <f t="shared" si="16"/>
        <v>Available</v>
      </c>
      <c r="H234" s="69"/>
      <c r="I234" s="69"/>
      <c r="J234" s="69"/>
    </row>
    <row r="235">
      <c r="A235" s="69"/>
      <c r="B235" s="118"/>
      <c r="C235" s="70"/>
      <c r="D235" s="69"/>
      <c r="E235" s="112">
        <f t="shared" si="15"/>
        <v>0</v>
      </c>
      <c r="F235" s="113">
        <f>countif('Check in'!B:B,B235)</f>
        <v>0</v>
      </c>
      <c r="G235" s="39" t="str">
        <f t="shared" si="16"/>
        <v>Available</v>
      </c>
      <c r="H235" s="69"/>
      <c r="I235" s="69"/>
      <c r="J235" s="69"/>
    </row>
    <row r="236">
      <c r="A236" s="69"/>
      <c r="B236" s="118"/>
      <c r="C236" s="70"/>
      <c r="D236" s="69"/>
      <c r="E236" s="112">
        <f t="shared" si="15"/>
        <v>0</v>
      </c>
      <c r="F236" s="113">
        <f>countif('Check in'!B:B,B236)</f>
        <v>0</v>
      </c>
      <c r="G236" s="39" t="str">
        <f t="shared" si="16"/>
        <v>Available</v>
      </c>
      <c r="H236" s="69"/>
      <c r="I236" s="69"/>
      <c r="J236" s="69"/>
    </row>
    <row r="237">
      <c r="A237" s="69"/>
      <c r="B237" s="118"/>
      <c r="C237" s="70"/>
      <c r="D237" s="69"/>
      <c r="E237" s="112">
        <f t="shared" si="15"/>
        <v>0</v>
      </c>
      <c r="F237" s="113">
        <f>countif('Check in'!B:B,B237)</f>
        <v>0</v>
      </c>
      <c r="G237" s="39" t="str">
        <f t="shared" si="16"/>
        <v>Available</v>
      </c>
      <c r="H237" s="69"/>
      <c r="I237" s="69"/>
      <c r="J237" s="69"/>
    </row>
    <row r="238">
      <c r="A238" s="69"/>
      <c r="B238" s="118"/>
      <c r="C238" s="70"/>
      <c r="D238" s="69"/>
      <c r="E238" s="112">
        <f t="shared" si="15"/>
        <v>0</v>
      </c>
      <c r="F238" s="113">
        <f>countif('Check in'!B:B,B238)</f>
        <v>0</v>
      </c>
      <c r="G238" s="39" t="str">
        <f t="shared" si="16"/>
        <v>Available</v>
      </c>
      <c r="H238" s="69"/>
      <c r="I238" s="69"/>
      <c r="J238" s="69"/>
    </row>
    <row r="239">
      <c r="A239" s="69"/>
      <c r="B239" s="118"/>
      <c r="C239" s="70"/>
      <c r="D239" s="69"/>
      <c r="E239" s="112">
        <f t="shared" si="15"/>
        <v>0</v>
      </c>
      <c r="F239" s="113">
        <f>countif('Check in'!B:B,B239)</f>
        <v>0</v>
      </c>
      <c r="G239" s="39" t="str">
        <f t="shared" si="16"/>
        <v>Available</v>
      </c>
      <c r="H239" s="69"/>
      <c r="I239" s="69"/>
      <c r="J239" s="69"/>
    </row>
    <row r="240">
      <c r="A240" s="69"/>
      <c r="B240" s="118"/>
      <c r="C240" s="70"/>
      <c r="D240" s="69"/>
      <c r="E240" s="112">
        <f t="shared" si="15"/>
        <v>0</v>
      </c>
      <c r="F240" s="113">
        <f>countif('Check in'!B:B,B240)</f>
        <v>0</v>
      </c>
      <c r="G240" s="39" t="str">
        <f t="shared" si="16"/>
        <v>Available</v>
      </c>
      <c r="H240" s="69"/>
      <c r="I240" s="69"/>
      <c r="J240" s="69"/>
    </row>
    <row r="241">
      <c r="A241" s="69"/>
      <c r="B241" s="118"/>
      <c r="C241" s="70"/>
      <c r="D241" s="69"/>
      <c r="E241" s="112">
        <f t="shared" si="15"/>
        <v>0</v>
      </c>
      <c r="F241" s="113">
        <f>countif('Check in'!B:B,B241)</f>
        <v>0</v>
      </c>
      <c r="G241" s="39" t="str">
        <f t="shared" si="16"/>
        <v>Available</v>
      </c>
      <c r="H241" s="69"/>
      <c r="I241" s="69"/>
      <c r="J241" s="69"/>
    </row>
    <row r="242">
      <c r="A242" s="69"/>
      <c r="B242" s="118"/>
      <c r="C242" s="70"/>
      <c r="D242" s="69"/>
      <c r="E242" s="112">
        <f t="shared" si="15"/>
        <v>0</v>
      </c>
      <c r="F242" s="113">
        <f>countif('Check in'!B:B,B242)</f>
        <v>0</v>
      </c>
      <c r="G242" s="39" t="str">
        <f t="shared" si="16"/>
        <v>Available</v>
      </c>
      <c r="H242" s="69"/>
      <c r="I242" s="69"/>
      <c r="J242" s="69"/>
    </row>
    <row r="243">
      <c r="A243" s="69"/>
      <c r="B243" s="118"/>
      <c r="C243" s="70"/>
      <c r="D243" s="69"/>
      <c r="E243" s="112">
        <f t="shared" si="15"/>
        <v>0</v>
      </c>
      <c r="F243" s="113">
        <f>countif('Check in'!B:B,B243)</f>
        <v>0</v>
      </c>
      <c r="G243" s="39" t="str">
        <f t="shared" si="16"/>
        <v>Available</v>
      </c>
      <c r="H243" s="69"/>
      <c r="I243" s="69"/>
      <c r="J243" s="69"/>
    </row>
    <row r="244">
      <c r="A244" s="69"/>
      <c r="B244" s="118"/>
      <c r="C244" s="70"/>
      <c r="D244" s="69"/>
      <c r="E244" s="112">
        <f t="shared" si="15"/>
        <v>0</v>
      </c>
      <c r="F244" s="113">
        <f>countif('Check in'!B:B,B244)</f>
        <v>0</v>
      </c>
      <c r="G244" s="39" t="str">
        <f t="shared" si="16"/>
        <v>Available</v>
      </c>
      <c r="H244" s="69"/>
      <c r="I244" s="69"/>
      <c r="J244" s="69"/>
    </row>
    <row r="245">
      <c r="A245" s="69"/>
      <c r="B245" s="118"/>
      <c r="C245" s="70"/>
      <c r="D245" s="69"/>
      <c r="E245" s="112">
        <f t="shared" si="15"/>
        <v>0</v>
      </c>
      <c r="F245" s="113">
        <f>countif('Check in'!B:B,B245)</f>
        <v>0</v>
      </c>
      <c r="G245" s="39" t="str">
        <f t="shared" si="16"/>
        <v>Available</v>
      </c>
      <c r="H245" s="69"/>
      <c r="I245" s="69"/>
      <c r="J245" s="69"/>
    </row>
    <row r="246">
      <c r="A246" s="69"/>
      <c r="B246" s="118"/>
      <c r="C246" s="70"/>
      <c r="D246" s="69"/>
      <c r="E246" s="112">
        <f t="shared" si="15"/>
        <v>0</v>
      </c>
      <c r="F246" s="113">
        <f>countif('Check in'!B:B,B246)</f>
        <v>0</v>
      </c>
      <c r="G246" s="39" t="str">
        <f t="shared" si="16"/>
        <v>Available</v>
      </c>
      <c r="H246" s="69"/>
      <c r="I246" s="69"/>
      <c r="J246" s="69"/>
    </row>
    <row r="247">
      <c r="A247" s="69"/>
      <c r="B247" s="118"/>
      <c r="C247" s="70"/>
      <c r="D247" s="69"/>
      <c r="E247" s="112">
        <f t="shared" si="15"/>
        <v>0</v>
      </c>
      <c r="F247" s="113">
        <f>countif('Check in'!B:B,B247)</f>
        <v>0</v>
      </c>
      <c r="G247" s="39" t="str">
        <f t="shared" si="16"/>
        <v>Available</v>
      </c>
      <c r="H247" s="69"/>
      <c r="I247" s="69"/>
      <c r="J247" s="69"/>
    </row>
    <row r="248">
      <c r="A248" s="69"/>
      <c r="B248" s="118"/>
      <c r="C248" s="70"/>
      <c r="D248" s="69"/>
      <c r="E248" s="112">
        <f t="shared" si="15"/>
        <v>0</v>
      </c>
      <c r="F248" s="113">
        <f>countif('Check in'!B:B,B248)</f>
        <v>0</v>
      </c>
      <c r="G248" s="39" t="str">
        <f t="shared" si="16"/>
        <v>Available</v>
      </c>
      <c r="H248" s="69"/>
      <c r="I248" s="69"/>
      <c r="J248" s="69"/>
    </row>
    <row r="249">
      <c r="A249" s="69"/>
      <c r="B249" s="118"/>
      <c r="C249" s="70"/>
      <c r="D249" s="69"/>
      <c r="E249" s="112">
        <f t="shared" si="15"/>
        <v>0</v>
      </c>
      <c r="F249" s="113">
        <f>countif('Check in'!B:B,B249)</f>
        <v>0</v>
      </c>
      <c r="G249" s="39" t="str">
        <f t="shared" si="16"/>
        <v>Available</v>
      </c>
      <c r="H249" s="69"/>
      <c r="I249" s="69"/>
      <c r="J249" s="69"/>
    </row>
    <row r="250">
      <c r="A250" s="69"/>
      <c r="B250" s="118"/>
      <c r="C250" s="70"/>
      <c r="D250" s="69"/>
      <c r="E250" s="112">
        <f t="shared" si="15"/>
        <v>0</v>
      </c>
      <c r="F250" s="113">
        <f>countif('Check in'!B:B,B250)</f>
        <v>0</v>
      </c>
      <c r="G250" s="39" t="str">
        <f t="shared" si="16"/>
        <v>Available</v>
      </c>
      <c r="H250" s="69"/>
      <c r="I250" s="69"/>
      <c r="J250" s="69"/>
    </row>
    <row r="251">
      <c r="A251" s="69"/>
      <c r="B251" s="118"/>
      <c r="C251" s="70"/>
      <c r="D251" s="69"/>
      <c r="E251" s="112">
        <f t="shared" si="15"/>
        <v>0</v>
      </c>
      <c r="F251" s="113">
        <f>countif('Check in'!B:B,B251)</f>
        <v>0</v>
      </c>
      <c r="G251" s="39" t="str">
        <f t="shared" si="16"/>
        <v>Available</v>
      </c>
      <c r="H251" s="69"/>
      <c r="I251" s="69"/>
      <c r="J251" s="69"/>
    </row>
    <row r="252">
      <c r="A252" s="69"/>
      <c r="B252" s="118"/>
      <c r="C252" s="70"/>
      <c r="D252" s="69"/>
      <c r="E252" s="112">
        <f t="shared" si="15"/>
        <v>0</v>
      </c>
      <c r="F252" s="113">
        <f>countif('Check in'!B:B,B252)</f>
        <v>0</v>
      </c>
      <c r="G252" s="39" t="str">
        <f t="shared" si="16"/>
        <v>Available</v>
      </c>
      <c r="H252" s="69"/>
      <c r="I252" s="69"/>
      <c r="J252" s="69"/>
    </row>
    <row r="253">
      <c r="A253" s="69"/>
      <c r="B253" s="118"/>
      <c r="C253" s="70"/>
      <c r="D253" s="69"/>
      <c r="E253" s="112">
        <f t="shared" si="15"/>
        <v>0</v>
      </c>
      <c r="F253" s="113">
        <f>countif('Check in'!B:B,B253)</f>
        <v>0</v>
      </c>
      <c r="G253" s="39" t="str">
        <f t="shared" si="16"/>
        <v>Available</v>
      </c>
      <c r="H253" s="69"/>
      <c r="I253" s="69"/>
      <c r="J253" s="69"/>
    </row>
    <row r="254">
      <c r="A254" s="69"/>
      <c r="B254" s="118"/>
      <c r="C254" s="70"/>
      <c r="D254" s="69"/>
      <c r="E254" s="112">
        <f t="shared" si="15"/>
        <v>0</v>
      </c>
      <c r="F254" s="113">
        <f>countif('Check in'!B:B,B254)</f>
        <v>0</v>
      </c>
      <c r="G254" s="39" t="str">
        <f t="shared" si="16"/>
        <v>Available</v>
      </c>
      <c r="H254" s="69"/>
      <c r="I254" s="69"/>
      <c r="J254" s="69"/>
    </row>
    <row r="255">
      <c r="A255" s="69"/>
      <c r="B255" s="118"/>
      <c r="C255" s="70"/>
      <c r="D255" s="69"/>
      <c r="E255" s="112">
        <f t="shared" si="15"/>
        <v>0</v>
      </c>
      <c r="F255" s="113">
        <f>countif('Check in'!B:B,B255)</f>
        <v>0</v>
      </c>
      <c r="G255" s="39" t="str">
        <f t="shared" si="16"/>
        <v>Available</v>
      </c>
      <c r="H255" s="69"/>
      <c r="I255" s="69"/>
      <c r="J255" s="69"/>
    </row>
    <row r="256">
      <c r="A256" s="69"/>
      <c r="B256" s="118"/>
      <c r="C256" s="70"/>
      <c r="D256" s="69"/>
      <c r="E256" s="112">
        <f t="shared" si="15"/>
        <v>0</v>
      </c>
      <c r="F256" s="113">
        <f>countif('Check in'!B:B,B256)</f>
        <v>0</v>
      </c>
      <c r="G256" s="39" t="str">
        <f t="shared" si="16"/>
        <v>Available</v>
      </c>
      <c r="H256" s="69"/>
      <c r="I256" s="69"/>
      <c r="J256" s="69"/>
    </row>
    <row r="257">
      <c r="A257" s="69"/>
      <c r="B257" s="118"/>
      <c r="C257" s="70"/>
      <c r="D257" s="69"/>
      <c r="E257" s="112">
        <f t="shared" si="15"/>
        <v>0</v>
      </c>
      <c r="F257" s="113">
        <f>countif('Check in'!B:B,B257)</f>
        <v>0</v>
      </c>
      <c r="G257" s="39" t="str">
        <f t="shared" si="16"/>
        <v>Available</v>
      </c>
      <c r="H257" s="69"/>
      <c r="I257" s="69"/>
      <c r="J257" s="69"/>
    </row>
    <row r="258">
      <c r="A258" s="69"/>
      <c r="B258" s="118"/>
      <c r="C258" s="70"/>
      <c r="D258" s="69"/>
      <c r="E258" s="112">
        <f t="shared" si="15"/>
        <v>0</v>
      </c>
      <c r="F258" s="113">
        <f>countif('Check in'!B:B,B258)</f>
        <v>0</v>
      </c>
      <c r="G258" s="39" t="str">
        <f t="shared" si="16"/>
        <v>Available</v>
      </c>
      <c r="H258" s="69"/>
      <c r="I258" s="69"/>
      <c r="J258" s="69"/>
    </row>
    <row r="259">
      <c r="A259" s="69"/>
      <c r="B259" s="118"/>
      <c r="C259" s="70"/>
      <c r="D259" s="69"/>
      <c r="E259" s="112">
        <f t="shared" si="15"/>
        <v>0</v>
      </c>
      <c r="F259" s="113">
        <f>countif('Check in'!B:B,B259)</f>
        <v>0</v>
      </c>
      <c r="G259" s="39" t="str">
        <f t="shared" si="16"/>
        <v>Available</v>
      </c>
      <c r="H259" s="69"/>
      <c r="I259" s="69"/>
      <c r="J259" s="69"/>
    </row>
    <row r="260">
      <c r="A260" s="69"/>
      <c r="B260" s="118"/>
      <c r="C260" s="70"/>
      <c r="D260" s="69"/>
      <c r="E260" s="112">
        <f t="shared" si="15"/>
        <v>0</v>
      </c>
      <c r="F260" s="113">
        <f>countif('Check in'!B:B,B260)</f>
        <v>0</v>
      </c>
      <c r="G260" s="39" t="str">
        <f t="shared" si="16"/>
        <v>Available</v>
      </c>
      <c r="H260" s="69"/>
      <c r="I260" s="69"/>
      <c r="J260" s="69"/>
    </row>
    <row r="261">
      <c r="A261" s="69"/>
      <c r="B261" s="118"/>
      <c r="C261" s="70"/>
      <c r="D261" s="69"/>
      <c r="E261" s="112">
        <f t="shared" si="15"/>
        <v>0</v>
      </c>
      <c r="F261" s="113">
        <f>countif('Check in'!B:B,B261)</f>
        <v>0</v>
      </c>
      <c r="G261" s="39" t="str">
        <f t="shared" si="16"/>
        <v>Available</v>
      </c>
      <c r="H261" s="69"/>
      <c r="I261" s="69"/>
      <c r="J261" s="69"/>
    </row>
    <row r="262">
      <c r="A262" s="69"/>
      <c r="B262" s="118"/>
      <c r="C262" s="70"/>
      <c r="D262" s="69"/>
      <c r="E262" s="112">
        <f t="shared" si="15"/>
        <v>0</v>
      </c>
      <c r="F262" s="113">
        <f>countif('Check in'!B:B,B262)</f>
        <v>0</v>
      </c>
      <c r="G262" s="39" t="str">
        <f t="shared" si="16"/>
        <v>Available</v>
      </c>
      <c r="H262" s="69"/>
      <c r="I262" s="69"/>
      <c r="J262" s="69"/>
    </row>
    <row r="263">
      <c r="A263" s="69"/>
      <c r="B263" s="118"/>
      <c r="C263" s="70"/>
      <c r="D263" s="69"/>
      <c r="E263" s="112">
        <f t="shared" si="15"/>
        <v>0</v>
      </c>
      <c r="F263" s="113">
        <f>countif('Check in'!B:B,B263)</f>
        <v>0</v>
      </c>
      <c r="G263" s="39" t="str">
        <f t="shared" si="16"/>
        <v>Available</v>
      </c>
      <c r="H263" s="69"/>
      <c r="I263" s="69"/>
      <c r="J263" s="69"/>
    </row>
    <row r="264">
      <c r="A264" s="69"/>
      <c r="B264" s="118"/>
      <c r="C264" s="70"/>
      <c r="D264" s="69"/>
      <c r="E264" s="112">
        <f t="shared" si="15"/>
        <v>0</v>
      </c>
      <c r="F264" s="113">
        <f>countif('Check in'!B:B,B264)</f>
        <v>0</v>
      </c>
      <c r="G264" s="39" t="str">
        <f t="shared" si="16"/>
        <v>Available</v>
      </c>
      <c r="H264" s="69"/>
      <c r="I264" s="69"/>
      <c r="J264" s="69"/>
    </row>
    <row r="265">
      <c r="A265" s="69"/>
      <c r="B265" s="118"/>
      <c r="C265" s="70"/>
      <c r="D265" s="69"/>
      <c r="E265" s="112">
        <f t="shared" si="15"/>
        <v>0</v>
      </c>
      <c r="F265" s="113">
        <f>countif('Check in'!B:B,B265)</f>
        <v>0</v>
      </c>
      <c r="G265" s="39" t="str">
        <f t="shared" si="16"/>
        <v>Available</v>
      </c>
      <c r="H265" s="69"/>
      <c r="I265" s="69"/>
      <c r="J265" s="69"/>
    </row>
    <row r="266">
      <c r="A266" s="69"/>
      <c r="B266" s="118"/>
      <c r="C266" s="70"/>
      <c r="D266" s="69"/>
      <c r="E266" s="112">
        <f t="shared" si="15"/>
        <v>0</v>
      </c>
      <c r="F266" s="113">
        <f>countif('Check in'!B:B,B266)</f>
        <v>0</v>
      </c>
      <c r="G266" s="39" t="str">
        <f t="shared" si="16"/>
        <v>Available</v>
      </c>
      <c r="H266" s="69"/>
      <c r="I266" s="69"/>
      <c r="J266" s="69"/>
    </row>
    <row r="267">
      <c r="A267" s="69"/>
      <c r="B267" s="118"/>
      <c r="C267" s="70"/>
      <c r="D267" s="69"/>
      <c r="E267" s="112">
        <f t="shared" si="15"/>
        <v>0</v>
      </c>
      <c r="F267" s="113">
        <f>countif('Check in'!B:B,B267)</f>
        <v>0</v>
      </c>
      <c r="G267" s="39" t="str">
        <f t="shared" si="16"/>
        <v>Available</v>
      </c>
      <c r="H267" s="69"/>
      <c r="I267" s="69"/>
      <c r="J267" s="69"/>
    </row>
    <row r="268">
      <c r="A268" s="69"/>
      <c r="B268" s="118"/>
      <c r="C268" s="70"/>
      <c r="D268" s="69"/>
      <c r="E268" s="112">
        <f t="shared" si="15"/>
        <v>0</v>
      </c>
      <c r="F268" s="113">
        <f>countif('Check in'!B:B,B268)</f>
        <v>0</v>
      </c>
      <c r="G268" s="39" t="str">
        <f t="shared" si="16"/>
        <v>Available</v>
      </c>
      <c r="H268" s="69"/>
      <c r="I268" s="69"/>
      <c r="J268" s="69"/>
    </row>
    <row r="269">
      <c r="A269" s="69"/>
      <c r="B269" s="118"/>
      <c r="C269" s="70"/>
      <c r="D269" s="69"/>
      <c r="E269" s="112">
        <f t="shared" si="15"/>
        <v>0</v>
      </c>
      <c r="F269" s="113">
        <f>countif('Check in'!B:B,B269)</f>
        <v>0</v>
      </c>
      <c r="G269" s="39" t="str">
        <f t="shared" si="16"/>
        <v>Available</v>
      </c>
      <c r="H269" s="69"/>
      <c r="I269" s="69"/>
      <c r="J269" s="69"/>
    </row>
    <row r="270">
      <c r="A270" s="69"/>
      <c r="B270" s="118"/>
      <c r="C270" s="70"/>
      <c r="D270" s="69"/>
      <c r="E270" s="112">
        <f t="shared" si="15"/>
        <v>0</v>
      </c>
      <c r="F270" s="113">
        <f>countif('Check in'!B:B,B270)</f>
        <v>0</v>
      </c>
      <c r="G270" s="39" t="str">
        <f t="shared" si="16"/>
        <v>Available</v>
      </c>
      <c r="H270" s="69"/>
      <c r="I270" s="69"/>
      <c r="J270" s="69"/>
    </row>
    <row r="271">
      <c r="A271" s="69"/>
      <c r="B271" s="118"/>
      <c r="C271" s="70"/>
      <c r="D271" s="69"/>
      <c r="E271" s="112">
        <f t="shared" si="15"/>
        <v>0</v>
      </c>
      <c r="F271" s="113">
        <f>countif('Check in'!B:B,B271)</f>
        <v>0</v>
      </c>
      <c r="G271" s="39" t="str">
        <f t="shared" si="16"/>
        <v>Available</v>
      </c>
      <c r="H271" s="69"/>
      <c r="I271" s="69"/>
      <c r="J271" s="69"/>
    </row>
    <row r="272">
      <c r="A272" s="69"/>
      <c r="B272" s="118"/>
      <c r="C272" s="70"/>
      <c r="D272" s="69"/>
      <c r="E272" s="112">
        <f t="shared" si="15"/>
        <v>0</v>
      </c>
      <c r="F272" s="113">
        <f>countif('Check in'!B:B,B272)</f>
        <v>0</v>
      </c>
      <c r="G272" s="39" t="str">
        <f t="shared" si="16"/>
        <v>Available</v>
      </c>
      <c r="H272" s="69"/>
      <c r="I272" s="69"/>
      <c r="J272" s="69"/>
    </row>
    <row r="273">
      <c r="A273" s="69"/>
      <c r="B273" s="118"/>
      <c r="C273" s="70"/>
      <c r="D273" s="69"/>
      <c r="E273" s="112">
        <f t="shared" si="15"/>
        <v>0</v>
      </c>
      <c r="F273" s="113">
        <f>countif('Check in'!B:B,B273)</f>
        <v>0</v>
      </c>
      <c r="G273" s="39" t="str">
        <f t="shared" si="16"/>
        <v>Available</v>
      </c>
      <c r="H273" s="69"/>
      <c r="I273" s="69"/>
      <c r="J273" s="69"/>
    </row>
    <row r="274">
      <c r="A274" s="69"/>
      <c r="B274" s="118"/>
      <c r="C274" s="70"/>
      <c r="D274" s="69"/>
      <c r="E274" s="112">
        <f t="shared" si="15"/>
        <v>0</v>
      </c>
      <c r="F274" s="113">
        <f>countif('Check in'!B:B,B274)</f>
        <v>0</v>
      </c>
      <c r="G274" s="39" t="str">
        <f t="shared" si="16"/>
        <v>Available</v>
      </c>
      <c r="H274" s="69"/>
      <c r="I274" s="69"/>
      <c r="J274" s="69"/>
    </row>
    <row r="275">
      <c r="A275" s="69"/>
      <c r="B275" s="118"/>
      <c r="C275" s="70"/>
      <c r="D275" s="69"/>
      <c r="E275" s="112">
        <f t="shared" si="15"/>
        <v>0</v>
      </c>
      <c r="F275" s="113">
        <f>countif('Check in'!B:B,B275)</f>
        <v>0</v>
      </c>
      <c r="G275" s="39" t="str">
        <f t="shared" si="16"/>
        <v>Available</v>
      </c>
      <c r="H275" s="69"/>
      <c r="I275" s="69"/>
      <c r="J275" s="69"/>
    </row>
    <row r="276">
      <c r="A276" s="69"/>
      <c r="B276" s="118"/>
      <c r="C276" s="70"/>
      <c r="D276" s="69"/>
      <c r="E276" s="112">
        <f t="shared" si="15"/>
        <v>0</v>
      </c>
      <c r="F276" s="113">
        <f>countif('Check in'!B:B,B276)</f>
        <v>0</v>
      </c>
      <c r="G276" s="39" t="str">
        <f t="shared" si="16"/>
        <v>Available</v>
      </c>
      <c r="H276" s="69"/>
      <c r="I276" s="69"/>
      <c r="J276" s="69"/>
    </row>
    <row r="277">
      <c r="A277" s="69"/>
      <c r="B277" s="118"/>
      <c r="C277" s="70"/>
      <c r="D277" s="69"/>
      <c r="E277" s="112">
        <f t="shared" si="15"/>
        <v>0</v>
      </c>
      <c r="F277" s="113">
        <f>countif('Check in'!B:B,B277)</f>
        <v>0</v>
      </c>
      <c r="G277" s="39" t="str">
        <f t="shared" si="16"/>
        <v>Available</v>
      </c>
      <c r="H277" s="69"/>
      <c r="I277" s="69"/>
      <c r="J277" s="69"/>
    </row>
    <row r="278">
      <c r="A278" s="69"/>
      <c r="B278" s="118"/>
      <c r="C278" s="70"/>
      <c r="D278" s="69"/>
      <c r="E278" s="112">
        <f t="shared" si="15"/>
        <v>0</v>
      </c>
      <c r="F278" s="113">
        <f>countif('Check in'!B:B,B278)</f>
        <v>0</v>
      </c>
      <c r="G278" s="39" t="str">
        <f t="shared" si="16"/>
        <v>Available</v>
      </c>
      <c r="H278" s="69"/>
      <c r="I278" s="69"/>
      <c r="J278" s="69"/>
    </row>
    <row r="279">
      <c r="A279" s="69"/>
      <c r="B279" s="118"/>
      <c r="C279" s="70"/>
      <c r="D279" s="69"/>
      <c r="E279" s="112">
        <f t="shared" si="15"/>
        <v>0</v>
      </c>
      <c r="F279" s="113">
        <f>countif('Check in'!B:B,B279)</f>
        <v>0</v>
      </c>
      <c r="G279" s="39" t="str">
        <f t="shared" si="16"/>
        <v>Available</v>
      </c>
      <c r="H279" s="69"/>
      <c r="I279" s="69"/>
      <c r="J279" s="69"/>
    </row>
    <row r="280">
      <c r="A280" s="69"/>
      <c r="B280" s="118"/>
      <c r="C280" s="70"/>
      <c r="D280" s="69"/>
      <c r="E280" s="112">
        <f t="shared" si="15"/>
        <v>0</v>
      </c>
      <c r="F280" s="113">
        <f>countif('Check in'!B:B,B280)</f>
        <v>0</v>
      </c>
      <c r="G280" s="39" t="str">
        <f t="shared" si="16"/>
        <v>Available</v>
      </c>
      <c r="H280" s="69"/>
      <c r="I280" s="69"/>
      <c r="J280" s="69"/>
    </row>
    <row r="281">
      <c r="A281" s="69"/>
      <c r="B281" s="118"/>
      <c r="C281" s="70"/>
      <c r="D281" s="69"/>
      <c r="E281" s="112">
        <f t="shared" si="15"/>
        <v>0</v>
      </c>
      <c r="F281" s="113">
        <f>countif('Check in'!B:B,B281)</f>
        <v>0</v>
      </c>
      <c r="G281" s="39" t="str">
        <f t="shared" si="16"/>
        <v>Available</v>
      </c>
      <c r="H281" s="69"/>
      <c r="I281" s="69"/>
      <c r="J281" s="69"/>
    </row>
    <row r="282">
      <c r="A282" s="69"/>
      <c r="B282" s="118"/>
      <c r="C282" s="70"/>
      <c r="D282" s="69"/>
      <c r="E282" s="112">
        <f t="shared" si="15"/>
        <v>0</v>
      </c>
      <c r="F282" s="113">
        <f>countif('Check in'!B:B,B282)</f>
        <v>0</v>
      </c>
      <c r="G282" s="39" t="str">
        <f t="shared" si="16"/>
        <v>Available</v>
      </c>
      <c r="H282" s="69"/>
      <c r="I282" s="69"/>
      <c r="J282" s="69"/>
    </row>
    <row r="283">
      <c r="A283" s="69"/>
      <c r="B283" s="118"/>
      <c r="C283" s="70"/>
      <c r="D283" s="69"/>
      <c r="E283" s="112">
        <f t="shared" si="15"/>
        <v>0</v>
      </c>
      <c r="F283" s="113">
        <f>countif('Check in'!B:B,B283)</f>
        <v>0</v>
      </c>
      <c r="G283" s="39" t="str">
        <f t="shared" si="16"/>
        <v>Available</v>
      </c>
      <c r="H283" s="69"/>
      <c r="I283" s="69"/>
      <c r="J283" s="69"/>
    </row>
    <row r="284">
      <c r="A284" s="69"/>
      <c r="B284" s="118"/>
      <c r="C284" s="70"/>
      <c r="D284" s="69"/>
      <c r="E284" s="112">
        <f t="shared" si="15"/>
        <v>0</v>
      </c>
      <c r="F284" s="113">
        <f>countif('Check in'!B:B,B284)</f>
        <v>0</v>
      </c>
      <c r="G284" s="39" t="str">
        <f t="shared" si="16"/>
        <v>Available</v>
      </c>
      <c r="H284" s="69"/>
      <c r="I284" s="69"/>
      <c r="J284" s="69"/>
    </row>
    <row r="285">
      <c r="A285" s="69"/>
      <c r="B285" s="118"/>
      <c r="C285" s="70"/>
      <c r="D285" s="69"/>
      <c r="E285" s="112">
        <f t="shared" si="15"/>
        <v>0</v>
      </c>
      <c r="F285" s="113">
        <f>countif('Check in'!B:B,B285)</f>
        <v>0</v>
      </c>
      <c r="G285" s="39" t="str">
        <f t="shared" si="16"/>
        <v>Available</v>
      </c>
      <c r="H285" s="69"/>
      <c r="I285" s="69"/>
      <c r="J285" s="69"/>
    </row>
    <row r="286">
      <c r="A286" s="69"/>
      <c r="B286" s="118"/>
      <c r="C286" s="70"/>
      <c r="D286" s="69"/>
      <c r="E286" s="112">
        <f t="shared" si="15"/>
        <v>0</v>
      </c>
      <c r="F286" s="113">
        <f>countif('Check in'!B:B,B286)</f>
        <v>0</v>
      </c>
      <c r="G286" s="39" t="str">
        <f t="shared" si="16"/>
        <v>Available</v>
      </c>
      <c r="H286" s="69"/>
      <c r="I286" s="69"/>
      <c r="J286" s="69"/>
    </row>
    <row r="287">
      <c r="A287" s="69"/>
      <c r="B287" s="118"/>
      <c r="C287" s="70"/>
      <c r="D287" s="69"/>
      <c r="E287" s="112">
        <f t="shared" si="15"/>
        <v>0</v>
      </c>
      <c r="F287" s="113">
        <f>countif('Check in'!B:B,B287)</f>
        <v>0</v>
      </c>
      <c r="G287" s="39" t="str">
        <f t="shared" si="16"/>
        <v>Available</v>
      </c>
      <c r="H287" s="69"/>
      <c r="I287" s="69"/>
      <c r="J287" s="69"/>
    </row>
    <row r="288">
      <c r="A288" s="69"/>
      <c r="B288" s="118"/>
      <c r="C288" s="70"/>
      <c r="D288" s="69"/>
      <c r="E288" s="112">
        <f t="shared" si="15"/>
        <v>0</v>
      </c>
      <c r="F288" s="113">
        <f>countif('Check in'!B:B,B288)</f>
        <v>0</v>
      </c>
      <c r="G288" s="39" t="str">
        <f t="shared" si="16"/>
        <v>Available</v>
      </c>
      <c r="H288" s="69"/>
      <c r="I288" s="69"/>
      <c r="J288" s="69"/>
    </row>
    <row r="289">
      <c r="A289" s="69"/>
      <c r="B289" s="118"/>
      <c r="C289" s="70"/>
      <c r="D289" s="69"/>
      <c r="E289" s="112">
        <f t="shared" si="15"/>
        <v>0</v>
      </c>
      <c r="F289" s="113">
        <f>countif('Check in'!B:B,B289)</f>
        <v>0</v>
      </c>
      <c r="G289" s="39" t="str">
        <f t="shared" si="16"/>
        <v>Available</v>
      </c>
      <c r="H289" s="69"/>
      <c r="I289" s="69"/>
      <c r="J289" s="69"/>
    </row>
    <row r="290">
      <c r="A290" s="69"/>
      <c r="B290" s="118"/>
      <c r="C290" s="70"/>
      <c r="D290" s="69"/>
      <c r="E290" s="112">
        <f t="shared" si="15"/>
        <v>0</v>
      </c>
      <c r="F290" s="113">
        <f>countif('Check in'!B:B,B290)</f>
        <v>0</v>
      </c>
      <c r="G290" s="39" t="str">
        <f t="shared" si="16"/>
        <v>Available</v>
      </c>
      <c r="H290" s="69"/>
      <c r="I290" s="69"/>
      <c r="J290" s="69"/>
    </row>
    <row r="291">
      <c r="A291" s="69"/>
      <c r="B291" s="118"/>
      <c r="C291" s="70"/>
      <c r="D291" s="69"/>
      <c r="E291" s="112">
        <f t="shared" si="15"/>
        <v>0</v>
      </c>
      <c r="F291" s="113">
        <f>countif('Check in'!B:B,B291)</f>
        <v>0</v>
      </c>
      <c r="G291" s="39" t="str">
        <f t="shared" si="16"/>
        <v>Available</v>
      </c>
      <c r="H291" s="69"/>
      <c r="I291" s="69"/>
      <c r="J291" s="69"/>
    </row>
    <row r="292">
      <c r="A292" s="69"/>
      <c r="B292" s="118"/>
      <c r="C292" s="70"/>
      <c r="D292" s="69"/>
      <c r="E292" s="112">
        <f t="shared" si="15"/>
        <v>0</v>
      </c>
      <c r="F292" s="113">
        <f>countif('Check in'!B:B,B292)</f>
        <v>0</v>
      </c>
      <c r="G292" s="39" t="str">
        <f t="shared" si="16"/>
        <v>Available</v>
      </c>
      <c r="H292" s="69"/>
      <c r="I292" s="69"/>
      <c r="J292" s="69"/>
    </row>
    <row r="293">
      <c r="A293" s="69"/>
      <c r="B293" s="118"/>
      <c r="C293" s="70"/>
      <c r="D293" s="69"/>
      <c r="E293" s="112">
        <f t="shared" si="15"/>
        <v>0</v>
      </c>
      <c r="F293" s="113">
        <f>countif('Check in'!B:B,B293)</f>
        <v>0</v>
      </c>
      <c r="G293" s="39" t="str">
        <f t="shared" si="16"/>
        <v>Available</v>
      </c>
      <c r="H293" s="69"/>
      <c r="I293" s="69"/>
      <c r="J293" s="69"/>
    </row>
    <row r="294">
      <c r="A294" s="69"/>
      <c r="B294" s="118"/>
      <c r="C294" s="70"/>
      <c r="D294" s="69"/>
      <c r="E294" s="112">
        <f t="shared" si="15"/>
        <v>0</v>
      </c>
      <c r="F294" s="113">
        <f>countif('Check in'!B:B,B294)</f>
        <v>0</v>
      </c>
      <c r="G294" s="39" t="str">
        <f t="shared" si="16"/>
        <v>Available</v>
      </c>
      <c r="H294" s="69"/>
      <c r="I294" s="69"/>
      <c r="J294" s="69"/>
    </row>
    <row r="295">
      <c r="A295" s="69"/>
      <c r="B295" s="118"/>
      <c r="C295" s="70"/>
      <c r="D295" s="69"/>
      <c r="E295" s="112">
        <f t="shared" si="15"/>
        <v>0</v>
      </c>
      <c r="F295" s="113">
        <f>countif('Check in'!B:B,B295)</f>
        <v>0</v>
      </c>
      <c r="G295" s="39" t="str">
        <f t="shared" si="16"/>
        <v>Available</v>
      </c>
      <c r="H295" s="69"/>
      <c r="I295" s="69"/>
      <c r="J295" s="69"/>
    </row>
    <row r="296">
      <c r="A296" s="69"/>
      <c r="B296" s="118"/>
      <c r="C296" s="70"/>
      <c r="D296" s="69"/>
      <c r="E296" s="112">
        <f t="shared" si="15"/>
        <v>0</v>
      </c>
      <c r="F296" s="113">
        <f>countif('Check in'!B:B,B296)</f>
        <v>0</v>
      </c>
      <c r="G296" s="39" t="str">
        <f t="shared" si="16"/>
        <v>Available</v>
      </c>
      <c r="H296" s="69"/>
      <c r="I296" s="69"/>
      <c r="J296" s="69"/>
    </row>
    <row r="297">
      <c r="A297" s="69"/>
      <c r="B297" s="118"/>
      <c r="C297" s="70"/>
      <c r="D297" s="69"/>
      <c r="E297" s="112">
        <f t="shared" si="15"/>
        <v>0</v>
      </c>
      <c r="F297" s="113">
        <f>countif('Check in'!B:B,B297)</f>
        <v>0</v>
      </c>
      <c r="G297" s="39" t="str">
        <f t="shared" si="16"/>
        <v>Available</v>
      </c>
      <c r="H297" s="69"/>
      <c r="I297" s="69"/>
      <c r="J297" s="69"/>
    </row>
    <row r="298">
      <c r="A298" s="69"/>
      <c r="B298" s="118"/>
      <c r="C298" s="70"/>
      <c r="D298" s="69"/>
      <c r="E298" s="112">
        <f t="shared" si="15"/>
        <v>0</v>
      </c>
      <c r="F298" s="113">
        <f>countif('Check in'!B:B,B298)</f>
        <v>0</v>
      </c>
      <c r="G298" s="39" t="str">
        <f t="shared" si="16"/>
        <v>Available</v>
      </c>
      <c r="H298" s="69"/>
      <c r="I298" s="69"/>
      <c r="J298" s="69"/>
    </row>
    <row r="299">
      <c r="A299" s="69"/>
      <c r="B299" s="118"/>
      <c r="C299" s="70"/>
      <c r="D299" s="69"/>
      <c r="E299" s="112">
        <f t="shared" si="15"/>
        <v>0</v>
      </c>
      <c r="F299" s="113">
        <f>countif('Check in'!B:B,B299)</f>
        <v>0</v>
      </c>
      <c r="G299" s="39" t="str">
        <f t="shared" si="16"/>
        <v>Available</v>
      </c>
      <c r="H299" s="69"/>
      <c r="I299" s="69"/>
      <c r="J299" s="69"/>
    </row>
    <row r="300">
      <c r="A300" s="69"/>
      <c r="B300" s="118"/>
      <c r="C300" s="70"/>
      <c r="D300" s="69"/>
      <c r="E300" s="112">
        <f t="shared" si="15"/>
        <v>0</v>
      </c>
      <c r="F300" s="113">
        <f>countif('Check in'!B:B,B300)</f>
        <v>0</v>
      </c>
      <c r="G300" s="39" t="str">
        <f t="shared" si="16"/>
        <v>Available</v>
      </c>
      <c r="H300" s="69"/>
      <c r="I300" s="69"/>
      <c r="J300" s="69"/>
    </row>
    <row r="301">
      <c r="A301" s="69"/>
      <c r="B301" s="118"/>
      <c r="C301" s="70"/>
      <c r="D301" s="69"/>
      <c r="E301" s="112">
        <f t="shared" si="15"/>
        <v>0</v>
      </c>
      <c r="F301" s="113">
        <f>countif('Check in'!B:B,B301)</f>
        <v>0</v>
      </c>
      <c r="G301" s="39" t="str">
        <f t="shared" si="16"/>
        <v>Available</v>
      </c>
      <c r="H301" s="69"/>
      <c r="I301" s="69"/>
      <c r="J301" s="69"/>
    </row>
    <row r="302">
      <c r="A302" s="69"/>
      <c r="B302" s="118"/>
      <c r="C302" s="70"/>
      <c r="D302" s="69"/>
      <c r="E302" s="112">
        <f t="shared" si="15"/>
        <v>0</v>
      </c>
      <c r="F302" s="113">
        <f>countif('Check in'!B:B,B302)</f>
        <v>0</v>
      </c>
      <c r="G302" s="39" t="str">
        <f t="shared" si="16"/>
        <v>Available</v>
      </c>
      <c r="H302" s="69"/>
      <c r="I302" s="69"/>
      <c r="J302" s="69"/>
    </row>
    <row r="303">
      <c r="A303" s="69"/>
      <c r="B303" s="118"/>
      <c r="C303" s="70"/>
      <c r="D303" s="69"/>
      <c r="E303" s="112">
        <f t="shared" si="15"/>
        <v>0</v>
      </c>
      <c r="F303" s="113">
        <f>countif('Check in'!B:B,B303)</f>
        <v>0</v>
      </c>
      <c r="G303" s="39" t="str">
        <f t="shared" si="16"/>
        <v>Available</v>
      </c>
      <c r="H303" s="69"/>
      <c r="I303" s="69"/>
      <c r="J303" s="69"/>
    </row>
    <row r="304">
      <c r="A304" s="69"/>
      <c r="B304" s="118"/>
      <c r="C304" s="70"/>
      <c r="D304" s="69"/>
      <c r="E304" s="112">
        <f t="shared" si="15"/>
        <v>0</v>
      </c>
      <c r="F304" s="113">
        <f>countif('Check in'!B:B,B304)</f>
        <v>0</v>
      </c>
      <c r="G304" s="39" t="str">
        <f t="shared" si="16"/>
        <v>Available</v>
      </c>
      <c r="H304" s="69"/>
      <c r="I304" s="69"/>
      <c r="J304" s="69"/>
    </row>
    <row r="305">
      <c r="A305" s="69"/>
      <c r="B305" s="118"/>
      <c r="C305" s="70"/>
      <c r="D305" s="69"/>
      <c r="E305" s="112">
        <f t="shared" si="15"/>
        <v>0</v>
      </c>
      <c r="F305" s="113">
        <f>countif('Check in'!B:B,B305)</f>
        <v>0</v>
      </c>
      <c r="G305" s="39" t="str">
        <f t="shared" si="16"/>
        <v>Available</v>
      </c>
      <c r="H305" s="69"/>
      <c r="I305" s="69"/>
      <c r="J305" s="69"/>
    </row>
    <row r="306">
      <c r="A306" s="69"/>
      <c r="B306" s="118"/>
      <c r="C306" s="70"/>
      <c r="D306" s="69"/>
      <c r="E306" s="112">
        <f t="shared" si="15"/>
        <v>0</v>
      </c>
      <c r="F306" s="113">
        <f>countif('Check in'!B:B,B306)</f>
        <v>0</v>
      </c>
      <c r="G306" s="39" t="str">
        <f t="shared" si="16"/>
        <v>Available</v>
      </c>
      <c r="H306" s="69"/>
      <c r="I306" s="69"/>
      <c r="J306" s="69"/>
    </row>
    <row r="307">
      <c r="A307" s="69"/>
      <c r="B307" s="118"/>
      <c r="C307" s="70"/>
      <c r="D307" s="69"/>
      <c r="E307" s="112">
        <f t="shared" si="15"/>
        <v>0</v>
      </c>
      <c r="F307" s="113">
        <f>countif('Check in'!B:B,B307)</f>
        <v>0</v>
      </c>
      <c r="G307" s="39" t="str">
        <f t="shared" si="16"/>
        <v>Available</v>
      </c>
      <c r="H307" s="69"/>
      <c r="I307" s="69"/>
      <c r="J307" s="69"/>
    </row>
    <row r="308">
      <c r="A308" s="69"/>
      <c r="B308" s="118"/>
      <c r="C308" s="70"/>
      <c r="D308" s="69"/>
      <c r="E308" s="112">
        <f t="shared" si="15"/>
        <v>0</v>
      </c>
      <c r="F308" s="113">
        <f>countif('Check in'!B:B,B308)</f>
        <v>0</v>
      </c>
      <c r="G308" s="39" t="str">
        <f t="shared" si="16"/>
        <v>Available</v>
      </c>
      <c r="H308" s="69"/>
      <c r="I308" s="69"/>
      <c r="J308" s="69"/>
    </row>
    <row r="309">
      <c r="A309" s="69"/>
      <c r="B309" s="118"/>
      <c r="C309" s="70"/>
      <c r="D309" s="69"/>
      <c r="E309" s="112">
        <f t="shared" si="15"/>
        <v>0</v>
      </c>
      <c r="F309" s="113">
        <f>countif('Check in'!B:B,B309)</f>
        <v>0</v>
      </c>
      <c r="G309" s="39" t="str">
        <f t="shared" si="16"/>
        <v>Available</v>
      </c>
      <c r="H309" s="69"/>
      <c r="I309" s="69"/>
      <c r="J309" s="69"/>
    </row>
    <row r="310">
      <c r="A310" s="69"/>
      <c r="B310" s="118"/>
      <c r="C310" s="70"/>
      <c r="D310" s="69"/>
      <c r="E310" s="112">
        <f t="shared" si="15"/>
        <v>0</v>
      </c>
      <c r="F310" s="113">
        <f>countif('Check in'!B:B,B310)</f>
        <v>0</v>
      </c>
      <c r="G310" s="39" t="str">
        <f t="shared" si="16"/>
        <v>Available</v>
      </c>
      <c r="H310" s="69"/>
      <c r="I310" s="69"/>
      <c r="J310" s="69"/>
    </row>
    <row r="311">
      <c r="A311" s="69"/>
      <c r="B311" s="118"/>
      <c r="C311" s="70"/>
      <c r="D311" s="69"/>
      <c r="E311" s="112">
        <f t="shared" si="15"/>
        <v>0</v>
      </c>
      <c r="F311" s="113">
        <f>countif('Check in'!B:B,B311)</f>
        <v>0</v>
      </c>
      <c r="G311" s="39" t="str">
        <f t="shared" si="16"/>
        <v>Available</v>
      </c>
      <c r="H311" s="69"/>
      <c r="I311" s="69"/>
      <c r="J311" s="69"/>
    </row>
    <row r="312">
      <c r="A312" s="69"/>
      <c r="B312" s="118"/>
      <c r="C312" s="70"/>
      <c r="D312" s="69"/>
      <c r="E312" s="112">
        <f t="shared" si="15"/>
        <v>0</v>
      </c>
      <c r="F312" s="113">
        <f>countif('Check in'!B:B,B312)</f>
        <v>0</v>
      </c>
      <c r="G312" s="39" t="str">
        <f t="shared" si="16"/>
        <v>Available</v>
      </c>
      <c r="H312" s="69"/>
      <c r="I312" s="69"/>
      <c r="J312" s="69"/>
    </row>
    <row r="313">
      <c r="A313" s="69"/>
      <c r="B313" s="118"/>
      <c r="C313" s="70"/>
      <c r="D313" s="69"/>
      <c r="E313" s="112">
        <f t="shared" si="15"/>
        <v>0</v>
      </c>
      <c r="F313" s="113">
        <f>countif('Check in'!B:B,B313)</f>
        <v>0</v>
      </c>
      <c r="G313" s="39" t="str">
        <f t="shared" si="16"/>
        <v>Available</v>
      </c>
      <c r="H313" s="69"/>
      <c r="I313" s="69"/>
      <c r="J313" s="69"/>
    </row>
    <row r="314">
      <c r="A314" s="69"/>
      <c r="B314" s="118"/>
      <c r="C314" s="70"/>
      <c r="D314" s="69"/>
      <c r="E314" s="112">
        <f t="shared" si="15"/>
        <v>0</v>
      </c>
      <c r="F314" s="113">
        <f>countif('Check in'!B:B,B314)</f>
        <v>0</v>
      </c>
      <c r="G314" s="39" t="str">
        <f t="shared" si="16"/>
        <v>Available</v>
      </c>
      <c r="H314" s="69"/>
      <c r="I314" s="69"/>
      <c r="J314" s="69"/>
    </row>
    <row r="315">
      <c r="A315" s="69"/>
      <c r="B315" s="118"/>
      <c r="C315" s="70"/>
      <c r="D315" s="69"/>
      <c r="E315" s="112">
        <f t="shared" si="15"/>
        <v>0</v>
      </c>
      <c r="F315" s="113">
        <f>countif('Check in'!B:B,B315)</f>
        <v>0</v>
      </c>
      <c r="G315" s="39" t="str">
        <f t="shared" si="16"/>
        <v>Available</v>
      </c>
      <c r="H315" s="69"/>
      <c r="I315" s="69"/>
      <c r="J315" s="69"/>
    </row>
    <row r="316">
      <c r="A316" s="69"/>
      <c r="B316" s="118"/>
      <c r="C316" s="70"/>
      <c r="D316" s="69"/>
      <c r="E316" s="112">
        <f t="shared" si="15"/>
        <v>0</v>
      </c>
      <c r="F316" s="113">
        <f>countif('Check in'!B:B,B316)</f>
        <v>0</v>
      </c>
      <c r="G316" s="39" t="str">
        <f t="shared" si="16"/>
        <v>Available</v>
      </c>
      <c r="H316" s="69"/>
      <c r="I316" s="69"/>
      <c r="J316" s="69"/>
    </row>
    <row r="317">
      <c r="A317" s="69"/>
      <c r="B317" s="118"/>
      <c r="C317" s="70"/>
      <c r="D317" s="69"/>
      <c r="E317" s="112">
        <f t="shared" si="15"/>
        <v>0</v>
      </c>
      <c r="F317" s="113">
        <f>countif('Check in'!B:B,B317)</f>
        <v>0</v>
      </c>
      <c r="G317" s="39" t="str">
        <f t="shared" si="16"/>
        <v>Available</v>
      </c>
      <c r="H317" s="69"/>
      <c r="I317" s="69"/>
      <c r="J317" s="69"/>
    </row>
    <row r="318">
      <c r="A318" s="69"/>
      <c r="B318" s="118"/>
      <c r="C318" s="70"/>
      <c r="D318" s="69"/>
      <c r="E318" s="112">
        <f t="shared" si="15"/>
        <v>0</v>
      </c>
      <c r="F318" s="113">
        <f>countif('Check in'!B:B,B318)</f>
        <v>0</v>
      </c>
      <c r="G318" s="39" t="str">
        <f t="shared" si="16"/>
        <v>Available</v>
      </c>
      <c r="H318" s="69"/>
      <c r="I318" s="69"/>
      <c r="J318" s="69"/>
    </row>
    <row r="319">
      <c r="A319" s="69"/>
      <c r="B319" s="118"/>
      <c r="C319" s="70"/>
      <c r="D319" s="69"/>
      <c r="E319" s="112">
        <f t="shared" si="15"/>
        <v>0</v>
      </c>
      <c r="F319" s="113">
        <f>countif('Check in'!B:B,B319)</f>
        <v>0</v>
      </c>
      <c r="G319" s="39" t="str">
        <f t="shared" si="16"/>
        <v>Available</v>
      </c>
      <c r="H319" s="69"/>
      <c r="I319" s="69"/>
      <c r="J319" s="69"/>
    </row>
    <row r="320">
      <c r="A320" s="69"/>
      <c r="B320" s="118"/>
      <c r="C320" s="70"/>
      <c r="D320" s="69"/>
      <c r="E320" s="112">
        <f t="shared" si="15"/>
        <v>0</v>
      </c>
      <c r="F320" s="113">
        <f>countif('Check in'!B:B,B320)</f>
        <v>0</v>
      </c>
      <c r="G320" s="39" t="str">
        <f t="shared" si="16"/>
        <v>Available</v>
      </c>
      <c r="H320" s="69"/>
      <c r="I320" s="69"/>
      <c r="J320" s="69"/>
    </row>
    <row r="321">
      <c r="A321" s="69"/>
      <c r="B321" s="118"/>
      <c r="C321" s="70"/>
      <c r="D321" s="69"/>
      <c r="E321" s="112">
        <f t="shared" si="15"/>
        <v>0</v>
      </c>
      <c r="F321" s="113">
        <f>countif('Check in'!B:B,B321)</f>
        <v>0</v>
      </c>
      <c r="G321" s="39" t="str">
        <f t="shared" si="16"/>
        <v>Available</v>
      </c>
      <c r="H321" s="69"/>
      <c r="I321" s="69"/>
      <c r="J321" s="69"/>
    </row>
    <row r="322">
      <c r="A322" s="69"/>
      <c r="B322" s="118"/>
      <c r="C322" s="70"/>
      <c r="D322" s="69"/>
      <c r="E322" s="112">
        <f t="shared" si="15"/>
        <v>0</v>
      </c>
      <c r="F322" s="113">
        <f>countif('Check in'!B:B,B322)</f>
        <v>0</v>
      </c>
      <c r="G322" s="39" t="str">
        <f t="shared" si="16"/>
        <v>Available</v>
      </c>
      <c r="H322" s="69"/>
      <c r="I322" s="69"/>
      <c r="J322" s="69"/>
    </row>
    <row r="323">
      <c r="A323" s="69"/>
      <c r="B323" s="118"/>
      <c r="C323" s="70"/>
      <c r="D323" s="69"/>
      <c r="E323" s="112">
        <f t="shared" si="15"/>
        <v>0</v>
      </c>
      <c r="F323" s="113">
        <f>countif('Check in'!B:B,B323)</f>
        <v>0</v>
      </c>
      <c r="G323" s="39" t="str">
        <f t="shared" si="16"/>
        <v>Available</v>
      </c>
      <c r="H323" s="69"/>
      <c r="I323" s="69"/>
      <c r="J323" s="69"/>
    </row>
    <row r="324">
      <c r="A324" s="69"/>
      <c r="B324" s="118"/>
      <c r="C324" s="70"/>
      <c r="D324" s="69"/>
      <c r="E324" s="112">
        <f t="shared" si="15"/>
        <v>0</v>
      </c>
      <c r="F324" s="113">
        <f>countif('Check in'!B:B,B324)</f>
        <v>0</v>
      </c>
      <c r="G324" s="39" t="str">
        <f t="shared" si="16"/>
        <v>Available</v>
      </c>
      <c r="H324" s="69"/>
      <c r="I324" s="69"/>
      <c r="J324" s="69"/>
    </row>
    <row r="325">
      <c r="A325" s="69"/>
      <c r="B325" s="118"/>
      <c r="C325" s="70"/>
      <c r="D325" s="69"/>
      <c r="E325" s="112">
        <f t="shared" si="15"/>
        <v>0</v>
      </c>
      <c r="F325" s="113">
        <f>countif('Check in'!B:B,B325)</f>
        <v>0</v>
      </c>
      <c r="G325" s="39" t="str">
        <f t="shared" si="16"/>
        <v>Available</v>
      </c>
      <c r="H325" s="69"/>
      <c r="I325" s="69"/>
      <c r="J325" s="69"/>
    </row>
    <row r="326">
      <c r="A326" s="69"/>
      <c r="B326" s="118"/>
      <c r="C326" s="70"/>
      <c r="D326" s="69"/>
      <c r="E326" s="112">
        <f t="shared" si="15"/>
        <v>0</v>
      </c>
      <c r="F326" s="113">
        <f>countif('Check in'!B:B,B326)</f>
        <v>0</v>
      </c>
      <c r="G326" s="39" t="str">
        <f t="shared" si="16"/>
        <v>Available</v>
      </c>
      <c r="H326" s="69"/>
      <c r="I326" s="69"/>
      <c r="J326" s="69"/>
    </row>
    <row r="327">
      <c r="A327" s="69"/>
      <c r="B327" s="118"/>
      <c r="C327" s="70"/>
      <c r="D327" s="69"/>
      <c r="E327" s="112">
        <f t="shared" si="15"/>
        <v>0</v>
      </c>
      <c r="F327" s="113">
        <f>countif('Check in'!B:B,B327)</f>
        <v>0</v>
      </c>
      <c r="G327" s="39" t="str">
        <f t="shared" si="16"/>
        <v>Available</v>
      </c>
      <c r="H327" s="69"/>
      <c r="I327" s="69"/>
      <c r="J327" s="69"/>
    </row>
    <row r="328">
      <c r="A328" s="69"/>
      <c r="B328" s="118"/>
      <c r="C328" s="70"/>
      <c r="D328" s="69"/>
      <c r="E328" s="112">
        <f t="shared" si="15"/>
        <v>0</v>
      </c>
      <c r="F328" s="113">
        <f>countif('Check in'!B:B,B328)</f>
        <v>0</v>
      </c>
      <c r="G328" s="39" t="str">
        <f t="shared" si="16"/>
        <v>Available</v>
      </c>
      <c r="H328" s="69"/>
      <c r="I328" s="69"/>
      <c r="J328" s="69"/>
    </row>
    <row r="329">
      <c r="A329" s="69"/>
      <c r="B329" s="118"/>
      <c r="C329" s="70"/>
      <c r="D329" s="69"/>
      <c r="E329" s="112">
        <f t="shared" si="15"/>
        <v>0</v>
      </c>
      <c r="F329" s="113">
        <f>countif('Check in'!B:B,B329)</f>
        <v>0</v>
      </c>
      <c r="G329" s="39" t="str">
        <f t="shared" si="16"/>
        <v>Available</v>
      </c>
      <c r="H329" s="69"/>
      <c r="I329" s="69"/>
      <c r="J329" s="69"/>
    </row>
    <row r="330">
      <c r="A330" s="69"/>
      <c r="B330" s="118"/>
      <c r="C330" s="70"/>
      <c r="D330" s="69"/>
      <c r="E330" s="112">
        <f t="shared" si="15"/>
        <v>0</v>
      </c>
      <c r="F330" s="113">
        <f>countif('Check in'!B:B,B330)</f>
        <v>0</v>
      </c>
      <c r="G330" s="39" t="str">
        <f t="shared" si="16"/>
        <v>Available</v>
      </c>
      <c r="H330" s="69"/>
      <c r="I330" s="69"/>
      <c r="J330" s="69"/>
    </row>
    <row r="331">
      <c r="A331" s="69"/>
      <c r="B331" s="118"/>
      <c r="C331" s="70"/>
      <c r="D331" s="69"/>
      <c r="E331" s="112">
        <f t="shared" si="15"/>
        <v>0</v>
      </c>
      <c r="F331" s="113">
        <f>countif('Check in'!B:B,B331)</f>
        <v>0</v>
      </c>
      <c r="G331" s="39" t="str">
        <f t="shared" si="16"/>
        <v>Available</v>
      </c>
      <c r="H331" s="69"/>
      <c r="I331" s="69"/>
      <c r="J331" s="69"/>
    </row>
    <row r="332">
      <c r="A332" s="69"/>
      <c r="B332" s="118"/>
      <c r="C332" s="70"/>
      <c r="D332" s="69"/>
      <c r="E332" s="112">
        <f t="shared" si="15"/>
        <v>0</v>
      </c>
      <c r="F332" s="113">
        <f>countif('Check in'!B:B,B332)</f>
        <v>0</v>
      </c>
      <c r="G332" s="39" t="str">
        <f t="shared" si="16"/>
        <v>Available</v>
      </c>
      <c r="H332" s="69"/>
      <c r="I332" s="69"/>
      <c r="J332" s="69"/>
    </row>
    <row r="333">
      <c r="A333" s="69"/>
      <c r="B333" s="118"/>
      <c r="C333" s="70"/>
      <c r="D333" s="69"/>
      <c r="E333" s="112">
        <f t="shared" si="15"/>
        <v>0</v>
      </c>
      <c r="F333" s="113">
        <f>countif('Check in'!B:B,B333)</f>
        <v>0</v>
      </c>
      <c r="G333" s="39" t="str">
        <f t="shared" si="16"/>
        <v>Available</v>
      </c>
      <c r="H333" s="69"/>
      <c r="I333" s="69"/>
      <c r="J333" s="69"/>
    </row>
    <row r="334">
      <c r="A334" s="69"/>
      <c r="B334" s="118"/>
      <c r="C334" s="70"/>
      <c r="D334" s="69"/>
      <c r="E334" s="112">
        <f t="shared" si="15"/>
        <v>0</v>
      </c>
      <c r="F334" s="113">
        <f>countif('Check in'!B:B,B334)</f>
        <v>0</v>
      </c>
      <c r="G334" s="39" t="str">
        <f t="shared" si="16"/>
        <v>Available</v>
      </c>
      <c r="H334" s="69"/>
      <c r="I334" s="69"/>
      <c r="J334" s="69"/>
    </row>
    <row r="335">
      <c r="A335" s="69"/>
      <c r="B335" s="118"/>
      <c r="C335" s="70"/>
      <c r="D335" s="69"/>
      <c r="E335" s="112">
        <f t="shared" si="15"/>
        <v>0</v>
      </c>
      <c r="F335" s="113">
        <f>countif('Check in'!B:B,B335)</f>
        <v>0</v>
      </c>
      <c r="G335" s="39" t="str">
        <f t="shared" si="16"/>
        <v>Available</v>
      </c>
      <c r="H335" s="69"/>
      <c r="I335" s="69"/>
      <c r="J335" s="69"/>
    </row>
    <row r="336">
      <c r="A336" s="69"/>
      <c r="B336" s="118"/>
      <c r="C336" s="70"/>
      <c r="D336" s="69"/>
      <c r="E336" s="112">
        <f t="shared" si="15"/>
        <v>0</v>
      </c>
      <c r="F336" s="113">
        <f>countif('Check in'!B:B,B336)</f>
        <v>0</v>
      </c>
      <c r="G336" s="39" t="str">
        <f t="shared" si="16"/>
        <v>Available</v>
      </c>
      <c r="H336" s="69"/>
      <c r="I336" s="69"/>
      <c r="J336" s="69"/>
    </row>
    <row r="337">
      <c r="A337" s="69"/>
      <c r="B337" s="118"/>
      <c r="C337" s="70"/>
      <c r="D337" s="69"/>
      <c r="E337" s="112">
        <f t="shared" si="15"/>
        <v>0</v>
      </c>
      <c r="F337" s="113">
        <f>countif('Check in'!B:B,B337)</f>
        <v>0</v>
      </c>
      <c r="G337" s="39" t="str">
        <f t="shared" si="16"/>
        <v>Available</v>
      </c>
      <c r="H337" s="69"/>
      <c r="I337" s="69"/>
      <c r="J337" s="69"/>
    </row>
    <row r="338">
      <c r="A338" s="69"/>
      <c r="B338" s="118"/>
      <c r="C338" s="70"/>
      <c r="D338" s="69"/>
      <c r="E338" s="112">
        <f t="shared" si="15"/>
        <v>0</v>
      </c>
      <c r="F338" s="113">
        <f>countif('Check in'!B:B,B338)</f>
        <v>0</v>
      </c>
      <c r="G338" s="39" t="str">
        <f t="shared" si="16"/>
        <v>Available</v>
      </c>
      <c r="H338" s="69"/>
      <c r="I338" s="69"/>
      <c r="J338" s="69"/>
    </row>
    <row r="339">
      <c r="A339" s="69"/>
      <c r="B339" s="118"/>
      <c r="C339" s="70"/>
      <c r="D339" s="69"/>
      <c r="E339" s="112">
        <f t="shared" si="15"/>
        <v>0</v>
      </c>
      <c r="F339" s="113">
        <f>countif('Check in'!B:B,B339)</f>
        <v>0</v>
      </c>
      <c r="G339" s="39" t="str">
        <f t="shared" si="16"/>
        <v>Available</v>
      </c>
      <c r="H339" s="69"/>
      <c r="I339" s="69"/>
      <c r="J339" s="69"/>
    </row>
    <row r="340">
      <c r="A340" s="69"/>
      <c r="B340" s="118"/>
      <c r="C340" s="70"/>
      <c r="D340" s="69"/>
      <c r="E340" s="112">
        <f t="shared" si="15"/>
        <v>0</v>
      </c>
      <c r="F340" s="113">
        <f>countif('Check in'!B:B,B340)</f>
        <v>0</v>
      </c>
      <c r="G340" s="39" t="str">
        <f t="shared" si="16"/>
        <v>Available</v>
      </c>
      <c r="H340" s="69"/>
      <c r="I340" s="69"/>
      <c r="J340" s="69"/>
    </row>
    <row r="341">
      <c r="A341" s="69"/>
      <c r="B341" s="118"/>
      <c r="C341" s="70"/>
      <c r="D341" s="69"/>
      <c r="E341" s="112">
        <f t="shared" si="15"/>
        <v>0</v>
      </c>
      <c r="F341" s="113">
        <f>countif('Check in'!B:B,B341)</f>
        <v>0</v>
      </c>
      <c r="G341" s="39" t="str">
        <f t="shared" si="16"/>
        <v>Available</v>
      </c>
      <c r="H341" s="69"/>
      <c r="I341" s="69"/>
      <c r="J341" s="69"/>
    </row>
    <row r="342">
      <c r="A342" s="69"/>
      <c r="B342" s="118"/>
      <c r="C342" s="70"/>
      <c r="D342" s="69"/>
      <c r="E342" s="112">
        <f t="shared" si="15"/>
        <v>0</v>
      </c>
      <c r="F342" s="113">
        <f>countif('Check in'!B:B,B342)</f>
        <v>0</v>
      </c>
      <c r="G342" s="39" t="str">
        <f t="shared" si="16"/>
        <v>Available</v>
      </c>
      <c r="H342" s="69"/>
      <c r="I342" s="69"/>
      <c r="J342" s="69"/>
    </row>
    <row r="343">
      <c r="A343" s="69"/>
      <c r="B343" s="118"/>
      <c r="C343" s="70"/>
      <c r="D343" s="69"/>
      <c r="E343" s="112">
        <f t="shared" si="15"/>
        <v>0</v>
      </c>
      <c r="F343" s="113">
        <f>countif('Check in'!B:B,B343)</f>
        <v>0</v>
      </c>
      <c r="G343" s="39" t="str">
        <f t="shared" si="16"/>
        <v>Available</v>
      </c>
      <c r="H343" s="69"/>
      <c r="I343" s="69"/>
      <c r="J343" s="69"/>
    </row>
    <row r="344">
      <c r="A344" s="69"/>
      <c r="B344" s="118"/>
      <c r="C344" s="70"/>
      <c r="D344" s="69"/>
      <c r="E344" s="112">
        <f t="shared" si="15"/>
        <v>0</v>
      </c>
      <c r="F344" s="113">
        <f>countif('Check in'!B:B,B344)</f>
        <v>0</v>
      </c>
      <c r="G344" s="39" t="str">
        <f t="shared" si="16"/>
        <v>Available</v>
      </c>
      <c r="H344" s="69"/>
      <c r="I344" s="69"/>
      <c r="J344" s="69"/>
    </row>
    <row r="345">
      <c r="A345" s="69"/>
      <c r="B345" s="118"/>
      <c r="C345" s="70"/>
      <c r="D345" s="69"/>
      <c r="E345" s="112">
        <f t="shared" si="15"/>
        <v>0</v>
      </c>
      <c r="F345" s="113">
        <f>countif('Check in'!B:B,B345)</f>
        <v>0</v>
      </c>
      <c r="G345" s="39" t="str">
        <f t="shared" si="16"/>
        <v>Available</v>
      </c>
      <c r="H345" s="69"/>
      <c r="I345" s="69"/>
      <c r="J345" s="69"/>
    </row>
    <row r="346">
      <c r="A346" s="69"/>
      <c r="B346" s="118"/>
      <c r="C346" s="70"/>
      <c r="D346" s="69"/>
      <c r="E346" s="112">
        <f t="shared" si="15"/>
        <v>0</v>
      </c>
      <c r="F346" s="113">
        <f>countif('Check in'!B:B,B346)</f>
        <v>0</v>
      </c>
      <c r="G346" s="39" t="str">
        <f t="shared" si="16"/>
        <v>Available</v>
      </c>
      <c r="H346" s="69"/>
      <c r="I346" s="69"/>
      <c r="J346" s="69"/>
    </row>
    <row r="347">
      <c r="A347" s="69"/>
      <c r="B347" s="118"/>
      <c r="C347" s="70"/>
      <c r="D347" s="69"/>
      <c r="E347" s="112">
        <f t="shared" si="15"/>
        <v>0</v>
      </c>
      <c r="F347" s="113">
        <f>countif('Check in'!B:B,B347)</f>
        <v>0</v>
      </c>
      <c r="G347" s="39" t="str">
        <f t="shared" si="16"/>
        <v>Available</v>
      </c>
      <c r="H347" s="69"/>
      <c r="I347" s="69"/>
      <c r="J347" s="69"/>
    </row>
    <row r="348">
      <c r="A348" s="69"/>
      <c r="B348" s="118"/>
      <c r="C348" s="70"/>
      <c r="D348" s="69"/>
      <c r="E348" s="112">
        <f t="shared" si="15"/>
        <v>0</v>
      </c>
      <c r="F348" s="113">
        <f>countif('Check in'!B:B,B348)</f>
        <v>0</v>
      </c>
      <c r="G348" s="39" t="str">
        <f t="shared" si="16"/>
        <v>Available</v>
      </c>
      <c r="H348" s="69"/>
      <c r="I348" s="69"/>
      <c r="J348" s="69"/>
    </row>
    <row r="349">
      <c r="A349" s="69"/>
      <c r="B349" s="118"/>
      <c r="C349" s="70"/>
      <c r="D349" s="69"/>
      <c r="E349" s="112">
        <f t="shared" si="15"/>
        <v>0</v>
      </c>
      <c r="F349" s="113">
        <f>countif('Check in'!B:B,B349)</f>
        <v>0</v>
      </c>
      <c r="G349" s="39" t="str">
        <f t="shared" si="16"/>
        <v>Available</v>
      </c>
      <c r="H349" s="69"/>
      <c r="I349" s="69"/>
      <c r="J349" s="69"/>
    </row>
    <row r="350">
      <c r="A350" s="69"/>
      <c r="B350" s="118"/>
      <c r="C350" s="70"/>
      <c r="D350" s="69"/>
      <c r="E350" s="112">
        <f t="shared" si="15"/>
        <v>0</v>
      </c>
      <c r="F350" s="113">
        <f>countif('Check in'!B:B,B350)</f>
        <v>0</v>
      </c>
      <c r="G350" s="39" t="str">
        <f t="shared" si="16"/>
        <v>Available</v>
      </c>
      <c r="H350" s="69"/>
      <c r="I350" s="69"/>
      <c r="J350" s="69"/>
    </row>
    <row r="351">
      <c r="A351" s="69"/>
      <c r="B351" s="118"/>
      <c r="C351" s="70"/>
      <c r="D351" s="69"/>
      <c r="E351" s="112">
        <f t="shared" si="15"/>
        <v>0</v>
      </c>
      <c r="F351" s="113">
        <f>countif('Check in'!B:B,B351)</f>
        <v>0</v>
      </c>
      <c r="G351" s="39" t="str">
        <f t="shared" si="16"/>
        <v>Available</v>
      </c>
      <c r="H351" s="69"/>
      <c r="I351" s="69"/>
      <c r="J351" s="69"/>
    </row>
    <row r="352">
      <c r="A352" s="69"/>
      <c r="B352" s="118"/>
      <c r="C352" s="70"/>
      <c r="D352" s="69"/>
      <c r="E352" s="112">
        <f t="shared" si="15"/>
        <v>0</v>
      </c>
      <c r="F352" s="113">
        <f>countif('Check in'!B:B,B352)</f>
        <v>0</v>
      </c>
      <c r="G352" s="39" t="str">
        <f t="shared" si="16"/>
        <v>Available</v>
      </c>
      <c r="H352" s="69"/>
      <c r="I352" s="69"/>
      <c r="J352" s="69"/>
    </row>
    <row r="353">
      <c r="A353" s="69"/>
      <c r="B353" s="118"/>
      <c r="C353" s="70"/>
      <c r="D353" s="69"/>
      <c r="E353" s="112">
        <f t="shared" si="15"/>
        <v>0</v>
      </c>
      <c r="F353" s="113">
        <f>countif('Check in'!B:B,B353)</f>
        <v>0</v>
      </c>
      <c r="G353" s="39" t="str">
        <f t="shared" si="16"/>
        <v>Available</v>
      </c>
      <c r="H353" s="69"/>
      <c r="I353" s="69"/>
      <c r="J353" s="69"/>
    </row>
    <row r="354">
      <c r="A354" s="69"/>
      <c r="B354" s="118"/>
      <c r="C354" s="70"/>
      <c r="D354" s="69"/>
      <c r="E354" s="112">
        <f t="shared" si="15"/>
        <v>0</v>
      </c>
      <c r="F354" s="113">
        <f>countif('Check in'!B:B,B354)</f>
        <v>0</v>
      </c>
      <c r="G354" s="39" t="str">
        <f t="shared" si="16"/>
        <v>Available</v>
      </c>
      <c r="H354" s="69"/>
      <c r="I354" s="69"/>
      <c r="J354" s="69"/>
    </row>
    <row r="355">
      <c r="A355" s="69"/>
      <c r="B355" s="118"/>
      <c r="C355" s="70"/>
      <c r="D355" s="69"/>
      <c r="E355" s="120"/>
      <c r="F355" s="121"/>
      <c r="G355" s="39" t="str">
        <f t="shared" si="16"/>
        <v>Available</v>
      </c>
      <c r="H355" s="69"/>
      <c r="I355" s="69"/>
      <c r="J355" s="69"/>
    </row>
    <row r="356">
      <c r="A356" s="69"/>
      <c r="B356" s="118"/>
      <c r="C356" s="70"/>
      <c r="D356" s="69"/>
      <c r="E356" s="120"/>
      <c r="F356" s="121"/>
      <c r="G356" s="39" t="str">
        <f t="shared" si="16"/>
        <v>Available</v>
      </c>
      <c r="H356" s="69"/>
      <c r="I356" s="69"/>
      <c r="J356" s="69"/>
    </row>
    <row r="357">
      <c r="A357" s="69"/>
      <c r="B357" s="118"/>
      <c r="C357" s="70"/>
      <c r="D357" s="69"/>
      <c r="E357" s="120"/>
      <c r="F357" s="121"/>
      <c r="G357" s="39" t="str">
        <f t="shared" si="16"/>
        <v>Available</v>
      </c>
      <c r="H357" s="69"/>
      <c r="I357" s="69"/>
      <c r="J357" s="69"/>
    </row>
    <row r="358">
      <c r="A358" s="69"/>
      <c r="B358" s="118"/>
      <c r="C358" s="70"/>
      <c r="D358" s="69"/>
      <c r="E358" s="120"/>
      <c r="F358" s="121"/>
      <c r="G358" s="39" t="str">
        <f t="shared" si="16"/>
        <v>Available</v>
      </c>
      <c r="H358" s="69"/>
      <c r="I358" s="69"/>
      <c r="J358" s="69"/>
    </row>
    <row r="359">
      <c r="A359" s="69"/>
      <c r="B359" s="118"/>
      <c r="C359" s="70"/>
      <c r="D359" s="69"/>
      <c r="E359" s="120"/>
      <c r="F359" s="121"/>
      <c r="G359" s="39" t="str">
        <f t="shared" si="16"/>
        <v>Available</v>
      </c>
      <c r="H359" s="69"/>
      <c r="I359" s="69"/>
      <c r="J359" s="69"/>
    </row>
    <row r="360">
      <c r="A360" s="69"/>
      <c r="B360" s="118"/>
      <c r="C360" s="70"/>
      <c r="D360" s="69"/>
      <c r="E360" s="120"/>
      <c r="F360" s="121"/>
      <c r="G360" s="39" t="str">
        <f t="shared" si="16"/>
        <v>Available</v>
      </c>
      <c r="H360" s="69"/>
      <c r="I360" s="69"/>
      <c r="J360" s="69"/>
    </row>
    <row r="361">
      <c r="A361" s="69"/>
      <c r="B361" s="118"/>
      <c r="C361" s="70"/>
      <c r="D361" s="69"/>
      <c r="E361" s="120"/>
      <c r="F361" s="121"/>
      <c r="G361" s="39" t="str">
        <f t="shared" si="16"/>
        <v>Available</v>
      </c>
      <c r="H361" s="69"/>
      <c r="I361" s="69"/>
      <c r="J361" s="69"/>
    </row>
    <row r="362">
      <c r="A362" s="69"/>
      <c r="B362" s="118"/>
      <c r="C362" s="70"/>
      <c r="D362" s="69"/>
      <c r="E362" s="120"/>
      <c r="F362" s="121"/>
      <c r="G362" s="39" t="str">
        <f t="shared" si="16"/>
        <v>Available</v>
      </c>
      <c r="H362" s="69"/>
      <c r="I362" s="69"/>
      <c r="J362" s="69"/>
    </row>
    <row r="363">
      <c r="A363" s="69"/>
      <c r="B363" s="118"/>
      <c r="C363" s="70"/>
      <c r="D363" s="69"/>
      <c r="E363" s="120"/>
      <c r="F363" s="121"/>
      <c r="G363" s="39" t="str">
        <f t="shared" si="16"/>
        <v>Available</v>
      </c>
      <c r="H363" s="69"/>
      <c r="I363" s="69"/>
      <c r="J363" s="69"/>
    </row>
    <row r="364">
      <c r="A364" s="69"/>
      <c r="B364" s="118"/>
      <c r="C364" s="70"/>
      <c r="D364" s="69"/>
      <c r="E364" s="120"/>
      <c r="F364" s="121"/>
      <c r="G364" s="39" t="str">
        <f t="shared" si="16"/>
        <v>Available</v>
      </c>
      <c r="H364" s="69"/>
      <c r="I364" s="69"/>
      <c r="J364" s="69"/>
    </row>
    <row r="365">
      <c r="A365" s="69"/>
      <c r="B365" s="118"/>
      <c r="C365" s="70"/>
      <c r="D365" s="69"/>
      <c r="E365" s="120"/>
      <c r="F365" s="121"/>
      <c r="G365" s="39" t="str">
        <f t="shared" si="16"/>
        <v>Available</v>
      </c>
      <c r="H365" s="69"/>
      <c r="I365" s="69"/>
      <c r="J365" s="69"/>
    </row>
    <row r="366">
      <c r="A366" s="69"/>
      <c r="B366" s="118"/>
      <c r="C366" s="70"/>
      <c r="D366" s="69"/>
      <c r="E366" s="120"/>
      <c r="F366" s="121"/>
      <c r="G366" s="39" t="str">
        <f t="shared" si="16"/>
        <v>Available</v>
      </c>
      <c r="H366" s="69"/>
      <c r="I366" s="69"/>
      <c r="J366" s="69"/>
    </row>
    <row r="367">
      <c r="A367" s="69"/>
      <c r="B367" s="118"/>
      <c r="C367" s="70"/>
      <c r="D367" s="69"/>
      <c r="E367" s="120"/>
      <c r="F367" s="121"/>
      <c r="G367" s="70"/>
      <c r="H367" s="69"/>
      <c r="I367" s="69"/>
      <c r="J367" s="69"/>
    </row>
    <row r="368">
      <c r="A368" s="69"/>
      <c r="B368" s="118"/>
      <c r="C368" s="70"/>
      <c r="D368" s="69"/>
      <c r="E368" s="120"/>
      <c r="F368" s="121"/>
      <c r="G368" s="70"/>
      <c r="H368" s="69"/>
      <c r="I368" s="69"/>
      <c r="J368" s="69"/>
    </row>
    <row r="369">
      <c r="A369" s="69"/>
      <c r="B369" s="118"/>
      <c r="C369" s="70"/>
      <c r="D369" s="69"/>
      <c r="E369" s="120"/>
      <c r="F369" s="121"/>
      <c r="G369" s="70"/>
      <c r="H369" s="69"/>
      <c r="I369" s="69"/>
      <c r="J369" s="69"/>
    </row>
    <row r="370">
      <c r="A370" s="69"/>
      <c r="B370" s="118"/>
      <c r="C370" s="70"/>
      <c r="D370" s="69"/>
      <c r="E370" s="120"/>
      <c r="F370" s="121"/>
      <c r="G370" s="70"/>
      <c r="H370" s="69"/>
      <c r="I370" s="69"/>
      <c r="J370" s="69"/>
    </row>
    <row r="371">
      <c r="A371" s="69"/>
      <c r="B371" s="118"/>
      <c r="C371" s="70"/>
      <c r="D371" s="69"/>
      <c r="E371" s="120"/>
      <c r="F371" s="121"/>
      <c r="G371" s="70"/>
      <c r="H371" s="69"/>
      <c r="I371" s="69"/>
      <c r="J371" s="69"/>
    </row>
    <row r="372">
      <c r="A372" s="69"/>
      <c r="B372" s="118"/>
      <c r="C372" s="70"/>
      <c r="D372" s="69"/>
      <c r="E372" s="120"/>
      <c r="F372" s="121"/>
      <c r="G372" s="70"/>
      <c r="H372" s="69"/>
      <c r="I372" s="69"/>
      <c r="J372" s="69"/>
    </row>
    <row r="373">
      <c r="A373" s="69"/>
      <c r="B373" s="118"/>
      <c r="C373" s="70"/>
      <c r="D373" s="69"/>
      <c r="E373" s="120"/>
      <c r="F373" s="121"/>
      <c r="G373" s="70"/>
      <c r="H373" s="69"/>
      <c r="I373" s="69"/>
      <c r="J373" s="69"/>
    </row>
    <row r="374">
      <c r="A374" s="69"/>
      <c r="B374" s="118"/>
      <c r="C374" s="70"/>
      <c r="D374" s="69"/>
      <c r="E374" s="120"/>
      <c r="F374" s="121"/>
      <c r="G374" s="70"/>
      <c r="H374" s="69"/>
      <c r="I374" s="69"/>
      <c r="J374" s="69"/>
    </row>
    <row r="375">
      <c r="A375" s="69"/>
      <c r="B375" s="118"/>
      <c r="C375" s="70"/>
      <c r="D375" s="69"/>
      <c r="E375" s="120"/>
      <c r="F375" s="121"/>
      <c r="G375" s="70"/>
      <c r="H375" s="69"/>
      <c r="I375" s="69"/>
      <c r="J375" s="69"/>
    </row>
    <row r="376">
      <c r="A376" s="69"/>
      <c r="B376" s="118"/>
      <c r="C376" s="70"/>
      <c r="D376" s="69"/>
      <c r="E376" s="120"/>
      <c r="F376" s="121"/>
      <c r="G376" s="70"/>
      <c r="H376" s="69"/>
      <c r="I376" s="69"/>
      <c r="J376" s="69"/>
    </row>
    <row r="377">
      <c r="A377" s="69"/>
      <c r="B377" s="118"/>
      <c r="C377" s="70"/>
      <c r="D377" s="69"/>
      <c r="E377" s="120"/>
      <c r="F377" s="121"/>
      <c r="G377" s="70"/>
      <c r="H377" s="69"/>
      <c r="I377" s="69"/>
      <c r="J377" s="69"/>
    </row>
    <row r="378">
      <c r="A378" s="69"/>
      <c r="B378" s="118"/>
      <c r="C378" s="70"/>
      <c r="D378" s="69"/>
      <c r="E378" s="120"/>
      <c r="F378" s="121"/>
      <c r="G378" s="70"/>
      <c r="H378" s="69"/>
      <c r="I378" s="69"/>
      <c r="J378" s="69"/>
    </row>
    <row r="379">
      <c r="A379" s="69"/>
      <c r="B379" s="118"/>
      <c r="C379" s="70"/>
      <c r="D379" s="69"/>
      <c r="E379" s="120"/>
      <c r="F379" s="121"/>
      <c r="G379" s="70"/>
      <c r="H379" s="69"/>
      <c r="I379" s="69"/>
      <c r="J379" s="69"/>
    </row>
    <row r="380">
      <c r="A380" s="69"/>
      <c r="B380" s="118"/>
      <c r="C380" s="70"/>
      <c r="D380" s="69"/>
      <c r="E380" s="120"/>
      <c r="F380" s="121"/>
      <c r="G380" s="70"/>
      <c r="H380" s="69"/>
      <c r="I380" s="69"/>
      <c r="J380" s="69"/>
    </row>
    <row r="381">
      <c r="A381" s="69"/>
      <c r="B381" s="118"/>
      <c r="C381" s="70"/>
      <c r="D381" s="69"/>
      <c r="E381" s="120"/>
      <c r="F381" s="121"/>
      <c r="G381" s="70"/>
      <c r="H381" s="69"/>
      <c r="I381" s="69"/>
      <c r="J381" s="69"/>
    </row>
    <row r="382">
      <c r="A382" s="69"/>
      <c r="B382" s="118"/>
      <c r="C382" s="70"/>
      <c r="D382" s="69"/>
      <c r="E382" s="120"/>
      <c r="F382" s="121"/>
      <c r="G382" s="70"/>
      <c r="H382" s="69"/>
      <c r="I382" s="69"/>
      <c r="J382" s="69"/>
    </row>
    <row r="383">
      <c r="A383" s="69"/>
      <c r="B383" s="118"/>
      <c r="C383" s="70"/>
      <c r="D383" s="69"/>
      <c r="E383" s="120"/>
      <c r="F383" s="121"/>
      <c r="G383" s="70"/>
      <c r="H383" s="69"/>
      <c r="I383" s="69"/>
      <c r="J383" s="69"/>
    </row>
    <row r="384">
      <c r="A384" s="69"/>
      <c r="B384" s="118"/>
      <c r="C384" s="70"/>
      <c r="D384" s="69"/>
      <c r="E384" s="120"/>
      <c r="F384" s="121"/>
      <c r="G384" s="70"/>
      <c r="H384" s="69"/>
      <c r="I384" s="69"/>
      <c r="J384" s="69"/>
    </row>
    <row r="385">
      <c r="A385" s="69"/>
      <c r="B385" s="118"/>
      <c r="C385" s="70"/>
      <c r="D385" s="69"/>
      <c r="E385" s="120"/>
      <c r="F385" s="121"/>
      <c r="G385" s="70"/>
      <c r="H385" s="69"/>
      <c r="I385" s="69"/>
      <c r="J385" s="69"/>
    </row>
    <row r="386">
      <c r="A386" s="69"/>
      <c r="B386" s="118"/>
      <c r="C386" s="70"/>
      <c r="D386" s="69"/>
      <c r="E386" s="120"/>
      <c r="F386" s="121"/>
      <c r="G386" s="70"/>
      <c r="H386" s="69"/>
      <c r="I386" s="69"/>
      <c r="J386" s="69"/>
    </row>
    <row r="387">
      <c r="A387" s="69"/>
      <c r="B387" s="118"/>
      <c r="C387" s="70"/>
      <c r="D387" s="69"/>
      <c r="E387" s="120"/>
      <c r="F387" s="121"/>
      <c r="G387" s="70"/>
      <c r="H387" s="69"/>
      <c r="I387" s="69"/>
      <c r="J387" s="69"/>
    </row>
    <row r="388">
      <c r="A388" s="69"/>
      <c r="B388" s="118"/>
      <c r="C388" s="70"/>
      <c r="D388" s="69"/>
      <c r="E388" s="120"/>
      <c r="F388" s="121"/>
      <c r="G388" s="70"/>
      <c r="H388" s="69"/>
      <c r="I388" s="69"/>
      <c r="J388" s="69"/>
    </row>
    <row r="389">
      <c r="A389" s="69"/>
      <c r="B389" s="118"/>
      <c r="C389" s="70"/>
      <c r="D389" s="69"/>
      <c r="E389" s="120"/>
      <c r="F389" s="121"/>
      <c r="G389" s="70"/>
      <c r="H389" s="69"/>
      <c r="I389" s="69"/>
      <c r="J389" s="69"/>
    </row>
    <row r="390">
      <c r="A390" s="69"/>
      <c r="B390" s="118"/>
      <c r="C390" s="70"/>
      <c r="D390" s="69"/>
      <c r="E390" s="120"/>
      <c r="F390" s="121"/>
      <c r="G390" s="70"/>
      <c r="H390" s="69"/>
      <c r="I390" s="69"/>
      <c r="J390" s="69"/>
    </row>
    <row r="391">
      <c r="A391" s="69"/>
      <c r="B391" s="118"/>
      <c r="C391" s="70"/>
      <c r="D391" s="69"/>
      <c r="E391" s="120"/>
      <c r="F391" s="121"/>
      <c r="G391" s="70"/>
      <c r="H391" s="69"/>
      <c r="I391" s="69"/>
      <c r="J391" s="69"/>
    </row>
    <row r="392">
      <c r="A392" s="69"/>
      <c r="B392" s="118"/>
      <c r="C392" s="70"/>
      <c r="D392" s="69"/>
      <c r="E392" s="120"/>
      <c r="F392" s="121"/>
      <c r="G392" s="70"/>
      <c r="H392" s="69"/>
      <c r="I392" s="69"/>
      <c r="J392" s="69"/>
    </row>
    <row r="393">
      <c r="A393" s="69"/>
      <c r="B393" s="118"/>
      <c r="C393" s="70"/>
      <c r="D393" s="69"/>
      <c r="E393" s="120"/>
      <c r="F393" s="121"/>
      <c r="G393" s="70"/>
      <c r="H393" s="69"/>
      <c r="I393" s="69"/>
      <c r="J393" s="69"/>
    </row>
    <row r="394">
      <c r="A394" s="69"/>
      <c r="B394" s="118"/>
      <c r="C394" s="70"/>
      <c r="D394" s="69"/>
      <c r="E394" s="120"/>
      <c r="F394" s="121"/>
      <c r="G394" s="70"/>
      <c r="H394" s="69"/>
      <c r="I394" s="69"/>
      <c r="J394" s="69"/>
    </row>
    <row r="395">
      <c r="A395" s="69"/>
      <c r="B395" s="118"/>
      <c r="C395" s="70"/>
      <c r="D395" s="69"/>
      <c r="E395" s="120"/>
      <c r="F395" s="121"/>
      <c r="G395" s="70"/>
      <c r="H395" s="69"/>
      <c r="I395" s="69"/>
      <c r="J395" s="69"/>
    </row>
    <row r="396">
      <c r="A396" s="69"/>
      <c r="B396" s="118"/>
      <c r="C396" s="70"/>
      <c r="D396" s="69"/>
      <c r="E396" s="120"/>
      <c r="F396" s="121"/>
      <c r="G396" s="70"/>
      <c r="H396" s="69"/>
      <c r="I396" s="69"/>
      <c r="J396" s="69"/>
    </row>
    <row r="397">
      <c r="A397" s="69"/>
      <c r="B397" s="118"/>
      <c r="C397" s="70"/>
      <c r="D397" s="69"/>
      <c r="E397" s="120"/>
      <c r="F397" s="121"/>
      <c r="G397" s="70"/>
      <c r="H397" s="69"/>
      <c r="I397" s="69"/>
      <c r="J397" s="69"/>
    </row>
    <row r="398">
      <c r="A398" s="69"/>
      <c r="B398" s="118"/>
      <c r="C398" s="70"/>
      <c r="D398" s="69"/>
      <c r="E398" s="120"/>
      <c r="F398" s="121"/>
      <c r="G398" s="70"/>
      <c r="H398" s="69"/>
      <c r="I398" s="69"/>
      <c r="J398" s="69"/>
    </row>
    <row r="399">
      <c r="A399" s="69"/>
      <c r="B399" s="118"/>
      <c r="C399" s="70"/>
      <c r="D399" s="69"/>
      <c r="E399" s="120"/>
      <c r="F399" s="121"/>
      <c r="G399" s="70"/>
      <c r="H399" s="69"/>
      <c r="I399" s="69"/>
      <c r="J399" s="69"/>
    </row>
    <row r="400">
      <c r="A400" s="69"/>
      <c r="B400" s="118"/>
      <c r="C400" s="70"/>
      <c r="D400" s="69"/>
      <c r="E400" s="120"/>
      <c r="F400" s="121"/>
      <c r="G400" s="70"/>
      <c r="H400" s="69"/>
      <c r="I400" s="69"/>
      <c r="J400" s="69"/>
    </row>
    <row r="401">
      <c r="A401" s="69"/>
      <c r="B401" s="118"/>
      <c r="C401" s="70"/>
      <c r="D401" s="69"/>
      <c r="E401" s="120"/>
      <c r="F401" s="121"/>
      <c r="G401" s="70"/>
      <c r="H401" s="69"/>
      <c r="I401" s="69"/>
      <c r="J401" s="69"/>
    </row>
    <row r="402">
      <c r="A402" s="69"/>
      <c r="B402" s="118"/>
      <c r="C402" s="70"/>
      <c r="D402" s="69"/>
      <c r="E402" s="120"/>
      <c r="F402" s="121"/>
      <c r="G402" s="70"/>
      <c r="H402" s="69"/>
      <c r="I402" s="69"/>
      <c r="J402" s="69"/>
    </row>
    <row r="403">
      <c r="A403" s="69"/>
      <c r="B403" s="118"/>
      <c r="C403" s="70"/>
      <c r="D403" s="69"/>
      <c r="E403" s="120"/>
      <c r="F403" s="121"/>
      <c r="G403" s="70"/>
      <c r="H403" s="69"/>
      <c r="I403" s="69"/>
      <c r="J403" s="69"/>
    </row>
    <row r="404">
      <c r="A404" s="69"/>
      <c r="B404" s="118"/>
      <c r="C404" s="70"/>
      <c r="D404" s="69"/>
      <c r="E404" s="120"/>
      <c r="F404" s="121"/>
      <c r="G404" s="70"/>
      <c r="H404" s="69"/>
      <c r="I404" s="69"/>
      <c r="J404" s="69"/>
    </row>
    <row r="405">
      <c r="A405" s="69"/>
      <c r="B405" s="118"/>
      <c r="C405" s="70"/>
      <c r="D405" s="69"/>
      <c r="E405" s="120"/>
      <c r="F405" s="121"/>
      <c r="G405" s="70"/>
      <c r="H405" s="69"/>
      <c r="I405" s="69"/>
      <c r="J405" s="69"/>
    </row>
    <row r="406">
      <c r="A406" s="69"/>
      <c r="B406" s="118"/>
      <c r="C406" s="70"/>
      <c r="D406" s="69"/>
      <c r="E406" s="120"/>
      <c r="F406" s="121"/>
      <c r="G406" s="70"/>
      <c r="H406" s="69"/>
      <c r="I406" s="69"/>
      <c r="J406" s="69"/>
    </row>
    <row r="407">
      <c r="A407" s="69"/>
      <c r="B407" s="118"/>
      <c r="C407" s="70"/>
      <c r="D407" s="69"/>
      <c r="E407" s="120"/>
      <c r="F407" s="121"/>
      <c r="G407" s="70"/>
      <c r="H407" s="69"/>
      <c r="I407" s="69"/>
      <c r="J407" s="69"/>
    </row>
    <row r="408">
      <c r="A408" s="69"/>
      <c r="B408" s="118"/>
      <c r="C408" s="70"/>
      <c r="D408" s="69"/>
      <c r="E408" s="120"/>
      <c r="F408" s="121"/>
      <c r="G408" s="70"/>
      <c r="H408" s="69"/>
      <c r="I408" s="69"/>
      <c r="J408" s="69"/>
    </row>
    <row r="409">
      <c r="A409" s="69"/>
      <c r="B409" s="118"/>
      <c r="C409" s="70"/>
      <c r="D409" s="69"/>
      <c r="E409" s="120"/>
      <c r="F409" s="121"/>
      <c r="G409" s="70"/>
      <c r="H409" s="69"/>
      <c r="I409" s="69"/>
      <c r="J409" s="69"/>
    </row>
    <row r="410">
      <c r="A410" s="69"/>
      <c r="B410" s="118"/>
      <c r="C410" s="70"/>
      <c r="D410" s="69"/>
      <c r="E410" s="120"/>
      <c r="F410" s="121"/>
      <c r="G410" s="70"/>
      <c r="H410" s="69"/>
      <c r="I410" s="69"/>
      <c r="J410" s="69"/>
    </row>
    <row r="411">
      <c r="A411" s="69"/>
      <c r="B411" s="118"/>
      <c r="C411" s="70"/>
      <c r="D411" s="69"/>
      <c r="E411" s="120"/>
      <c r="F411" s="121"/>
      <c r="G411" s="70"/>
      <c r="H411" s="69"/>
      <c r="I411" s="69"/>
      <c r="J411" s="69"/>
    </row>
    <row r="412">
      <c r="A412" s="69"/>
      <c r="B412" s="118"/>
      <c r="C412" s="70"/>
      <c r="D412" s="69"/>
      <c r="E412" s="120"/>
      <c r="F412" s="121"/>
      <c r="G412" s="70"/>
      <c r="H412" s="69"/>
      <c r="I412" s="69"/>
      <c r="J412" s="69"/>
    </row>
    <row r="413">
      <c r="A413" s="69"/>
      <c r="B413" s="118"/>
      <c r="C413" s="70"/>
      <c r="D413" s="69"/>
      <c r="E413" s="120"/>
      <c r="F413" s="121"/>
      <c r="G413" s="70"/>
      <c r="H413" s="69"/>
      <c r="I413" s="69"/>
      <c r="J413" s="69"/>
    </row>
    <row r="414">
      <c r="A414" s="69"/>
      <c r="B414" s="118"/>
      <c r="C414" s="70"/>
      <c r="D414" s="69"/>
      <c r="E414" s="120"/>
      <c r="F414" s="121"/>
      <c r="G414" s="70"/>
      <c r="H414" s="69"/>
      <c r="I414" s="69"/>
      <c r="J414" s="69"/>
    </row>
    <row r="415">
      <c r="A415" s="69"/>
      <c r="B415" s="118"/>
      <c r="C415" s="70"/>
      <c r="D415" s="69"/>
      <c r="E415" s="120"/>
      <c r="F415" s="121"/>
      <c r="G415" s="70"/>
      <c r="H415" s="69"/>
      <c r="I415" s="69"/>
      <c r="J415" s="69"/>
    </row>
    <row r="416">
      <c r="A416" s="69"/>
      <c r="B416" s="118"/>
      <c r="C416" s="70"/>
      <c r="D416" s="69"/>
      <c r="E416" s="120"/>
      <c r="F416" s="121"/>
      <c r="G416" s="70"/>
      <c r="H416" s="69"/>
      <c r="I416" s="69"/>
      <c r="J416" s="69"/>
    </row>
    <row r="417">
      <c r="A417" s="69"/>
      <c r="B417" s="118"/>
      <c r="C417" s="70"/>
      <c r="D417" s="69"/>
      <c r="E417" s="120"/>
      <c r="F417" s="121"/>
      <c r="G417" s="70"/>
      <c r="H417" s="69"/>
      <c r="I417" s="69"/>
      <c r="J417" s="69"/>
    </row>
    <row r="418">
      <c r="A418" s="69"/>
      <c r="B418" s="118"/>
      <c r="C418" s="70"/>
      <c r="D418" s="69"/>
      <c r="E418" s="120"/>
      <c r="F418" s="121"/>
      <c r="G418" s="70"/>
      <c r="H418" s="69"/>
      <c r="I418" s="69"/>
      <c r="J418" s="69"/>
    </row>
    <row r="419">
      <c r="A419" s="69"/>
      <c r="B419" s="118"/>
      <c r="C419" s="70"/>
      <c r="D419" s="69"/>
      <c r="E419" s="120"/>
      <c r="F419" s="121"/>
      <c r="G419" s="70"/>
      <c r="H419" s="69"/>
      <c r="I419" s="69"/>
      <c r="J419" s="69"/>
    </row>
    <row r="420">
      <c r="A420" s="69"/>
      <c r="B420" s="118"/>
      <c r="C420" s="70"/>
      <c r="D420" s="69"/>
      <c r="E420" s="120"/>
      <c r="F420" s="121"/>
      <c r="G420" s="70"/>
      <c r="H420" s="69"/>
      <c r="I420" s="69"/>
      <c r="J420" s="69"/>
    </row>
    <row r="421">
      <c r="A421" s="69"/>
      <c r="B421" s="118"/>
      <c r="C421" s="70"/>
      <c r="D421" s="69"/>
      <c r="E421" s="120"/>
      <c r="F421" s="121"/>
      <c r="G421" s="70"/>
      <c r="H421" s="69"/>
      <c r="I421" s="69"/>
      <c r="J421" s="69"/>
    </row>
    <row r="422">
      <c r="A422" s="69"/>
      <c r="B422" s="118"/>
      <c r="C422" s="70"/>
      <c r="D422" s="69"/>
      <c r="E422" s="120"/>
      <c r="F422" s="121"/>
      <c r="G422" s="70"/>
      <c r="H422" s="69"/>
      <c r="I422" s="69"/>
      <c r="J422" s="69"/>
    </row>
    <row r="423">
      <c r="A423" s="69"/>
      <c r="B423" s="118"/>
      <c r="C423" s="70"/>
      <c r="D423" s="69"/>
      <c r="E423" s="120"/>
      <c r="F423" s="121"/>
      <c r="G423" s="70"/>
      <c r="H423" s="69"/>
      <c r="I423" s="69"/>
      <c r="J423" s="69"/>
    </row>
    <row r="424">
      <c r="A424" s="69"/>
      <c r="B424" s="118"/>
      <c r="C424" s="70"/>
      <c r="D424" s="69"/>
      <c r="E424" s="120"/>
      <c r="F424" s="121"/>
      <c r="G424" s="70"/>
      <c r="H424" s="69"/>
      <c r="I424" s="69"/>
      <c r="J424" s="69"/>
    </row>
    <row r="425">
      <c r="A425" s="69"/>
      <c r="B425" s="118"/>
      <c r="C425" s="70"/>
      <c r="D425" s="69"/>
      <c r="E425" s="120"/>
      <c r="F425" s="121"/>
      <c r="G425" s="70"/>
      <c r="H425" s="69"/>
      <c r="I425" s="69"/>
      <c r="J425" s="69"/>
    </row>
    <row r="426">
      <c r="A426" s="69"/>
      <c r="B426" s="118"/>
      <c r="C426" s="70"/>
      <c r="D426" s="69"/>
      <c r="E426" s="120"/>
      <c r="F426" s="121"/>
      <c r="G426" s="70"/>
      <c r="H426" s="69"/>
      <c r="I426" s="69"/>
      <c r="J426" s="69"/>
    </row>
    <row r="427">
      <c r="A427" s="69"/>
      <c r="B427" s="118"/>
      <c r="C427" s="70"/>
      <c r="D427" s="69"/>
      <c r="E427" s="120"/>
      <c r="F427" s="121"/>
      <c r="G427" s="70"/>
      <c r="H427" s="69"/>
      <c r="I427" s="69"/>
      <c r="J427" s="69"/>
    </row>
    <row r="428">
      <c r="A428" s="69"/>
      <c r="B428" s="118"/>
      <c r="C428" s="70"/>
      <c r="D428" s="69"/>
      <c r="E428" s="120"/>
      <c r="F428" s="121"/>
      <c r="G428" s="70"/>
      <c r="H428" s="69"/>
      <c r="I428" s="69"/>
      <c r="J428" s="69"/>
    </row>
    <row r="429">
      <c r="A429" s="69"/>
      <c r="B429" s="118"/>
      <c r="C429" s="70"/>
      <c r="D429" s="69"/>
      <c r="E429" s="120"/>
      <c r="F429" s="121"/>
      <c r="G429" s="70"/>
      <c r="H429" s="69"/>
      <c r="I429" s="69"/>
      <c r="J429" s="69"/>
    </row>
    <row r="430">
      <c r="A430" s="69"/>
      <c r="B430" s="118"/>
      <c r="C430" s="70"/>
      <c r="D430" s="69"/>
      <c r="E430" s="120"/>
      <c r="F430" s="121"/>
      <c r="G430" s="70"/>
      <c r="H430" s="69"/>
      <c r="I430" s="69"/>
      <c r="J430" s="69"/>
    </row>
    <row r="431">
      <c r="A431" s="69"/>
      <c r="B431" s="118"/>
      <c r="C431" s="70"/>
      <c r="D431" s="69"/>
      <c r="E431" s="120"/>
      <c r="F431" s="121"/>
      <c r="G431" s="70"/>
      <c r="H431" s="69"/>
      <c r="I431" s="69"/>
      <c r="J431" s="69"/>
    </row>
    <row r="432">
      <c r="A432" s="69"/>
      <c r="B432" s="118"/>
      <c r="C432" s="70"/>
      <c r="D432" s="69"/>
      <c r="E432" s="120"/>
      <c r="F432" s="121"/>
      <c r="G432" s="70"/>
      <c r="H432" s="69"/>
      <c r="I432" s="69"/>
      <c r="J432" s="69"/>
    </row>
    <row r="433">
      <c r="A433" s="69"/>
      <c r="B433" s="118"/>
      <c r="C433" s="70"/>
      <c r="D433" s="69"/>
      <c r="E433" s="120"/>
      <c r="F433" s="121"/>
      <c r="G433" s="70"/>
      <c r="H433" s="69"/>
      <c r="I433" s="69"/>
      <c r="J433" s="69"/>
    </row>
    <row r="434">
      <c r="A434" s="69"/>
      <c r="B434" s="118"/>
      <c r="C434" s="70"/>
      <c r="D434" s="69"/>
      <c r="E434" s="120"/>
      <c r="F434" s="121"/>
      <c r="G434" s="70"/>
      <c r="H434" s="69"/>
      <c r="I434" s="69"/>
      <c r="J434" s="69"/>
    </row>
    <row r="435">
      <c r="A435" s="69"/>
      <c r="B435" s="118"/>
      <c r="C435" s="70"/>
      <c r="D435" s="69"/>
      <c r="E435" s="120"/>
      <c r="F435" s="121"/>
      <c r="G435" s="70"/>
      <c r="H435" s="69"/>
      <c r="I435" s="69"/>
      <c r="J435" s="69"/>
    </row>
    <row r="436">
      <c r="A436" s="69"/>
      <c r="B436" s="118"/>
      <c r="C436" s="70"/>
      <c r="D436" s="69"/>
      <c r="E436" s="120"/>
      <c r="F436" s="121"/>
      <c r="G436" s="70"/>
      <c r="H436" s="69"/>
      <c r="I436" s="69"/>
      <c r="J436" s="69"/>
    </row>
    <row r="437">
      <c r="A437" s="69"/>
      <c r="B437" s="118"/>
      <c r="C437" s="70"/>
      <c r="D437" s="69"/>
      <c r="E437" s="120"/>
      <c r="F437" s="121"/>
      <c r="G437" s="70"/>
      <c r="H437" s="69"/>
      <c r="I437" s="69"/>
      <c r="J437" s="69"/>
    </row>
    <row r="438">
      <c r="A438" s="69"/>
      <c r="B438" s="118"/>
      <c r="C438" s="70"/>
      <c r="D438" s="69"/>
      <c r="E438" s="120"/>
      <c r="F438" s="121"/>
      <c r="G438" s="70"/>
      <c r="H438" s="69"/>
      <c r="I438" s="69"/>
      <c r="J438" s="69"/>
    </row>
    <row r="439">
      <c r="A439" s="69"/>
      <c r="B439" s="118"/>
      <c r="C439" s="70"/>
      <c r="D439" s="69"/>
      <c r="E439" s="120"/>
      <c r="F439" s="121"/>
      <c r="G439" s="70"/>
      <c r="H439" s="69"/>
      <c r="I439" s="69"/>
      <c r="J439" s="69"/>
    </row>
    <row r="440">
      <c r="A440" s="69"/>
      <c r="B440" s="118"/>
      <c r="C440" s="70"/>
      <c r="D440" s="69"/>
      <c r="E440" s="120"/>
      <c r="F440" s="121"/>
      <c r="G440" s="70"/>
      <c r="H440" s="69"/>
      <c r="I440" s="69"/>
      <c r="J440" s="69"/>
    </row>
    <row r="441">
      <c r="A441" s="69"/>
      <c r="B441" s="118"/>
      <c r="C441" s="70"/>
      <c r="D441" s="69"/>
      <c r="E441" s="120"/>
      <c r="F441" s="121"/>
      <c r="G441" s="70"/>
      <c r="H441" s="69"/>
      <c r="I441" s="69"/>
      <c r="J441" s="69"/>
    </row>
    <row r="442">
      <c r="A442" s="69"/>
      <c r="B442" s="118"/>
      <c r="C442" s="70"/>
      <c r="D442" s="69"/>
      <c r="E442" s="120"/>
      <c r="F442" s="121"/>
      <c r="G442" s="70"/>
      <c r="H442" s="69"/>
      <c r="I442" s="69"/>
      <c r="J442" s="69"/>
    </row>
    <row r="443">
      <c r="A443" s="69"/>
      <c r="B443" s="118"/>
      <c r="C443" s="70"/>
      <c r="D443" s="69"/>
      <c r="E443" s="120"/>
      <c r="F443" s="121"/>
      <c r="G443" s="70"/>
      <c r="H443" s="69"/>
      <c r="I443" s="69"/>
      <c r="J443" s="69"/>
    </row>
    <row r="444">
      <c r="A444" s="69"/>
      <c r="B444" s="118"/>
      <c r="C444" s="70"/>
      <c r="D444" s="69"/>
      <c r="E444" s="120"/>
      <c r="F444" s="121"/>
      <c r="G444" s="70"/>
      <c r="H444" s="69"/>
      <c r="I444" s="69"/>
      <c r="J444" s="69"/>
    </row>
    <row r="445">
      <c r="A445" s="69"/>
      <c r="B445" s="118"/>
      <c r="C445" s="70"/>
      <c r="D445" s="69"/>
      <c r="E445" s="120"/>
      <c r="F445" s="121"/>
      <c r="G445" s="70"/>
      <c r="H445" s="69"/>
      <c r="I445" s="69"/>
      <c r="J445" s="69"/>
    </row>
    <row r="446">
      <c r="A446" s="69"/>
      <c r="B446" s="118"/>
      <c r="C446" s="70"/>
      <c r="D446" s="69"/>
      <c r="E446" s="120"/>
      <c r="F446" s="121"/>
      <c r="G446" s="70"/>
      <c r="H446" s="69"/>
      <c r="I446" s="69"/>
      <c r="J446" s="69"/>
    </row>
    <row r="447">
      <c r="A447" s="69"/>
      <c r="B447" s="118"/>
      <c r="C447" s="70"/>
      <c r="D447" s="69"/>
      <c r="E447" s="120"/>
      <c r="F447" s="121"/>
      <c r="G447" s="70"/>
      <c r="H447" s="69"/>
      <c r="I447" s="69"/>
      <c r="J447" s="69"/>
    </row>
    <row r="448">
      <c r="A448" s="69"/>
      <c r="B448" s="118"/>
      <c r="C448" s="70"/>
      <c r="D448" s="69"/>
      <c r="E448" s="120"/>
      <c r="F448" s="121"/>
      <c r="G448" s="70"/>
      <c r="H448" s="69"/>
      <c r="I448" s="69"/>
      <c r="J448" s="69"/>
    </row>
    <row r="449">
      <c r="A449" s="69"/>
      <c r="B449" s="118"/>
      <c r="C449" s="70"/>
      <c r="D449" s="69"/>
      <c r="E449" s="120"/>
      <c r="F449" s="121"/>
      <c r="G449" s="70"/>
      <c r="H449" s="69"/>
      <c r="I449" s="69"/>
      <c r="J449" s="69"/>
    </row>
    <row r="450">
      <c r="A450" s="69"/>
      <c r="B450" s="118"/>
      <c r="C450" s="70"/>
      <c r="D450" s="69"/>
      <c r="E450" s="120"/>
      <c r="F450" s="121"/>
      <c r="G450" s="70"/>
      <c r="H450" s="69"/>
      <c r="I450" s="69"/>
      <c r="J450" s="69"/>
    </row>
    <row r="451">
      <c r="A451" s="69"/>
      <c r="B451" s="118"/>
      <c r="C451" s="70"/>
      <c r="D451" s="69"/>
      <c r="E451" s="120"/>
      <c r="F451" s="121"/>
      <c r="G451" s="70"/>
      <c r="H451" s="69"/>
      <c r="I451" s="69"/>
      <c r="J451" s="69"/>
    </row>
    <row r="452">
      <c r="A452" s="69"/>
      <c r="B452" s="118"/>
      <c r="C452" s="70"/>
      <c r="D452" s="69"/>
      <c r="E452" s="120"/>
      <c r="F452" s="121"/>
      <c r="G452" s="70"/>
      <c r="H452" s="69"/>
      <c r="I452" s="69"/>
      <c r="J452" s="69"/>
    </row>
    <row r="453">
      <c r="A453" s="69"/>
      <c r="B453" s="118"/>
      <c r="C453" s="70"/>
      <c r="D453" s="69"/>
      <c r="E453" s="120"/>
      <c r="F453" s="121"/>
      <c r="G453" s="70"/>
      <c r="H453" s="69"/>
      <c r="I453" s="69"/>
      <c r="J453" s="69"/>
    </row>
    <row r="454">
      <c r="A454" s="69"/>
      <c r="B454" s="118"/>
      <c r="C454" s="70"/>
      <c r="D454" s="69"/>
      <c r="E454" s="120"/>
      <c r="F454" s="121"/>
      <c r="G454" s="70"/>
      <c r="H454" s="69"/>
      <c r="I454" s="69"/>
      <c r="J454" s="69"/>
    </row>
    <row r="455">
      <c r="A455" s="69"/>
      <c r="B455" s="118"/>
      <c r="C455" s="70"/>
      <c r="D455" s="69"/>
      <c r="E455" s="120"/>
      <c r="F455" s="121"/>
      <c r="G455" s="70"/>
      <c r="H455" s="69"/>
      <c r="I455" s="69"/>
      <c r="J455" s="69"/>
    </row>
    <row r="456">
      <c r="A456" s="69"/>
      <c r="B456" s="118"/>
      <c r="C456" s="70"/>
      <c r="D456" s="69"/>
      <c r="E456" s="120"/>
      <c r="F456" s="121"/>
      <c r="G456" s="70"/>
      <c r="H456" s="69"/>
      <c r="I456" s="69"/>
      <c r="J456" s="69"/>
    </row>
    <row r="457">
      <c r="A457" s="69"/>
      <c r="B457" s="118"/>
      <c r="C457" s="70"/>
      <c r="D457" s="69"/>
      <c r="E457" s="120"/>
      <c r="F457" s="121"/>
      <c r="G457" s="70"/>
      <c r="H457" s="69"/>
      <c r="I457" s="69"/>
      <c r="J457" s="69"/>
    </row>
    <row r="458">
      <c r="A458" s="69"/>
      <c r="B458" s="118"/>
      <c r="C458" s="70"/>
      <c r="D458" s="69"/>
      <c r="E458" s="120"/>
      <c r="F458" s="121"/>
      <c r="G458" s="70"/>
      <c r="H458" s="69"/>
      <c r="I458" s="69"/>
      <c r="J458" s="69"/>
    </row>
    <row r="459">
      <c r="A459" s="69"/>
      <c r="B459" s="118"/>
      <c r="C459" s="70"/>
      <c r="D459" s="69"/>
      <c r="E459" s="120"/>
      <c r="F459" s="121"/>
      <c r="G459" s="70"/>
      <c r="H459" s="69"/>
      <c r="I459" s="69"/>
      <c r="J459" s="69"/>
    </row>
    <row r="460">
      <c r="A460" s="69"/>
      <c r="B460" s="118"/>
      <c r="C460" s="70"/>
      <c r="D460" s="69"/>
      <c r="E460" s="120"/>
      <c r="F460" s="121"/>
      <c r="G460" s="70"/>
      <c r="H460" s="69"/>
      <c r="I460" s="69"/>
      <c r="J460" s="69"/>
    </row>
    <row r="461">
      <c r="A461" s="69"/>
      <c r="B461" s="118"/>
      <c r="C461" s="70"/>
      <c r="D461" s="69"/>
      <c r="E461" s="120"/>
      <c r="F461" s="121"/>
      <c r="G461" s="70"/>
      <c r="H461" s="69"/>
      <c r="I461" s="69"/>
      <c r="J461" s="69"/>
    </row>
    <row r="462">
      <c r="A462" s="69"/>
      <c r="B462" s="118"/>
      <c r="C462" s="70"/>
      <c r="D462" s="69"/>
      <c r="E462" s="120"/>
      <c r="F462" s="121"/>
      <c r="G462" s="70"/>
      <c r="H462" s="69"/>
      <c r="I462" s="69"/>
      <c r="J462" s="69"/>
    </row>
    <row r="463">
      <c r="A463" s="69"/>
      <c r="B463" s="118"/>
      <c r="C463" s="70"/>
      <c r="D463" s="69"/>
      <c r="E463" s="120"/>
      <c r="F463" s="121"/>
      <c r="G463" s="70"/>
      <c r="H463" s="69"/>
      <c r="I463" s="69"/>
      <c r="J463" s="69"/>
    </row>
    <row r="464">
      <c r="A464" s="69"/>
      <c r="B464" s="118"/>
      <c r="C464" s="70"/>
      <c r="D464" s="69"/>
      <c r="E464" s="120"/>
      <c r="F464" s="121"/>
      <c r="G464" s="70"/>
      <c r="H464" s="69"/>
      <c r="I464" s="69"/>
      <c r="J464" s="69"/>
    </row>
    <row r="465">
      <c r="A465" s="69"/>
      <c r="B465" s="118"/>
      <c r="C465" s="70"/>
      <c r="D465" s="69"/>
      <c r="E465" s="120"/>
      <c r="F465" s="121"/>
      <c r="G465" s="70"/>
      <c r="H465" s="69"/>
      <c r="I465" s="69"/>
      <c r="J465" s="69"/>
    </row>
    <row r="466">
      <c r="A466" s="69"/>
      <c r="B466" s="118"/>
      <c r="C466" s="70"/>
      <c r="D466" s="69"/>
      <c r="E466" s="120"/>
      <c r="F466" s="121"/>
      <c r="G466" s="70"/>
      <c r="H466" s="69"/>
      <c r="I466" s="69"/>
      <c r="J466" s="69"/>
    </row>
    <row r="467">
      <c r="A467" s="69"/>
      <c r="B467" s="118"/>
      <c r="C467" s="70"/>
      <c r="D467" s="69"/>
      <c r="E467" s="120"/>
      <c r="F467" s="121"/>
      <c r="G467" s="70"/>
      <c r="H467" s="69"/>
      <c r="I467" s="69"/>
      <c r="J467" s="69"/>
    </row>
    <row r="468">
      <c r="A468" s="69"/>
      <c r="B468" s="118"/>
      <c r="C468" s="70"/>
      <c r="D468" s="69"/>
      <c r="E468" s="120"/>
      <c r="F468" s="121"/>
      <c r="G468" s="70"/>
      <c r="H468" s="69"/>
      <c r="I468" s="69"/>
      <c r="J468" s="69"/>
    </row>
    <row r="469">
      <c r="A469" s="69"/>
      <c r="B469" s="118"/>
      <c r="C469" s="70"/>
      <c r="D469" s="69"/>
      <c r="E469" s="120"/>
      <c r="F469" s="121"/>
      <c r="G469" s="70"/>
      <c r="H469" s="69"/>
      <c r="I469" s="69"/>
      <c r="J469" s="69"/>
    </row>
    <row r="470">
      <c r="A470" s="69"/>
      <c r="B470" s="118"/>
      <c r="C470" s="70"/>
      <c r="D470" s="69"/>
      <c r="E470" s="120"/>
      <c r="F470" s="121"/>
      <c r="G470" s="70"/>
      <c r="H470" s="69"/>
      <c r="I470" s="69"/>
      <c r="J470" s="69"/>
    </row>
    <row r="471">
      <c r="A471" s="69"/>
      <c r="B471" s="118"/>
      <c r="C471" s="70"/>
      <c r="D471" s="69"/>
      <c r="E471" s="120"/>
      <c r="F471" s="121"/>
      <c r="G471" s="70"/>
      <c r="H471" s="69"/>
      <c r="I471" s="69"/>
      <c r="J471" s="69"/>
    </row>
    <row r="472">
      <c r="A472" s="69"/>
      <c r="B472" s="118"/>
      <c r="C472" s="70"/>
      <c r="D472" s="69"/>
      <c r="E472" s="120"/>
      <c r="F472" s="121"/>
      <c r="G472" s="70"/>
      <c r="H472" s="69"/>
      <c r="I472" s="69"/>
      <c r="J472" s="69"/>
    </row>
    <row r="473">
      <c r="A473" s="69"/>
      <c r="B473" s="118"/>
      <c r="C473" s="70"/>
      <c r="D473" s="69"/>
      <c r="E473" s="120"/>
      <c r="F473" s="121"/>
      <c r="G473" s="70"/>
      <c r="H473" s="69"/>
      <c r="I473" s="69"/>
      <c r="J473" s="69"/>
    </row>
    <row r="474">
      <c r="A474" s="69"/>
      <c r="B474" s="118"/>
      <c r="C474" s="70"/>
      <c r="D474" s="69"/>
      <c r="E474" s="120"/>
      <c r="F474" s="121"/>
      <c r="G474" s="70"/>
      <c r="H474" s="69"/>
      <c r="I474" s="69"/>
      <c r="J474" s="69"/>
    </row>
    <row r="475">
      <c r="A475" s="69"/>
      <c r="B475" s="118"/>
      <c r="C475" s="70"/>
      <c r="D475" s="69"/>
      <c r="E475" s="120"/>
      <c r="F475" s="121"/>
      <c r="G475" s="70"/>
      <c r="H475" s="69"/>
      <c r="I475" s="69"/>
      <c r="J475" s="69"/>
    </row>
    <row r="476">
      <c r="A476" s="69"/>
      <c r="B476" s="118"/>
      <c r="C476" s="70"/>
      <c r="D476" s="69"/>
      <c r="E476" s="120"/>
      <c r="F476" s="121"/>
      <c r="G476" s="70"/>
      <c r="H476" s="69"/>
      <c r="I476" s="69"/>
      <c r="J476" s="69"/>
    </row>
    <row r="477">
      <c r="A477" s="69"/>
      <c r="B477" s="118"/>
      <c r="C477" s="70"/>
      <c r="D477" s="69"/>
      <c r="E477" s="120"/>
      <c r="F477" s="121"/>
      <c r="G477" s="70"/>
      <c r="H477" s="69"/>
      <c r="I477" s="69"/>
      <c r="J477" s="69"/>
    </row>
    <row r="478">
      <c r="A478" s="69"/>
      <c r="B478" s="118"/>
      <c r="C478" s="70"/>
      <c r="D478" s="69"/>
      <c r="E478" s="120"/>
      <c r="F478" s="121"/>
      <c r="G478" s="70"/>
      <c r="H478" s="69"/>
      <c r="I478" s="69"/>
      <c r="J478" s="69"/>
    </row>
    <row r="479">
      <c r="A479" s="69"/>
      <c r="B479" s="118"/>
      <c r="C479" s="70"/>
      <c r="D479" s="69"/>
      <c r="E479" s="120"/>
      <c r="F479" s="121"/>
      <c r="G479" s="70"/>
      <c r="H479" s="69"/>
      <c r="I479" s="69"/>
      <c r="J479" s="69"/>
    </row>
    <row r="480">
      <c r="A480" s="69"/>
      <c r="B480" s="118"/>
      <c r="C480" s="70"/>
      <c r="D480" s="69"/>
      <c r="E480" s="120"/>
      <c r="F480" s="121"/>
      <c r="G480" s="70"/>
      <c r="H480" s="69"/>
      <c r="I480" s="69"/>
      <c r="J480" s="69"/>
    </row>
    <row r="481">
      <c r="A481" s="69"/>
      <c r="B481" s="118"/>
      <c r="C481" s="70"/>
      <c r="D481" s="69"/>
      <c r="E481" s="120"/>
      <c r="F481" s="121"/>
      <c r="G481" s="70"/>
      <c r="H481" s="69"/>
      <c r="I481" s="69"/>
      <c r="J481" s="69"/>
    </row>
    <row r="482">
      <c r="A482" s="69"/>
      <c r="B482" s="118"/>
      <c r="C482" s="70"/>
      <c r="D482" s="69"/>
      <c r="E482" s="120"/>
      <c r="F482" s="121"/>
      <c r="G482" s="70"/>
      <c r="H482" s="69"/>
      <c r="I482" s="69"/>
      <c r="J482" s="69"/>
    </row>
    <row r="483">
      <c r="A483" s="69"/>
      <c r="B483" s="118"/>
      <c r="C483" s="70"/>
      <c r="D483" s="69"/>
      <c r="E483" s="120"/>
      <c r="F483" s="121"/>
      <c r="G483" s="70"/>
      <c r="H483" s="69"/>
      <c r="I483" s="69"/>
      <c r="J483" s="69"/>
    </row>
    <row r="484">
      <c r="A484" s="69"/>
      <c r="B484" s="118"/>
      <c r="C484" s="70"/>
      <c r="D484" s="69"/>
      <c r="E484" s="120"/>
      <c r="F484" s="121"/>
      <c r="G484" s="70"/>
      <c r="H484" s="69"/>
      <c r="I484" s="69"/>
      <c r="J484" s="69"/>
    </row>
    <row r="485">
      <c r="A485" s="69"/>
      <c r="B485" s="118"/>
      <c r="C485" s="70"/>
      <c r="D485" s="69"/>
      <c r="E485" s="120"/>
      <c r="F485" s="121"/>
      <c r="G485" s="70"/>
      <c r="H485" s="69"/>
      <c r="I485" s="69"/>
      <c r="J485" s="69"/>
    </row>
    <row r="486">
      <c r="A486" s="69"/>
      <c r="B486" s="118"/>
      <c r="C486" s="70"/>
      <c r="D486" s="69"/>
      <c r="E486" s="120"/>
      <c r="F486" s="121"/>
      <c r="G486" s="70"/>
      <c r="H486" s="69"/>
      <c r="I486" s="69"/>
      <c r="J486" s="69"/>
    </row>
    <row r="487">
      <c r="A487" s="69"/>
      <c r="B487" s="118"/>
      <c r="C487" s="70"/>
      <c r="D487" s="69"/>
      <c r="E487" s="120"/>
      <c r="F487" s="121"/>
      <c r="G487" s="70"/>
      <c r="H487" s="69"/>
      <c r="I487" s="69"/>
      <c r="J487" s="69"/>
    </row>
    <row r="488">
      <c r="A488" s="69"/>
      <c r="B488" s="118"/>
      <c r="C488" s="70"/>
      <c r="D488" s="69"/>
      <c r="E488" s="120"/>
      <c r="F488" s="121"/>
      <c r="G488" s="70"/>
      <c r="H488" s="69"/>
      <c r="I488" s="69"/>
      <c r="J488" s="69"/>
    </row>
    <row r="489">
      <c r="A489" s="69"/>
      <c r="B489" s="118"/>
      <c r="C489" s="70"/>
      <c r="D489" s="69"/>
      <c r="E489" s="120"/>
      <c r="F489" s="121"/>
      <c r="G489" s="70"/>
      <c r="H489" s="69"/>
      <c r="I489" s="69"/>
      <c r="J489" s="69"/>
    </row>
    <row r="490">
      <c r="A490" s="69"/>
      <c r="B490" s="118"/>
      <c r="C490" s="70"/>
      <c r="D490" s="69"/>
      <c r="E490" s="120"/>
      <c r="F490" s="121"/>
      <c r="G490" s="70"/>
      <c r="H490" s="69"/>
      <c r="I490" s="69"/>
      <c r="J490" s="69"/>
    </row>
    <row r="491">
      <c r="A491" s="69"/>
      <c r="B491" s="118"/>
      <c r="C491" s="70"/>
      <c r="D491" s="69"/>
      <c r="E491" s="120"/>
      <c r="F491" s="121"/>
      <c r="G491" s="70"/>
      <c r="H491" s="69"/>
      <c r="I491" s="69"/>
      <c r="J491" s="69"/>
    </row>
    <row r="492">
      <c r="A492" s="69"/>
      <c r="B492" s="118"/>
      <c r="C492" s="70"/>
      <c r="D492" s="69"/>
      <c r="E492" s="120"/>
      <c r="F492" s="121"/>
      <c r="G492" s="70"/>
      <c r="H492" s="69"/>
      <c r="I492" s="69"/>
      <c r="J492" s="69"/>
    </row>
    <row r="493">
      <c r="A493" s="69"/>
      <c r="B493" s="118"/>
      <c r="C493" s="70"/>
      <c r="D493" s="69"/>
      <c r="E493" s="120"/>
      <c r="F493" s="121"/>
      <c r="G493" s="70"/>
      <c r="H493" s="69"/>
      <c r="I493" s="69"/>
      <c r="J493" s="69"/>
    </row>
    <row r="494">
      <c r="A494" s="69"/>
      <c r="B494" s="118"/>
      <c r="C494" s="70"/>
      <c r="D494" s="69"/>
      <c r="E494" s="120"/>
      <c r="F494" s="121"/>
      <c r="G494" s="70"/>
      <c r="H494" s="69"/>
      <c r="I494" s="69"/>
      <c r="J494" s="69"/>
    </row>
    <row r="495">
      <c r="A495" s="69"/>
      <c r="B495" s="118"/>
      <c r="C495" s="70"/>
      <c r="D495" s="69"/>
      <c r="E495" s="120"/>
      <c r="F495" s="121"/>
      <c r="G495" s="70"/>
      <c r="H495" s="69"/>
      <c r="I495" s="69"/>
      <c r="J495" s="69"/>
    </row>
    <row r="496">
      <c r="A496" s="69"/>
      <c r="B496" s="118"/>
      <c r="C496" s="70"/>
      <c r="D496" s="69"/>
      <c r="E496" s="120"/>
      <c r="F496" s="121"/>
      <c r="G496" s="70"/>
      <c r="H496" s="69"/>
      <c r="I496" s="69"/>
      <c r="J496" s="69"/>
    </row>
    <row r="497">
      <c r="A497" s="69"/>
      <c r="B497" s="118"/>
      <c r="C497" s="70"/>
      <c r="D497" s="69"/>
      <c r="E497" s="120"/>
      <c r="F497" s="121"/>
      <c r="G497" s="70"/>
      <c r="H497" s="69"/>
      <c r="I497" s="69"/>
      <c r="J497" s="69"/>
    </row>
    <row r="498">
      <c r="A498" s="69"/>
      <c r="B498" s="118"/>
      <c r="C498" s="70"/>
      <c r="D498" s="69"/>
      <c r="E498" s="120"/>
      <c r="F498" s="121"/>
      <c r="G498" s="70"/>
      <c r="H498" s="69"/>
      <c r="I498" s="69"/>
      <c r="J498" s="69"/>
    </row>
    <row r="499">
      <c r="A499" s="69"/>
      <c r="B499" s="118"/>
      <c r="C499" s="70"/>
      <c r="D499" s="69"/>
      <c r="E499" s="120"/>
      <c r="F499" s="121"/>
      <c r="G499" s="70"/>
      <c r="H499" s="69"/>
      <c r="I499" s="69"/>
      <c r="J499" s="69"/>
    </row>
    <row r="500">
      <c r="A500" s="69"/>
      <c r="B500" s="118"/>
      <c r="C500" s="70"/>
      <c r="D500" s="69"/>
      <c r="E500" s="120"/>
      <c r="F500" s="121"/>
      <c r="G500" s="70"/>
      <c r="H500" s="69"/>
      <c r="I500" s="69"/>
      <c r="J500" s="69"/>
    </row>
    <row r="501">
      <c r="A501" s="69"/>
      <c r="B501" s="118"/>
      <c r="C501" s="70"/>
      <c r="D501" s="69"/>
      <c r="E501" s="120"/>
      <c r="F501" s="121"/>
      <c r="G501" s="70"/>
      <c r="H501" s="69"/>
      <c r="I501" s="69"/>
      <c r="J501" s="69"/>
    </row>
    <row r="502">
      <c r="A502" s="69"/>
      <c r="B502" s="118"/>
      <c r="C502" s="70"/>
      <c r="D502" s="69"/>
      <c r="E502" s="120"/>
      <c r="F502" s="121"/>
      <c r="G502" s="70"/>
      <c r="H502" s="69"/>
      <c r="I502" s="69"/>
      <c r="J502" s="69"/>
    </row>
    <row r="503">
      <c r="A503" s="69"/>
      <c r="B503" s="118"/>
      <c r="C503" s="70"/>
      <c r="D503" s="69"/>
      <c r="E503" s="120"/>
      <c r="F503" s="121"/>
      <c r="G503" s="70"/>
      <c r="H503" s="69"/>
      <c r="I503" s="69"/>
      <c r="J503" s="69"/>
    </row>
    <row r="504">
      <c r="A504" s="69"/>
      <c r="B504" s="118"/>
      <c r="C504" s="70"/>
      <c r="D504" s="69"/>
      <c r="E504" s="120"/>
      <c r="F504" s="121"/>
      <c r="G504" s="70"/>
      <c r="H504" s="69"/>
      <c r="I504" s="69"/>
      <c r="J504" s="69"/>
    </row>
    <row r="505">
      <c r="A505" s="69"/>
      <c r="B505" s="118"/>
      <c r="C505" s="70"/>
      <c r="D505" s="69"/>
      <c r="E505" s="120"/>
      <c r="F505" s="121"/>
      <c r="G505" s="70"/>
      <c r="H505" s="69"/>
      <c r="I505" s="69"/>
      <c r="J505" s="69"/>
    </row>
    <row r="506">
      <c r="A506" s="69"/>
      <c r="B506" s="118"/>
      <c r="C506" s="70"/>
      <c r="D506" s="69"/>
      <c r="E506" s="120"/>
      <c r="F506" s="121"/>
      <c r="G506" s="70"/>
      <c r="H506" s="69"/>
      <c r="I506" s="69"/>
      <c r="J506" s="69"/>
    </row>
    <row r="507">
      <c r="A507" s="69"/>
      <c r="B507" s="118"/>
      <c r="C507" s="70"/>
      <c r="D507" s="69"/>
      <c r="E507" s="120"/>
      <c r="F507" s="121"/>
      <c r="G507" s="70"/>
      <c r="H507" s="69"/>
      <c r="I507" s="69"/>
      <c r="J507" s="69"/>
    </row>
    <row r="508">
      <c r="A508" s="69"/>
      <c r="B508" s="118"/>
      <c r="C508" s="70"/>
      <c r="D508" s="69"/>
      <c r="E508" s="120"/>
      <c r="F508" s="121"/>
      <c r="G508" s="70"/>
      <c r="H508" s="69"/>
      <c r="I508" s="69"/>
      <c r="J508" s="69"/>
    </row>
    <row r="509">
      <c r="A509" s="69"/>
      <c r="B509" s="118"/>
      <c r="C509" s="70"/>
      <c r="D509" s="69"/>
      <c r="E509" s="120"/>
      <c r="F509" s="121"/>
      <c r="G509" s="70"/>
      <c r="H509" s="69"/>
      <c r="I509" s="69"/>
      <c r="J509" s="69"/>
    </row>
    <row r="510">
      <c r="A510" s="69"/>
      <c r="B510" s="118"/>
      <c r="C510" s="70"/>
      <c r="D510" s="69"/>
      <c r="E510" s="120"/>
      <c r="F510" s="121"/>
      <c r="G510" s="70"/>
      <c r="H510" s="69"/>
      <c r="I510" s="69"/>
      <c r="J510" s="69"/>
    </row>
    <row r="511">
      <c r="A511" s="69"/>
      <c r="B511" s="118"/>
      <c r="C511" s="70"/>
      <c r="D511" s="69"/>
      <c r="E511" s="120"/>
      <c r="F511" s="121"/>
      <c r="G511" s="70"/>
      <c r="H511" s="69"/>
      <c r="I511" s="69"/>
      <c r="J511" s="69"/>
    </row>
    <row r="512">
      <c r="A512" s="69"/>
      <c r="B512" s="118"/>
      <c r="C512" s="70"/>
      <c r="D512" s="69"/>
      <c r="E512" s="120"/>
      <c r="F512" s="121"/>
      <c r="G512" s="70"/>
      <c r="H512" s="69"/>
      <c r="I512" s="69"/>
      <c r="J512" s="69"/>
    </row>
    <row r="513">
      <c r="A513" s="69"/>
      <c r="B513" s="118"/>
      <c r="C513" s="70"/>
      <c r="D513" s="69"/>
      <c r="E513" s="120"/>
      <c r="F513" s="121"/>
      <c r="G513" s="70"/>
      <c r="H513" s="69"/>
      <c r="I513" s="69"/>
      <c r="J513" s="69"/>
    </row>
    <row r="514">
      <c r="A514" s="69"/>
      <c r="B514" s="118"/>
      <c r="C514" s="70"/>
      <c r="D514" s="69"/>
      <c r="E514" s="120"/>
      <c r="F514" s="121"/>
      <c r="G514" s="70"/>
      <c r="H514" s="69"/>
      <c r="I514" s="69"/>
      <c r="J514" s="69"/>
    </row>
    <row r="515">
      <c r="A515" s="69"/>
      <c r="B515" s="118"/>
      <c r="C515" s="70"/>
      <c r="D515" s="69"/>
      <c r="E515" s="120"/>
      <c r="F515" s="121"/>
      <c r="G515" s="70"/>
      <c r="H515" s="69"/>
      <c r="I515" s="69"/>
      <c r="J515" s="69"/>
    </row>
    <row r="516">
      <c r="A516" s="69"/>
      <c r="B516" s="118"/>
      <c r="C516" s="70"/>
      <c r="D516" s="69"/>
      <c r="E516" s="120"/>
      <c r="F516" s="121"/>
      <c r="G516" s="70"/>
      <c r="H516" s="69"/>
      <c r="I516" s="69"/>
      <c r="J516" s="69"/>
    </row>
    <row r="517">
      <c r="A517" s="69"/>
      <c r="B517" s="118"/>
      <c r="C517" s="70"/>
      <c r="D517" s="69"/>
      <c r="E517" s="120"/>
      <c r="F517" s="121"/>
      <c r="G517" s="70"/>
      <c r="H517" s="69"/>
      <c r="I517" s="69"/>
      <c r="J517" s="69"/>
    </row>
    <row r="518">
      <c r="A518" s="69"/>
      <c r="B518" s="118"/>
      <c r="C518" s="70"/>
      <c r="D518" s="69"/>
      <c r="E518" s="120"/>
      <c r="F518" s="121"/>
      <c r="G518" s="70"/>
      <c r="H518" s="69"/>
      <c r="I518" s="69"/>
      <c r="J518" s="69"/>
    </row>
    <row r="519">
      <c r="A519" s="69"/>
      <c r="B519" s="118"/>
      <c r="C519" s="70"/>
      <c r="D519" s="69"/>
      <c r="E519" s="120"/>
      <c r="F519" s="121"/>
      <c r="G519" s="70"/>
      <c r="H519" s="69"/>
      <c r="I519" s="69"/>
      <c r="J519" s="69"/>
    </row>
    <row r="520">
      <c r="A520" s="69"/>
      <c r="B520" s="118"/>
      <c r="C520" s="70"/>
      <c r="D520" s="69"/>
      <c r="E520" s="120"/>
      <c r="F520" s="121"/>
      <c r="G520" s="70"/>
      <c r="H520" s="69"/>
      <c r="I520" s="69"/>
      <c r="J520" s="69"/>
    </row>
    <row r="521">
      <c r="A521" s="69"/>
      <c r="B521" s="118"/>
      <c r="C521" s="70"/>
      <c r="D521" s="69"/>
      <c r="E521" s="120"/>
      <c r="F521" s="121"/>
      <c r="G521" s="70"/>
      <c r="H521" s="69"/>
      <c r="I521" s="69"/>
      <c r="J521" s="69"/>
    </row>
    <row r="522">
      <c r="A522" s="69"/>
      <c r="B522" s="118"/>
      <c r="C522" s="70"/>
      <c r="D522" s="69"/>
      <c r="E522" s="120"/>
      <c r="F522" s="121"/>
      <c r="G522" s="70"/>
      <c r="H522" s="69"/>
      <c r="I522" s="69"/>
      <c r="J522" s="69"/>
    </row>
    <row r="523">
      <c r="A523" s="69"/>
      <c r="B523" s="118"/>
      <c r="C523" s="70"/>
      <c r="D523" s="69"/>
      <c r="E523" s="120"/>
      <c r="F523" s="121"/>
      <c r="G523" s="70"/>
      <c r="H523" s="69"/>
      <c r="I523" s="69"/>
      <c r="J523" s="69"/>
    </row>
    <row r="524">
      <c r="A524" s="69"/>
      <c r="B524" s="118"/>
      <c r="C524" s="70"/>
      <c r="D524" s="69"/>
      <c r="E524" s="120"/>
      <c r="F524" s="121"/>
      <c r="G524" s="70"/>
      <c r="H524" s="69"/>
      <c r="I524" s="69"/>
      <c r="J524" s="69"/>
    </row>
    <row r="525">
      <c r="A525" s="69"/>
      <c r="B525" s="118"/>
      <c r="C525" s="70"/>
      <c r="D525" s="69"/>
      <c r="E525" s="120"/>
      <c r="F525" s="121"/>
      <c r="G525" s="70"/>
      <c r="H525" s="69"/>
      <c r="I525" s="69"/>
      <c r="J525" s="69"/>
    </row>
    <row r="526">
      <c r="A526" s="69"/>
      <c r="B526" s="118"/>
      <c r="C526" s="70"/>
      <c r="D526" s="69"/>
      <c r="E526" s="120"/>
      <c r="F526" s="121"/>
      <c r="G526" s="70"/>
      <c r="H526" s="69"/>
      <c r="I526" s="69"/>
      <c r="J526" s="69"/>
    </row>
    <row r="527">
      <c r="A527" s="69"/>
      <c r="B527" s="118"/>
      <c r="C527" s="70"/>
      <c r="D527" s="69"/>
      <c r="E527" s="120"/>
      <c r="F527" s="121"/>
      <c r="G527" s="70"/>
      <c r="H527" s="69"/>
      <c r="I527" s="69"/>
      <c r="J527" s="69"/>
    </row>
    <row r="528">
      <c r="A528" s="69"/>
      <c r="B528" s="118"/>
      <c r="C528" s="70"/>
      <c r="D528" s="69"/>
      <c r="E528" s="120"/>
      <c r="F528" s="121"/>
      <c r="G528" s="70"/>
      <c r="H528" s="69"/>
      <c r="I528" s="69"/>
      <c r="J528" s="69"/>
    </row>
    <row r="529">
      <c r="A529" s="69"/>
      <c r="B529" s="118"/>
      <c r="C529" s="70"/>
      <c r="D529" s="69"/>
      <c r="E529" s="120"/>
      <c r="F529" s="121"/>
      <c r="G529" s="70"/>
      <c r="H529" s="69"/>
      <c r="I529" s="69"/>
      <c r="J529" s="69"/>
    </row>
    <row r="530">
      <c r="A530" s="69"/>
      <c r="B530" s="118"/>
      <c r="C530" s="70"/>
      <c r="D530" s="69"/>
      <c r="E530" s="120"/>
      <c r="F530" s="121"/>
      <c r="G530" s="70"/>
      <c r="H530" s="69"/>
      <c r="I530" s="69"/>
      <c r="J530" s="69"/>
    </row>
    <row r="531">
      <c r="A531" s="69"/>
      <c r="B531" s="118"/>
      <c r="C531" s="70"/>
      <c r="D531" s="69"/>
      <c r="E531" s="120"/>
      <c r="F531" s="121"/>
      <c r="G531" s="70"/>
      <c r="H531" s="69"/>
      <c r="I531" s="69"/>
      <c r="J531" s="69"/>
    </row>
    <row r="532">
      <c r="A532" s="69"/>
      <c r="B532" s="118"/>
      <c r="C532" s="70"/>
      <c r="D532" s="69"/>
      <c r="E532" s="120"/>
      <c r="F532" s="121"/>
      <c r="G532" s="70"/>
      <c r="H532" s="69"/>
      <c r="I532" s="69"/>
      <c r="J532" s="69"/>
    </row>
    <row r="533">
      <c r="A533" s="69"/>
      <c r="B533" s="118"/>
      <c r="C533" s="70"/>
      <c r="D533" s="69"/>
      <c r="E533" s="120"/>
      <c r="F533" s="121"/>
      <c r="G533" s="70"/>
      <c r="H533" s="69"/>
      <c r="I533" s="69"/>
      <c r="J533" s="69"/>
    </row>
    <row r="534">
      <c r="A534" s="69"/>
      <c r="B534" s="118"/>
      <c r="C534" s="70"/>
      <c r="D534" s="69"/>
      <c r="E534" s="120"/>
      <c r="F534" s="121"/>
      <c r="G534" s="70"/>
      <c r="H534" s="69"/>
      <c r="I534" s="69"/>
      <c r="J534" s="69"/>
    </row>
    <row r="535">
      <c r="A535" s="69"/>
      <c r="B535" s="118"/>
      <c r="C535" s="70"/>
      <c r="D535" s="69"/>
      <c r="E535" s="120"/>
      <c r="F535" s="121"/>
      <c r="G535" s="70"/>
      <c r="H535" s="69"/>
      <c r="I535" s="69"/>
      <c r="J535" s="69"/>
    </row>
    <row r="536">
      <c r="A536" s="69"/>
      <c r="B536" s="118"/>
      <c r="C536" s="70"/>
      <c r="D536" s="69"/>
      <c r="E536" s="120"/>
      <c r="F536" s="121"/>
      <c r="G536" s="70"/>
      <c r="H536" s="69"/>
      <c r="I536" s="69"/>
      <c r="J536" s="69"/>
    </row>
    <row r="537">
      <c r="A537" s="69"/>
      <c r="B537" s="118"/>
      <c r="C537" s="70"/>
      <c r="D537" s="69"/>
      <c r="E537" s="120"/>
      <c r="F537" s="121"/>
      <c r="G537" s="70"/>
      <c r="H537" s="69"/>
      <c r="I537" s="69"/>
      <c r="J537" s="69"/>
    </row>
    <row r="538">
      <c r="A538" s="69"/>
      <c r="B538" s="118"/>
      <c r="C538" s="70"/>
      <c r="D538" s="69"/>
      <c r="E538" s="120"/>
      <c r="F538" s="121"/>
      <c r="G538" s="70"/>
      <c r="H538" s="69"/>
      <c r="I538" s="69"/>
      <c r="J538" s="69"/>
    </row>
    <row r="539">
      <c r="A539" s="69"/>
      <c r="B539" s="118"/>
      <c r="C539" s="70"/>
      <c r="D539" s="69"/>
      <c r="E539" s="120"/>
      <c r="F539" s="121"/>
      <c r="G539" s="70"/>
      <c r="H539" s="69"/>
      <c r="I539" s="69"/>
      <c r="J539" s="69"/>
    </row>
    <row r="540">
      <c r="A540" s="69"/>
      <c r="B540" s="118"/>
      <c r="C540" s="70"/>
      <c r="D540" s="69"/>
      <c r="E540" s="120"/>
      <c r="F540" s="121"/>
      <c r="G540" s="70"/>
      <c r="H540" s="69"/>
      <c r="I540" s="69"/>
      <c r="J540" s="69"/>
    </row>
    <row r="541">
      <c r="A541" s="69"/>
      <c r="B541" s="118"/>
      <c r="C541" s="70"/>
      <c r="D541" s="69"/>
      <c r="E541" s="120"/>
      <c r="F541" s="121"/>
      <c r="G541" s="70"/>
      <c r="H541" s="69"/>
      <c r="I541" s="69"/>
      <c r="J541" s="69"/>
    </row>
    <row r="542">
      <c r="A542" s="69"/>
      <c r="B542" s="118"/>
      <c r="C542" s="70"/>
      <c r="D542" s="69"/>
      <c r="E542" s="120"/>
      <c r="F542" s="121"/>
      <c r="G542" s="70"/>
      <c r="H542" s="69"/>
      <c r="I542" s="69"/>
      <c r="J542" s="69"/>
    </row>
    <row r="543">
      <c r="A543" s="69"/>
      <c r="B543" s="118"/>
      <c r="C543" s="70"/>
      <c r="D543" s="69"/>
      <c r="E543" s="120"/>
      <c r="F543" s="121"/>
      <c r="G543" s="70"/>
      <c r="H543" s="69"/>
      <c r="I543" s="69"/>
      <c r="J543" s="69"/>
    </row>
    <row r="544">
      <c r="A544" s="69"/>
      <c r="B544" s="118"/>
      <c r="C544" s="70"/>
      <c r="D544" s="69"/>
      <c r="E544" s="120"/>
      <c r="F544" s="121"/>
      <c r="G544" s="70"/>
      <c r="H544" s="69"/>
      <c r="I544" s="69"/>
      <c r="J544" s="69"/>
    </row>
    <row r="545">
      <c r="A545" s="69"/>
      <c r="B545" s="118"/>
      <c r="C545" s="70"/>
      <c r="D545" s="69"/>
      <c r="E545" s="120"/>
      <c r="F545" s="121"/>
      <c r="G545" s="70"/>
      <c r="H545" s="69"/>
      <c r="I545" s="69"/>
      <c r="J545" s="69"/>
    </row>
    <row r="546">
      <c r="A546" s="69"/>
      <c r="B546" s="118"/>
      <c r="C546" s="70"/>
      <c r="D546" s="69"/>
      <c r="E546" s="120"/>
      <c r="F546" s="121"/>
      <c r="G546" s="70"/>
      <c r="H546" s="69"/>
      <c r="I546" s="69"/>
      <c r="J546" s="69"/>
    </row>
    <row r="547">
      <c r="A547" s="69"/>
      <c r="B547" s="118"/>
      <c r="C547" s="70"/>
      <c r="D547" s="69"/>
      <c r="E547" s="120"/>
      <c r="F547" s="121"/>
      <c r="G547" s="70"/>
      <c r="H547" s="69"/>
      <c r="I547" s="69"/>
      <c r="J547" s="69"/>
    </row>
    <row r="548">
      <c r="A548" s="69"/>
      <c r="B548" s="118"/>
      <c r="C548" s="70"/>
      <c r="D548" s="69"/>
      <c r="E548" s="120"/>
      <c r="F548" s="121"/>
      <c r="G548" s="70"/>
      <c r="H548" s="69"/>
      <c r="I548" s="69"/>
      <c r="J548" s="69"/>
    </row>
    <row r="549">
      <c r="A549" s="69"/>
      <c r="B549" s="118"/>
      <c r="C549" s="70"/>
      <c r="D549" s="69"/>
      <c r="E549" s="120"/>
      <c r="F549" s="121"/>
      <c r="G549" s="70"/>
      <c r="H549" s="69"/>
      <c r="I549" s="69"/>
      <c r="J549" s="69"/>
    </row>
    <row r="550">
      <c r="A550" s="69"/>
      <c r="B550" s="118"/>
      <c r="C550" s="70"/>
      <c r="D550" s="69"/>
      <c r="E550" s="120"/>
      <c r="F550" s="121"/>
      <c r="G550" s="70"/>
      <c r="H550" s="69"/>
      <c r="I550" s="69"/>
      <c r="J550" s="69"/>
    </row>
    <row r="551">
      <c r="A551" s="69"/>
      <c r="B551" s="118"/>
      <c r="C551" s="70"/>
      <c r="D551" s="69"/>
      <c r="E551" s="120"/>
      <c r="F551" s="121"/>
      <c r="G551" s="70"/>
      <c r="H551" s="69"/>
      <c r="I551" s="69"/>
      <c r="J551" s="69"/>
    </row>
    <row r="552">
      <c r="A552" s="69"/>
      <c r="B552" s="118"/>
      <c r="C552" s="70"/>
      <c r="D552" s="69"/>
      <c r="E552" s="120"/>
      <c r="F552" s="121"/>
      <c r="G552" s="70"/>
      <c r="H552" s="69"/>
      <c r="I552" s="69"/>
      <c r="J552" s="69"/>
    </row>
    <row r="553">
      <c r="A553" s="69"/>
      <c r="B553" s="118"/>
      <c r="C553" s="70"/>
      <c r="D553" s="69"/>
      <c r="E553" s="120"/>
      <c r="F553" s="121"/>
      <c r="G553" s="70"/>
      <c r="H553" s="69"/>
      <c r="I553" s="69"/>
      <c r="J553" s="69"/>
    </row>
    <row r="554">
      <c r="A554" s="69"/>
      <c r="B554" s="118"/>
      <c r="C554" s="70"/>
      <c r="D554" s="69"/>
      <c r="E554" s="120"/>
      <c r="F554" s="121"/>
      <c r="G554" s="70"/>
      <c r="H554" s="69"/>
      <c r="I554" s="69"/>
      <c r="J554" s="69"/>
    </row>
    <row r="555">
      <c r="A555" s="69"/>
      <c r="B555" s="118"/>
      <c r="C555" s="70"/>
      <c r="D555" s="69"/>
      <c r="E555" s="120"/>
      <c r="F555" s="121"/>
      <c r="G555" s="70"/>
      <c r="H555" s="69"/>
      <c r="I555" s="69"/>
      <c r="J555" s="69"/>
    </row>
    <row r="556">
      <c r="A556" s="69"/>
      <c r="B556" s="118"/>
      <c r="C556" s="70"/>
      <c r="D556" s="69"/>
      <c r="E556" s="120"/>
      <c r="F556" s="121"/>
      <c r="G556" s="70"/>
      <c r="H556" s="69"/>
      <c r="I556" s="69"/>
      <c r="J556" s="69"/>
    </row>
    <row r="557">
      <c r="A557" s="69"/>
      <c r="B557" s="118"/>
      <c r="C557" s="70"/>
      <c r="D557" s="69"/>
      <c r="E557" s="120"/>
      <c r="F557" s="121"/>
      <c r="G557" s="70"/>
      <c r="H557" s="69"/>
      <c r="I557" s="69"/>
      <c r="J557" s="69"/>
    </row>
    <row r="558">
      <c r="A558" s="69"/>
      <c r="B558" s="118"/>
      <c r="C558" s="70"/>
      <c r="D558" s="69"/>
      <c r="E558" s="120"/>
      <c r="F558" s="121"/>
      <c r="G558" s="70"/>
      <c r="H558" s="69"/>
      <c r="I558" s="69"/>
      <c r="J558" s="69"/>
    </row>
    <row r="559">
      <c r="A559" s="69"/>
      <c r="B559" s="118"/>
      <c r="C559" s="70"/>
      <c r="D559" s="69"/>
      <c r="E559" s="120"/>
      <c r="F559" s="121"/>
      <c r="G559" s="70"/>
      <c r="H559" s="69"/>
      <c r="I559" s="69"/>
      <c r="J559" s="69"/>
    </row>
    <row r="560">
      <c r="A560" s="69"/>
      <c r="B560" s="118"/>
      <c r="C560" s="70"/>
      <c r="D560" s="69"/>
      <c r="E560" s="120"/>
      <c r="F560" s="121"/>
      <c r="G560" s="70"/>
      <c r="H560" s="69"/>
      <c r="I560" s="69"/>
      <c r="J560" s="69"/>
    </row>
    <row r="561">
      <c r="A561" s="69"/>
      <c r="B561" s="118"/>
      <c r="C561" s="70"/>
      <c r="D561" s="69"/>
      <c r="E561" s="120"/>
      <c r="F561" s="121"/>
      <c r="G561" s="70"/>
      <c r="H561" s="69"/>
      <c r="I561" s="69"/>
      <c r="J561" s="69"/>
    </row>
    <row r="562">
      <c r="A562" s="69"/>
      <c r="B562" s="118"/>
      <c r="C562" s="70"/>
      <c r="D562" s="69"/>
      <c r="E562" s="120"/>
      <c r="F562" s="121"/>
      <c r="G562" s="70"/>
      <c r="H562" s="69"/>
      <c r="I562" s="69"/>
      <c r="J562" s="69"/>
    </row>
    <row r="563">
      <c r="A563" s="69"/>
      <c r="B563" s="118"/>
      <c r="C563" s="70"/>
      <c r="D563" s="69"/>
      <c r="E563" s="120"/>
      <c r="F563" s="121"/>
      <c r="G563" s="70"/>
      <c r="H563" s="69"/>
      <c r="I563" s="69"/>
      <c r="J563" s="69"/>
    </row>
    <row r="564">
      <c r="A564" s="69"/>
      <c r="B564" s="118"/>
      <c r="C564" s="70"/>
      <c r="D564" s="69"/>
      <c r="E564" s="120"/>
      <c r="F564" s="121"/>
      <c r="G564" s="70"/>
      <c r="H564" s="69"/>
      <c r="I564" s="69"/>
      <c r="J564" s="69"/>
    </row>
    <row r="565">
      <c r="A565" s="69"/>
      <c r="B565" s="118"/>
      <c r="C565" s="70"/>
      <c r="D565" s="69"/>
      <c r="E565" s="120"/>
      <c r="F565" s="121"/>
      <c r="G565" s="70"/>
      <c r="H565" s="69"/>
      <c r="I565" s="69"/>
      <c r="J565" s="69"/>
    </row>
    <row r="566">
      <c r="A566" s="69"/>
      <c r="B566" s="118"/>
      <c r="C566" s="70"/>
      <c r="D566" s="69"/>
      <c r="E566" s="120"/>
      <c r="F566" s="121"/>
      <c r="G566" s="70"/>
      <c r="H566" s="69"/>
      <c r="I566" s="69"/>
      <c r="J566" s="69"/>
    </row>
    <row r="567">
      <c r="A567" s="69"/>
      <c r="B567" s="118"/>
      <c r="C567" s="70"/>
      <c r="D567" s="69"/>
      <c r="E567" s="120"/>
      <c r="F567" s="121"/>
      <c r="G567" s="70"/>
      <c r="H567" s="69"/>
      <c r="I567" s="69"/>
      <c r="J567" s="69"/>
    </row>
    <row r="568">
      <c r="A568" s="69"/>
      <c r="B568" s="118"/>
      <c r="C568" s="70"/>
      <c r="D568" s="69"/>
      <c r="E568" s="120"/>
      <c r="F568" s="121"/>
      <c r="G568" s="70"/>
      <c r="H568" s="69"/>
      <c r="I568" s="69"/>
      <c r="J568" s="69"/>
    </row>
    <row r="569">
      <c r="A569" s="69"/>
      <c r="B569" s="118"/>
      <c r="C569" s="70"/>
      <c r="D569" s="69"/>
      <c r="E569" s="120"/>
      <c r="F569" s="121"/>
      <c r="G569" s="70"/>
      <c r="H569" s="69"/>
      <c r="I569" s="69"/>
      <c r="J569" s="69"/>
    </row>
    <row r="570">
      <c r="A570" s="69"/>
      <c r="B570" s="118"/>
      <c r="C570" s="70"/>
      <c r="D570" s="69"/>
      <c r="E570" s="120"/>
      <c r="F570" s="121"/>
      <c r="G570" s="70"/>
      <c r="H570" s="69"/>
      <c r="I570" s="69"/>
      <c r="J570" s="69"/>
    </row>
    <row r="571">
      <c r="A571" s="69"/>
      <c r="B571" s="118"/>
      <c r="C571" s="70"/>
      <c r="D571" s="69"/>
      <c r="E571" s="120"/>
      <c r="F571" s="121"/>
      <c r="G571" s="70"/>
      <c r="H571" s="69"/>
      <c r="I571" s="69"/>
      <c r="J571" s="69"/>
    </row>
    <row r="572">
      <c r="A572" s="69"/>
      <c r="B572" s="118"/>
      <c r="C572" s="70"/>
      <c r="D572" s="69"/>
      <c r="E572" s="120"/>
      <c r="F572" s="121"/>
      <c r="G572" s="70"/>
      <c r="H572" s="69"/>
      <c r="I572" s="69"/>
      <c r="J572" s="69"/>
    </row>
    <row r="573">
      <c r="A573" s="69"/>
      <c r="B573" s="118"/>
      <c r="C573" s="70"/>
      <c r="D573" s="69"/>
      <c r="E573" s="120"/>
      <c r="F573" s="121"/>
      <c r="G573" s="70"/>
      <c r="H573" s="69"/>
      <c r="I573" s="69"/>
      <c r="J573" s="69"/>
    </row>
    <row r="574">
      <c r="A574" s="69"/>
      <c r="B574" s="118"/>
      <c r="C574" s="70"/>
      <c r="D574" s="69"/>
      <c r="E574" s="120"/>
      <c r="F574" s="121"/>
      <c r="G574" s="70"/>
      <c r="H574" s="69"/>
      <c r="I574" s="69"/>
      <c r="J574" s="69"/>
    </row>
    <row r="575">
      <c r="A575" s="69"/>
      <c r="B575" s="118"/>
      <c r="C575" s="70"/>
      <c r="D575" s="69"/>
      <c r="E575" s="120"/>
      <c r="F575" s="121"/>
      <c r="G575" s="70"/>
      <c r="H575" s="69"/>
      <c r="I575" s="69"/>
      <c r="J575" s="69"/>
    </row>
    <row r="576">
      <c r="A576" s="69"/>
      <c r="B576" s="118"/>
      <c r="C576" s="70"/>
      <c r="D576" s="69"/>
      <c r="E576" s="120"/>
      <c r="F576" s="121"/>
      <c r="G576" s="70"/>
      <c r="H576" s="69"/>
      <c r="I576" s="69"/>
      <c r="J576" s="69"/>
    </row>
    <row r="577">
      <c r="A577" s="69"/>
      <c r="B577" s="118"/>
      <c r="C577" s="70"/>
      <c r="D577" s="69"/>
      <c r="E577" s="120"/>
      <c r="F577" s="121"/>
      <c r="G577" s="70"/>
      <c r="H577" s="69"/>
      <c r="I577" s="69"/>
      <c r="J577" s="69"/>
    </row>
    <row r="578">
      <c r="A578" s="69"/>
      <c r="B578" s="118"/>
      <c r="C578" s="70"/>
      <c r="D578" s="69"/>
      <c r="E578" s="120"/>
      <c r="F578" s="121"/>
      <c r="G578" s="70"/>
      <c r="H578" s="69"/>
      <c r="I578" s="69"/>
      <c r="J578" s="69"/>
    </row>
    <row r="579">
      <c r="A579" s="69"/>
      <c r="B579" s="118"/>
      <c r="C579" s="70"/>
      <c r="D579" s="69"/>
      <c r="E579" s="120"/>
      <c r="F579" s="121"/>
      <c r="G579" s="70"/>
      <c r="H579" s="69"/>
      <c r="I579" s="69"/>
      <c r="J579" s="69"/>
    </row>
    <row r="580">
      <c r="A580" s="69"/>
      <c r="B580" s="118"/>
      <c r="C580" s="70"/>
      <c r="D580" s="69"/>
      <c r="E580" s="120"/>
      <c r="F580" s="121"/>
      <c r="G580" s="70"/>
      <c r="H580" s="69"/>
      <c r="I580" s="69"/>
      <c r="J580" s="69"/>
    </row>
    <row r="581">
      <c r="A581" s="69"/>
      <c r="B581" s="118"/>
      <c r="C581" s="70"/>
      <c r="D581" s="69"/>
      <c r="E581" s="120"/>
      <c r="F581" s="121"/>
      <c r="G581" s="70"/>
      <c r="H581" s="69"/>
      <c r="I581" s="69"/>
      <c r="J581" s="69"/>
    </row>
    <row r="582">
      <c r="A582" s="69"/>
      <c r="B582" s="118"/>
      <c r="C582" s="70"/>
      <c r="D582" s="69"/>
      <c r="E582" s="120"/>
      <c r="F582" s="121"/>
      <c r="G582" s="70"/>
      <c r="H582" s="69"/>
      <c r="I582" s="69"/>
      <c r="J582" s="69"/>
    </row>
    <row r="583">
      <c r="A583" s="69"/>
      <c r="B583" s="118"/>
      <c r="C583" s="70"/>
      <c r="D583" s="69"/>
      <c r="E583" s="120"/>
      <c r="F583" s="121"/>
      <c r="G583" s="70"/>
      <c r="H583" s="69"/>
      <c r="I583" s="69"/>
      <c r="J583" s="69"/>
    </row>
    <row r="584">
      <c r="A584" s="69"/>
      <c r="B584" s="118"/>
      <c r="C584" s="70"/>
      <c r="D584" s="69"/>
      <c r="E584" s="120"/>
      <c r="F584" s="121"/>
      <c r="G584" s="70"/>
      <c r="H584" s="69"/>
      <c r="I584" s="69"/>
      <c r="J584" s="69"/>
    </row>
    <row r="585">
      <c r="A585" s="69"/>
      <c r="B585" s="118"/>
      <c r="C585" s="70"/>
      <c r="D585" s="69"/>
      <c r="E585" s="120"/>
      <c r="F585" s="121"/>
      <c r="G585" s="70"/>
      <c r="H585" s="69"/>
      <c r="I585" s="69"/>
      <c r="J585" s="69"/>
    </row>
    <row r="586">
      <c r="A586" s="69"/>
      <c r="B586" s="118"/>
      <c r="C586" s="70"/>
      <c r="D586" s="69"/>
      <c r="E586" s="120"/>
      <c r="F586" s="121"/>
      <c r="G586" s="70"/>
      <c r="H586" s="69"/>
      <c r="I586" s="69"/>
      <c r="J586" s="69"/>
    </row>
    <row r="587">
      <c r="A587" s="69"/>
      <c r="B587" s="118"/>
      <c r="C587" s="70"/>
      <c r="D587" s="69"/>
      <c r="E587" s="120"/>
      <c r="F587" s="121"/>
      <c r="G587" s="70"/>
      <c r="H587" s="69"/>
      <c r="I587" s="69"/>
      <c r="J587" s="69"/>
    </row>
    <row r="588">
      <c r="A588" s="69"/>
      <c r="B588" s="118"/>
      <c r="C588" s="70"/>
      <c r="D588" s="69"/>
      <c r="E588" s="120"/>
      <c r="F588" s="121"/>
      <c r="G588" s="70"/>
      <c r="H588" s="69"/>
      <c r="I588" s="69"/>
      <c r="J588" s="69"/>
    </row>
    <row r="589">
      <c r="A589" s="69"/>
      <c r="B589" s="118"/>
      <c r="C589" s="70"/>
      <c r="D589" s="69"/>
      <c r="E589" s="120"/>
      <c r="F589" s="121"/>
      <c r="G589" s="70"/>
      <c r="H589" s="69"/>
      <c r="I589" s="69"/>
      <c r="J589" s="69"/>
    </row>
    <row r="590">
      <c r="A590" s="69"/>
      <c r="B590" s="118"/>
      <c r="C590" s="70"/>
      <c r="D590" s="69"/>
      <c r="E590" s="120"/>
      <c r="F590" s="121"/>
      <c r="G590" s="70"/>
      <c r="H590" s="69"/>
      <c r="I590" s="69"/>
      <c r="J590" s="69"/>
    </row>
    <row r="591">
      <c r="A591" s="69"/>
      <c r="B591" s="118"/>
      <c r="C591" s="70"/>
      <c r="D591" s="69"/>
      <c r="E591" s="120"/>
      <c r="F591" s="121"/>
      <c r="G591" s="70"/>
      <c r="H591" s="69"/>
      <c r="I591" s="69"/>
      <c r="J591" s="69"/>
    </row>
    <row r="592">
      <c r="A592" s="69"/>
      <c r="B592" s="118"/>
      <c r="C592" s="70"/>
      <c r="D592" s="69"/>
      <c r="E592" s="120"/>
      <c r="F592" s="121"/>
      <c r="G592" s="70"/>
      <c r="H592" s="69"/>
      <c r="I592" s="69"/>
      <c r="J592" s="69"/>
    </row>
    <row r="593">
      <c r="A593" s="69"/>
      <c r="B593" s="118"/>
      <c r="C593" s="70"/>
      <c r="D593" s="69"/>
      <c r="E593" s="120"/>
      <c r="F593" s="121"/>
      <c r="G593" s="70"/>
      <c r="H593" s="69"/>
      <c r="I593" s="69"/>
      <c r="J593" s="69"/>
    </row>
    <row r="594">
      <c r="A594" s="69"/>
      <c r="B594" s="118"/>
      <c r="C594" s="70"/>
      <c r="D594" s="69"/>
      <c r="E594" s="120"/>
      <c r="F594" s="121"/>
      <c r="G594" s="70"/>
      <c r="H594" s="69"/>
      <c r="I594" s="69"/>
      <c r="J594" s="69"/>
    </row>
    <row r="595">
      <c r="A595" s="69"/>
      <c r="B595" s="118"/>
      <c r="C595" s="70"/>
      <c r="D595" s="69"/>
      <c r="E595" s="120"/>
      <c r="F595" s="121"/>
      <c r="G595" s="70"/>
      <c r="H595" s="69"/>
      <c r="I595" s="69"/>
      <c r="J595" s="69"/>
    </row>
    <row r="596">
      <c r="A596" s="69"/>
      <c r="B596" s="118"/>
      <c r="C596" s="70"/>
      <c r="D596" s="69"/>
      <c r="E596" s="120"/>
      <c r="F596" s="121"/>
      <c r="G596" s="70"/>
      <c r="H596" s="69"/>
      <c r="I596" s="69"/>
      <c r="J596" s="69"/>
    </row>
    <row r="597">
      <c r="A597" s="69"/>
      <c r="B597" s="118"/>
      <c r="C597" s="70"/>
      <c r="D597" s="69"/>
      <c r="E597" s="120"/>
      <c r="F597" s="121"/>
      <c r="G597" s="70"/>
      <c r="H597" s="69"/>
      <c r="I597" s="69"/>
      <c r="J597" s="69"/>
    </row>
    <row r="598">
      <c r="A598" s="69"/>
      <c r="B598" s="118"/>
      <c r="C598" s="70"/>
      <c r="D598" s="69"/>
      <c r="E598" s="120"/>
      <c r="F598" s="121"/>
      <c r="G598" s="70"/>
      <c r="H598" s="69"/>
      <c r="I598" s="69"/>
      <c r="J598" s="69"/>
    </row>
    <row r="599">
      <c r="A599" s="69"/>
      <c r="B599" s="118"/>
      <c r="C599" s="70"/>
      <c r="D599" s="69"/>
      <c r="E599" s="120"/>
      <c r="F599" s="121"/>
      <c r="G599" s="70"/>
      <c r="H599" s="69"/>
      <c r="I599" s="69"/>
      <c r="J599" s="69"/>
    </row>
    <row r="600">
      <c r="A600" s="69"/>
      <c r="B600" s="118"/>
      <c r="C600" s="70"/>
      <c r="D600" s="69"/>
      <c r="E600" s="120"/>
      <c r="F600" s="121"/>
      <c r="G600" s="70"/>
      <c r="H600" s="69"/>
      <c r="I600" s="69"/>
      <c r="J600" s="69"/>
    </row>
    <row r="601">
      <c r="A601" s="69"/>
      <c r="B601" s="118"/>
      <c r="C601" s="70"/>
      <c r="D601" s="69"/>
      <c r="E601" s="120"/>
      <c r="F601" s="121"/>
      <c r="G601" s="70"/>
      <c r="H601" s="69"/>
      <c r="I601" s="69"/>
      <c r="J601" s="69"/>
    </row>
    <row r="602">
      <c r="A602" s="69"/>
      <c r="B602" s="118"/>
      <c r="C602" s="70"/>
      <c r="D602" s="69"/>
      <c r="E602" s="120"/>
      <c r="F602" s="121"/>
      <c r="G602" s="70"/>
      <c r="H602" s="69"/>
      <c r="I602" s="69"/>
      <c r="J602" s="69"/>
    </row>
    <row r="603">
      <c r="A603" s="69"/>
      <c r="B603" s="118"/>
      <c r="C603" s="70"/>
      <c r="D603" s="69"/>
      <c r="E603" s="120"/>
      <c r="F603" s="121"/>
      <c r="G603" s="70"/>
      <c r="H603" s="69"/>
      <c r="I603" s="69"/>
      <c r="J603" s="69"/>
    </row>
    <row r="604">
      <c r="A604" s="69"/>
      <c r="B604" s="118"/>
      <c r="C604" s="70"/>
      <c r="D604" s="69"/>
      <c r="E604" s="120"/>
      <c r="F604" s="121"/>
      <c r="G604" s="70"/>
      <c r="H604" s="69"/>
      <c r="I604" s="69"/>
      <c r="J604" s="69"/>
    </row>
    <row r="605">
      <c r="A605" s="69"/>
      <c r="B605" s="118"/>
      <c r="C605" s="70"/>
      <c r="D605" s="69"/>
      <c r="E605" s="120"/>
      <c r="F605" s="121"/>
      <c r="G605" s="70"/>
      <c r="H605" s="69"/>
      <c r="I605" s="69"/>
      <c r="J605" s="69"/>
    </row>
    <row r="606">
      <c r="A606" s="69"/>
      <c r="B606" s="118"/>
      <c r="C606" s="70"/>
      <c r="D606" s="69"/>
      <c r="E606" s="120"/>
      <c r="F606" s="121"/>
      <c r="G606" s="70"/>
      <c r="H606" s="69"/>
      <c r="I606" s="69"/>
      <c r="J606" s="69"/>
    </row>
    <row r="607">
      <c r="A607" s="69"/>
      <c r="B607" s="118"/>
      <c r="C607" s="70"/>
      <c r="D607" s="69"/>
      <c r="E607" s="120"/>
      <c r="F607" s="121"/>
      <c r="G607" s="70"/>
      <c r="H607" s="69"/>
      <c r="I607" s="69"/>
      <c r="J607" s="69"/>
    </row>
    <row r="608">
      <c r="A608" s="69"/>
      <c r="B608" s="118"/>
      <c r="C608" s="70"/>
      <c r="D608" s="69"/>
      <c r="E608" s="120"/>
      <c r="F608" s="121"/>
      <c r="G608" s="70"/>
      <c r="H608" s="69"/>
      <c r="I608" s="69"/>
      <c r="J608" s="69"/>
    </row>
    <row r="609">
      <c r="A609" s="69"/>
      <c r="B609" s="118"/>
      <c r="C609" s="70"/>
      <c r="D609" s="69"/>
      <c r="E609" s="120"/>
      <c r="F609" s="121"/>
      <c r="G609" s="70"/>
      <c r="H609" s="69"/>
      <c r="I609" s="69"/>
      <c r="J609" s="69"/>
    </row>
    <row r="610">
      <c r="A610" s="69"/>
      <c r="B610" s="118"/>
      <c r="C610" s="70"/>
      <c r="D610" s="69"/>
      <c r="E610" s="120"/>
      <c r="F610" s="121"/>
      <c r="G610" s="70"/>
      <c r="H610" s="69"/>
      <c r="I610" s="69"/>
      <c r="J610" s="69"/>
    </row>
    <row r="611">
      <c r="A611" s="69"/>
      <c r="B611" s="118"/>
      <c r="C611" s="70"/>
      <c r="D611" s="69"/>
      <c r="E611" s="120"/>
      <c r="F611" s="121"/>
      <c r="G611" s="70"/>
      <c r="H611" s="69"/>
      <c r="I611" s="69"/>
      <c r="J611" s="69"/>
    </row>
    <row r="612">
      <c r="A612" s="69"/>
      <c r="B612" s="118"/>
      <c r="C612" s="70"/>
      <c r="D612" s="69"/>
      <c r="E612" s="120"/>
      <c r="F612" s="121"/>
      <c r="G612" s="70"/>
      <c r="H612" s="69"/>
      <c r="I612" s="69"/>
      <c r="J612" s="69"/>
    </row>
    <row r="613">
      <c r="A613" s="69"/>
      <c r="B613" s="118"/>
      <c r="C613" s="70"/>
      <c r="D613" s="69"/>
      <c r="E613" s="120"/>
      <c r="F613" s="121"/>
      <c r="G613" s="70"/>
      <c r="H613" s="69"/>
      <c r="I613" s="69"/>
      <c r="J613" s="69"/>
    </row>
    <row r="614">
      <c r="A614" s="69"/>
      <c r="B614" s="118"/>
      <c r="C614" s="70"/>
      <c r="D614" s="69"/>
      <c r="E614" s="120"/>
      <c r="F614" s="121"/>
      <c r="G614" s="70"/>
      <c r="H614" s="69"/>
      <c r="I614" s="69"/>
      <c r="J614" s="69"/>
    </row>
    <row r="615">
      <c r="A615" s="69"/>
      <c r="B615" s="118"/>
      <c r="C615" s="70"/>
      <c r="D615" s="69"/>
      <c r="E615" s="120"/>
      <c r="F615" s="121"/>
      <c r="G615" s="70"/>
      <c r="H615" s="69"/>
      <c r="I615" s="69"/>
      <c r="J615" s="69"/>
    </row>
    <row r="616">
      <c r="A616" s="69"/>
      <c r="B616" s="118"/>
      <c r="C616" s="70"/>
      <c r="D616" s="69"/>
      <c r="E616" s="120"/>
      <c r="F616" s="121"/>
      <c r="G616" s="70"/>
      <c r="H616" s="69"/>
      <c r="I616" s="69"/>
      <c r="J616" s="69"/>
    </row>
    <row r="617">
      <c r="A617" s="69"/>
      <c r="B617" s="118"/>
      <c r="C617" s="70"/>
      <c r="D617" s="69"/>
      <c r="E617" s="120"/>
      <c r="F617" s="121"/>
      <c r="G617" s="70"/>
      <c r="H617" s="69"/>
      <c r="I617" s="69"/>
      <c r="J617" s="69"/>
    </row>
    <row r="618">
      <c r="A618" s="69"/>
      <c r="B618" s="118"/>
      <c r="C618" s="70"/>
      <c r="D618" s="69"/>
      <c r="E618" s="120"/>
      <c r="F618" s="121"/>
      <c r="G618" s="70"/>
      <c r="H618" s="69"/>
      <c r="I618" s="69"/>
      <c r="J618" s="69"/>
    </row>
    <row r="619">
      <c r="A619" s="69"/>
      <c r="B619" s="118"/>
      <c r="C619" s="70"/>
      <c r="D619" s="69"/>
      <c r="E619" s="120"/>
      <c r="F619" s="121"/>
      <c r="G619" s="70"/>
      <c r="H619" s="69"/>
      <c r="I619" s="69"/>
      <c r="J619" s="69"/>
    </row>
    <row r="620">
      <c r="A620" s="69"/>
      <c r="B620" s="118"/>
      <c r="C620" s="70"/>
      <c r="D620" s="69"/>
      <c r="E620" s="120"/>
      <c r="F620" s="121"/>
      <c r="G620" s="70"/>
      <c r="H620" s="69"/>
      <c r="I620" s="69"/>
      <c r="J620" s="69"/>
    </row>
    <row r="621">
      <c r="A621" s="69"/>
      <c r="B621" s="118"/>
      <c r="C621" s="70"/>
      <c r="D621" s="69"/>
      <c r="E621" s="120"/>
      <c r="F621" s="121"/>
      <c r="G621" s="70"/>
      <c r="H621" s="69"/>
      <c r="I621" s="69"/>
      <c r="J621" s="69"/>
    </row>
    <row r="622">
      <c r="A622" s="69"/>
      <c r="B622" s="118"/>
      <c r="C622" s="70"/>
      <c r="D622" s="69"/>
      <c r="E622" s="120"/>
      <c r="F622" s="121"/>
      <c r="G622" s="70"/>
      <c r="H622" s="69"/>
      <c r="I622" s="69"/>
      <c r="J622" s="69"/>
    </row>
    <row r="623">
      <c r="A623" s="69"/>
      <c r="B623" s="118"/>
      <c r="C623" s="70"/>
      <c r="D623" s="69"/>
      <c r="E623" s="120"/>
      <c r="F623" s="121"/>
      <c r="G623" s="70"/>
      <c r="H623" s="69"/>
      <c r="I623" s="69"/>
      <c r="J623" s="69"/>
    </row>
    <row r="624">
      <c r="A624" s="69"/>
      <c r="B624" s="118"/>
      <c r="C624" s="70"/>
      <c r="D624" s="69"/>
      <c r="E624" s="120"/>
      <c r="F624" s="121"/>
      <c r="G624" s="70"/>
      <c r="H624" s="69"/>
      <c r="I624" s="69"/>
      <c r="J624" s="69"/>
    </row>
    <row r="625">
      <c r="A625" s="69"/>
      <c r="B625" s="118"/>
      <c r="C625" s="70"/>
      <c r="D625" s="69"/>
      <c r="E625" s="120"/>
      <c r="F625" s="121"/>
      <c r="G625" s="70"/>
      <c r="H625" s="69"/>
      <c r="I625" s="69"/>
      <c r="J625" s="69"/>
    </row>
    <row r="626">
      <c r="A626" s="69"/>
      <c r="B626" s="118"/>
      <c r="C626" s="70"/>
      <c r="D626" s="69"/>
      <c r="E626" s="120"/>
      <c r="F626" s="121"/>
      <c r="G626" s="70"/>
      <c r="H626" s="69"/>
      <c r="I626" s="69"/>
      <c r="J626" s="69"/>
    </row>
    <row r="627">
      <c r="A627" s="69"/>
      <c r="B627" s="118"/>
      <c r="C627" s="70"/>
      <c r="D627" s="69"/>
      <c r="E627" s="120"/>
      <c r="F627" s="121"/>
      <c r="G627" s="70"/>
      <c r="H627" s="69"/>
      <c r="I627" s="69"/>
      <c r="J627" s="69"/>
    </row>
    <row r="628">
      <c r="A628" s="69"/>
      <c r="B628" s="118"/>
      <c r="C628" s="70"/>
      <c r="D628" s="69"/>
      <c r="E628" s="120"/>
      <c r="F628" s="121"/>
      <c r="G628" s="70"/>
      <c r="H628" s="69"/>
      <c r="I628" s="69"/>
      <c r="J628" s="69"/>
    </row>
    <row r="629">
      <c r="A629" s="69"/>
      <c r="B629" s="118"/>
      <c r="C629" s="70"/>
      <c r="D629" s="69"/>
      <c r="E629" s="120"/>
      <c r="F629" s="121"/>
      <c r="G629" s="70"/>
      <c r="H629" s="69"/>
      <c r="I629" s="69"/>
      <c r="J629" s="69"/>
    </row>
    <row r="630">
      <c r="A630" s="69"/>
      <c r="B630" s="118"/>
      <c r="C630" s="70"/>
      <c r="D630" s="69"/>
      <c r="E630" s="120"/>
      <c r="F630" s="121"/>
      <c r="G630" s="70"/>
      <c r="H630" s="69"/>
      <c r="I630" s="69"/>
      <c r="J630" s="69"/>
    </row>
    <row r="631">
      <c r="A631" s="69"/>
      <c r="B631" s="118"/>
      <c r="C631" s="70"/>
      <c r="D631" s="69"/>
      <c r="E631" s="120"/>
      <c r="F631" s="121"/>
      <c r="G631" s="70"/>
      <c r="H631" s="69"/>
      <c r="I631" s="69"/>
      <c r="J631" s="69"/>
    </row>
    <row r="632">
      <c r="A632" s="69"/>
      <c r="B632" s="118"/>
      <c r="C632" s="70"/>
      <c r="D632" s="69"/>
      <c r="E632" s="120"/>
      <c r="F632" s="121"/>
      <c r="G632" s="70"/>
      <c r="H632" s="69"/>
      <c r="I632" s="69"/>
      <c r="J632" s="69"/>
    </row>
    <row r="633">
      <c r="A633" s="69"/>
      <c r="B633" s="118"/>
      <c r="C633" s="70"/>
      <c r="D633" s="69"/>
      <c r="E633" s="120"/>
      <c r="F633" s="121"/>
      <c r="G633" s="70"/>
      <c r="H633" s="69"/>
      <c r="I633" s="69"/>
      <c r="J633" s="69"/>
    </row>
    <row r="634">
      <c r="A634" s="69"/>
      <c r="B634" s="118"/>
      <c r="C634" s="70"/>
      <c r="D634" s="69"/>
      <c r="E634" s="120"/>
      <c r="F634" s="121"/>
      <c r="G634" s="70"/>
      <c r="H634" s="69"/>
      <c r="I634" s="69"/>
      <c r="J634" s="69"/>
    </row>
    <row r="635">
      <c r="A635" s="69"/>
      <c r="B635" s="118"/>
      <c r="C635" s="70"/>
      <c r="D635" s="69"/>
      <c r="E635" s="120"/>
      <c r="F635" s="121"/>
      <c r="G635" s="70"/>
      <c r="H635" s="69"/>
      <c r="I635" s="69"/>
      <c r="J635" s="69"/>
    </row>
    <row r="636">
      <c r="A636" s="69"/>
      <c r="B636" s="118"/>
      <c r="C636" s="70"/>
      <c r="D636" s="69"/>
      <c r="E636" s="120"/>
      <c r="F636" s="121"/>
      <c r="G636" s="70"/>
      <c r="H636" s="69"/>
      <c r="I636" s="69"/>
      <c r="J636" s="69"/>
    </row>
    <row r="637">
      <c r="A637" s="69"/>
      <c r="B637" s="118"/>
      <c r="C637" s="70"/>
      <c r="D637" s="69"/>
      <c r="E637" s="120"/>
      <c r="F637" s="121"/>
      <c r="G637" s="70"/>
      <c r="H637" s="69"/>
      <c r="I637" s="69"/>
      <c r="J637" s="69"/>
    </row>
    <row r="638">
      <c r="A638" s="69"/>
      <c r="B638" s="118"/>
      <c r="C638" s="70"/>
      <c r="D638" s="69"/>
      <c r="E638" s="120"/>
      <c r="F638" s="121"/>
      <c r="G638" s="70"/>
      <c r="H638" s="69"/>
      <c r="I638" s="69"/>
      <c r="J638" s="69"/>
    </row>
    <row r="639">
      <c r="A639" s="69"/>
      <c r="B639" s="118"/>
      <c r="C639" s="70"/>
      <c r="D639" s="69"/>
      <c r="E639" s="120"/>
      <c r="F639" s="121"/>
      <c r="G639" s="70"/>
      <c r="H639" s="69"/>
      <c r="I639" s="69"/>
      <c r="J639" s="69"/>
    </row>
    <row r="640">
      <c r="A640" s="69"/>
      <c r="B640" s="118"/>
      <c r="C640" s="70"/>
      <c r="D640" s="69"/>
      <c r="E640" s="120"/>
      <c r="F640" s="121"/>
      <c r="G640" s="70"/>
      <c r="H640" s="69"/>
      <c r="I640" s="69"/>
      <c r="J640" s="69"/>
    </row>
    <row r="641">
      <c r="A641" s="69"/>
      <c r="B641" s="118"/>
      <c r="C641" s="70"/>
      <c r="D641" s="69"/>
      <c r="E641" s="120"/>
      <c r="F641" s="121"/>
      <c r="G641" s="70"/>
      <c r="H641" s="69"/>
      <c r="I641" s="69"/>
      <c r="J641" s="69"/>
    </row>
    <row r="642">
      <c r="A642" s="69"/>
      <c r="B642" s="118"/>
      <c r="C642" s="70"/>
      <c r="D642" s="69"/>
      <c r="E642" s="120"/>
      <c r="F642" s="121"/>
      <c r="G642" s="70"/>
      <c r="H642" s="69"/>
      <c r="I642" s="69"/>
      <c r="J642" s="69"/>
    </row>
    <row r="643">
      <c r="A643" s="69"/>
      <c r="B643" s="118"/>
      <c r="C643" s="70"/>
      <c r="D643" s="69"/>
      <c r="E643" s="120"/>
      <c r="F643" s="121"/>
      <c r="G643" s="70"/>
      <c r="H643" s="69"/>
      <c r="I643" s="69"/>
      <c r="J643" s="69"/>
    </row>
    <row r="644">
      <c r="A644" s="69"/>
      <c r="B644" s="118"/>
      <c r="C644" s="70"/>
      <c r="D644" s="69"/>
      <c r="E644" s="120"/>
      <c r="F644" s="121"/>
      <c r="G644" s="70"/>
      <c r="H644" s="69"/>
      <c r="I644" s="69"/>
      <c r="J644" s="69"/>
    </row>
    <row r="645">
      <c r="A645" s="69"/>
      <c r="B645" s="118"/>
      <c r="C645" s="70"/>
      <c r="D645" s="69"/>
      <c r="E645" s="120"/>
      <c r="F645" s="121"/>
      <c r="G645" s="70"/>
      <c r="H645" s="69"/>
      <c r="I645" s="69"/>
      <c r="J645" s="69"/>
    </row>
    <row r="646">
      <c r="A646" s="69"/>
      <c r="B646" s="118"/>
      <c r="C646" s="70"/>
      <c r="D646" s="69"/>
      <c r="E646" s="120"/>
      <c r="F646" s="121"/>
      <c r="G646" s="70"/>
      <c r="H646" s="69"/>
      <c r="I646" s="69"/>
      <c r="J646" s="69"/>
    </row>
    <row r="647">
      <c r="A647" s="69"/>
      <c r="B647" s="118"/>
      <c r="C647" s="70"/>
      <c r="D647" s="69"/>
      <c r="E647" s="120"/>
      <c r="F647" s="121"/>
      <c r="G647" s="70"/>
      <c r="H647" s="69"/>
      <c r="I647" s="69"/>
      <c r="J647" s="69"/>
    </row>
    <row r="648">
      <c r="A648" s="69"/>
      <c r="B648" s="118"/>
      <c r="C648" s="70"/>
      <c r="D648" s="69"/>
      <c r="E648" s="120"/>
      <c r="F648" s="121"/>
      <c r="G648" s="70"/>
      <c r="H648" s="69"/>
      <c r="I648" s="69"/>
      <c r="J648" s="69"/>
    </row>
    <row r="649">
      <c r="A649" s="69"/>
      <c r="B649" s="118"/>
      <c r="C649" s="70"/>
      <c r="D649" s="69"/>
      <c r="E649" s="120"/>
      <c r="F649" s="121"/>
      <c r="G649" s="70"/>
      <c r="H649" s="69"/>
      <c r="I649" s="69"/>
      <c r="J649" s="69"/>
    </row>
    <row r="650">
      <c r="A650" s="69"/>
      <c r="B650" s="118"/>
      <c r="C650" s="70"/>
      <c r="D650" s="69"/>
      <c r="E650" s="120"/>
      <c r="F650" s="121"/>
      <c r="G650" s="70"/>
      <c r="H650" s="69"/>
      <c r="I650" s="69"/>
      <c r="J650" s="69"/>
    </row>
    <row r="651">
      <c r="A651" s="69"/>
      <c r="B651" s="118"/>
      <c r="C651" s="70"/>
      <c r="D651" s="69"/>
      <c r="E651" s="120"/>
      <c r="F651" s="121"/>
      <c r="G651" s="70"/>
      <c r="H651" s="69"/>
      <c r="I651" s="69"/>
      <c r="J651" s="69"/>
    </row>
    <row r="652">
      <c r="A652" s="69"/>
      <c r="B652" s="118"/>
      <c r="C652" s="70"/>
      <c r="D652" s="69"/>
      <c r="E652" s="120"/>
      <c r="F652" s="121"/>
      <c r="G652" s="70"/>
      <c r="H652" s="69"/>
      <c r="I652" s="69"/>
      <c r="J652" s="69"/>
    </row>
    <row r="653">
      <c r="A653" s="69"/>
      <c r="B653" s="118"/>
      <c r="C653" s="70"/>
      <c r="D653" s="69"/>
      <c r="E653" s="120"/>
      <c r="F653" s="121"/>
      <c r="G653" s="70"/>
      <c r="H653" s="69"/>
      <c r="I653" s="69"/>
      <c r="J653" s="69"/>
    </row>
    <row r="654">
      <c r="A654" s="69"/>
      <c r="B654" s="118"/>
      <c r="C654" s="70"/>
      <c r="D654" s="69"/>
      <c r="E654" s="120"/>
      <c r="F654" s="121"/>
      <c r="G654" s="70"/>
      <c r="H654" s="69"/>
      <c r="I654" s="69"/>
      <c r="J654" s="69"/>
    </row>
    <row r="655">
      <c r="A655" s="69"/>
      <c r="B655" s="118"/>
      <c r="C655" s="70"/>
      <c r="D655" s="69"/>
      <c r="E655" s="120"/>
      <c r="F655" s="121"/>
      <c r="G655" s="70"/>
      <c r="H655" s="69"/>
      <c r="I655" s="69"/>
      <c r="J655" s="69"/>
    </row>
    <row r="656">
      <c r="A656" s="69"/>
      <c r="B656" s="118"/>
      <c r="C656" s="70"/>
      <c r="D656" s="69"/>
      <c r="E656" s="120"/>
      <c r="F656" s="121"/>
      <c r="G656" s="70"/>
      <c r="H656" s="69"/>
      <c r="I656" s="69"/>
      <c r="J656" s="69"/>
    </row>
    <row r="657">
      <c r="A657" s="69"/>
      <c r="B657" s="118"/>
      <c r="C657" s="70"/>
      <c r="D657" s="69"/>
      <c r="E657" s="120"/>
      <c r="F657" s="121"/>
      <c r="G657" s="70"/>
      <c r="H657" s="69"/>
      <c r="I657" s="69"/>
      <c r="J657" s="69"/>
    </row>
    <row r="658">
      <c r="A658" s="69"/>
      <c r="B658" s="118"/>
      <c r="C658" s="70"/>
      <c r="D658" s="69"/>
      <c r="E658" s="120"/>
      <c r="F658" s="121"/>
      <c r="G658" s="70"/>
      <c r="H658" s="69"/>
      <c r="I658" s="69"/>
      <c r="J658" s="69"/>
    </row>
    <row r="659">
      <c r="A659" s="69"/>
      <c r="B659" s="118"/>
      <c r="C659" s="70"/>
      <c r="D659" s="69"/>
      <c r="E659" s="120"/>
      <c r="F659" s="121"/>
      <c r="G659" s="70"/>
      <c r="H659" s="69"/>
      <c r="I659" s="69"/>
      <c r="J659" s="69"/>
    </row>
    <row r="660">
      <c r="A660" s="69"/>
      <c r="B660" s="118"/>
      <c r="C660" s="70"/>
      <c r="D660" s="69"/>
      <c r="E660" s="120"/>
      <c r="F660" s="121"/>
      <c r="G660" s="70"/>
      <c r="H660" s="69"/>
      <c r="I660" s="69"/>
      <c r="J660" s="69"/>
    </row>
    <row r="661">
      <c r="A661" s="69"/>
      <c r="B661" s="118"/>
      <c r="C661" s="70"/>
      <c r="D661" s="69"/>
      <c r="E661" s="120"/>
      <c r="F661" s="121"/>
      <c r="G661" s="70"/>
      <c r="H661" s="69"/>
      <c r="I661" s="69"/>
      <c r="J661" s="69"/>
    </row>
    <row r="662">
      <c r="A662" s="69"/>
      <c r="B662" s="118"/>
      <c r="C662" s="70"/>
      <c r="D662" s="69"/>
      <c r="E662" s="120"/>
      <c r="F662" s="121"/>
      <c r="G662" s="70"/>
      <c r="H662" s="69"/>
      <c r="I662" s="69"/>
      <c r="J662" s="69"/>
    </row>
    <row r="663">
      <c r="A663" s="69"/>
      <c r="B663" s="118"/>
      <c r="C663" s="70"/>
      <c r="D663" s="69"/>
      <c r="E663" s="120"/>
      <c r="F663" s="121"/>
      <c r="G663" s="70"/>
      <c r="H663" s="69"/>
      <c r="I663" s="69"/>
      <c r="J663" s="69"/>
    </row>
    <row r="664">
      <c r="A664" s="69"/>
      <c r="B664" s="118"/>
      <c r="C664" s="70"/>
      <c r="D664" s="69"/>
      <c r="E664" s="120"/>
      <c r="F664" s="121"/>
      <c r="G664" s="70"/>
      <c r="H664" s="69"/>
      <c r="I664" s="69"/>
      <c r="J664" s="69"/>
    </row>
    <row r="665">
      <c r="A665" s="69"/>
      <c r="B665" s="118"/>
      <c r="C665" s="70"/>
      <c r="D665" s="69"/>
      <c r="E665" s="120"/>
      <c r="F665" s="121"/>
      <c r="G665" s="70"/>
      <c r="H665" s="69"/>
      <c r="I665" s="69"/>
      <c r="J665" s="69"/>
    </row>
    <row r="666">
      <c r="A666" s="69"/>
      <c r="B666" s="118"/>
      <c r="C666" s="70"/>
      <c r="D666" s="69"/>
      <c r="E666" s="120"/>
      <c r="F666" s="121"/>
      <c r="G666" s="70"/>
      <c r="H666" s="69"/>
      <c r="I666" s="69"/>
      <c r="J666" s="69"/>
    </row>
    <row r="667">
      <c r="A667" s="69"/>
      <c r="B667" s="118"/>
      <c r="C667" s="70"/>
      <c r="D667" s="69"/>
      <c r="E667" s="120"/>
      <c r="F667" s="121"/>
      <c r="G667" s="70"/>
      <c r="H667" s="69"/>
      <c r="I667" s="69"/>
      <c r="J667" s="69"/>
    </row>
    <row r="668">
      <c r="A668" s="69"/>
      <c r="B668" s="118"/>
      <c r="C668" s="70"/>
      <c r="D668" s="69"/>
      <c r="E668" s="120"/>
      <c r="F668" s="121"/>
      <c r="G668" s="70"/>
      <c r="H668" s="69"/>
      <c r="I668" s="69"/>
      <c r="J668" s="69"/>
    </row>
    <row r="669">
      <c r="A669" s="69"/>
      <c r="B669" s="118"/>
      <c r="C669" s="70"/>
      <c r="D669" s="69"/>
      <c r="E669" s="120"/>
      <c r="F669" s="121"/>
      <c r="G669" s="70"/>
      <c r="H669" s="69"/>
      <c r="I669" s="69"/>
      <c r="J669" s="69"/>
    </row>
    <row r="670">
      <c r="A670" s="69"/>
      <c r="B670" s="118"/>
      <c r="C670" s="70"/>
      <c r="D670" s="69"/>
      <c r="E670" s="120"/>
      <c r="F670" s="121"/>
      <c r="G670" s="70"/>
      <c r="H670" s="69"/>
      <c r="I670" s="69"/>
      <c r="J670" s="69"/>
    </row>
    <row r="671">
      <c r="A671" s="69"/>
      <c r="B671" s="118"/>
      <c r="C671" s="70"/>
      <c r="D671" s="69"/>
      <c r="E671" s="120"/>
      <c r="F671" s="121"/>
      <c r="G671" s="70"/>
      <c r="H671" s="69"/>
      <c r="I671" s="69"/>
      <c r="J671" s="69"/>
    </row>
    <row r="672">
      <c r="A672" s="69"/>
      <c r="B672" s="118"/>
      <c r="C672" s="70"/>
      <c r="D672" s="69"/>
      <c r="E672" s="120"/>
      <c r="F672" s="121"/>
      <c r="G672" s="70"/>
      <c r="H672" s="69"/>
      <c r="I672" s="69"/>
      <c r="J672" s="69"/>
    </row>
    <row r="673">
      <c r="A673" s="69"/>
      <c r="B673" s="118"/>
      <c r="C673" s="70"/>
      <c r="D673" s="69"/>
      <c r="E673" s="120"/>
      <c r="F673" s="121"/>
      <c r="G673" s="70"/>
      <c r="H673" s="69"/>
      <c r="I673" s="69"/>
      <c r="J673" s="69"/>
    </row>
    <row r="674">
      <c r="A674" s="69"/>
      <c r="B674" s="118"/>
      <c r="C674" s="70"/>
      <c r="D674" s="69"/>
      <c r="E674" s="120"/>
      <c r="F674" s="121"/>
      <c r="G674" s="70"/>
      <c r="H674" s="69"/>
      <c r="I674" s="69"/>
      <c r="J674" s="69"/>
    </row>
    <row r="675">
      <c r="A675" s="69"/>
      <c r="B675" s="118"/>
      <c r="C675" s="70"/>
      <c r="D675" s="69"/>
      <c r="E675" s="120"/>
      <c r="F675" s="121"/>
      <c r="G675" s="70"/>
      <c r="H675" s="69"/>
      <c r="I675" s="69"/>
      <c r="J675" s="69"/>
    </row>
    <row r="676">
      <c r="A676" s="69"/>
      <c r="B676" s="118"/>
      <c r="C676" s="70"/>
      <c r="D676" s="69"/>
      <c r="E676" s="120"/>
      <c r="F676" s="121"/>
      <c r="G676" s="70"/>
      <c r="H676" s="69"/>
      <c r="I676" s="69"/>
      <c r="J676" s="69"/>
    </row>
    <row r="677">
      <c r="A677" s="69"/>
      <c r="B677" s="118"/>
      <c r="C677" s="70"/>
      <c r="D677" s="69"/>
      <c r="E677" s="120"/>
      <c r="F677" s="121"/>
      <c r="G677" s="70"/>
      <c r="H677" s="69"/>
      <c r="I677" s="69"/>
      <c r="J677" s="69"/>
    </row>
    <row r="678">
      <c r="A678" s="69"/>
      <c r="B678" s="118"/>
      <c r="C678" s="70"/>
      <c r="D678" s="69"/>
      <c r="E678" s="120"/>
      <c r="F678" s="121"/>
      <c r="G678" s="70"/>
      <c r="H678" s="69"/>
      <c r="I678" s="69"/>
      <c r="J678" s="69"/>
    </row>
    <row r="679">
      <c r="A679" s="69"/>
      <c r="B679" s="118"/>
      <c r="C679" s="70"/>
      <c r="D679" s="69"/>
      <c r="E679" s="120"/>
      <c r="F679" s="121"/>
      <c r="G679" s="70"/>
      <c r="H679" s="69"/>
      <c r="I679" s="69"/>
      <c r="J679" s="69"/>
    </row>
    <row r="680">
      <c r="A680" s="69"/>
      <c r="B680" s="118"/>
      <c r="C680" s="70"/>
      <c r="D680" s="69"/>
      <c r="E680" s="120"/>
      <c r="F680" s="121"/>
      <c r="G680" s="70"/>
      <c r="H680" s="69"/>
      <c r="I680" s="69"/>
      <c r="J680" s="69"/>
    </row>
    <row r="681">
      <c r="A681" s="69"/>
      <c r="B681" s="118"/>
      <c r="C681" s="70"/>
      <c r="D681" s="69"/>
      <c r="E681" s="120"/>
      <c r="F681" s="121"/>
      <c r="G681" s="70"/>
      <c r="H681" s="69"/>
      <c r="I681" s="69"/>
      <c r="J681" s="69"/>
    </row>
    <row r="682">
      <c r="A682" s="69"/>
      <c r="B682" s="118"/>
      <c r="C682" s="70"/>
      <c r="D682" s="69"/>
      <c r="E682" s="120"/>
      <c r="F682" s="121"/>
      <c r="G682" s="70"/>
      <c r="H682" s="69"/>
      <c r="I682" s="69"/>
      <c r="J682" s="69"/>
    </row>
    <row r="683">
      <c r="A683" s="69"/>
      <c r="B683" s="118"/>
      <c r="C683" s="70"/>
      <c r="D683" s="69"/>
      <c r="E683" s="120"/>
      <c r="F683" s="121"/>
      <c r="G683" s="70"/>
      <c r="H683" s="69"/>
      <c r="I683" s="69"/>
      <c r="J683" s="69"/>
    </row>
    <row r="684">
      <c r="A684" s="69"/>
      <c r="B684" s="118"/>
      <c r="C684" s="70"/>
      <c r="D684" s="69"/>
      <c r="E684" s="120"/>
      <c r="F684" s="121"/>
      <c r="G684" s="70"/>
      <c r="H684" s="69"/>
      <c r="I684" s="69"/>
      <c r="J684" s="69"/>
    </row>
    <row r="685">
      <c r="A685" s="69"/>
      <c r="B685" s="118"/>
      <c r="C685" s="70"/>
      <c r="D685" s="69"/>
      <c r="E685" s="120"/>
      <c r="F685" s="121"/>
      <c r="G685" s="70"/>
      <c r="H685" s="69"/>
      <c r="I685" s="69"/>
      <c r="J685" s="69"/>
    </row>
    <row r="686">
      <c r="A686" s="69"/>
      <c r="B686" s="118"/>
      <c r="C686" s="70"/>
      <c r="D686" s="69"/>
      <c r="E686" s="120"/>
      <c r="F686" s="121"/>
      <c r="G686" s="70"/>
      <c r="H686" s="69"/>
      <c r="I686" s="69"/>
      <c r="J686" s="69"/>
    </row>
    <row r="687">
      <c r="A687" s="69"/>
      <c r="B687" s="118"/>
      <c r="C687" s="70"/>
      <c r="D687" s="69"/>
      <c r="E687" s="120"/>
      <c r="F687" s="121"/>
      <c r="G687" s="70"/>
      <c r="H687" s="69"/>
      <c r="I687" s="69"/>
      <c r="J687" s="69"/>
    </row>
    <row r="688">
      <c r="A688" s="69"/>
      <c r="B688" s="118"/>
      <c r="C688" s="70"/>
      <c r="D688" s="69"/>
      <c r="E688" s="120"/>
      <c r="F688" s="121"/>
      <c r="G688" s="70"/>
      <c r="H688" s="69"/>
      <c r="I688" s="69"/>
      <c r="J688" s="69"/>
    </row>
    <row r="689">
      <c r="A689" s="69"/>
      <c r="B689" s="118"/>
      <c r="C689" s="70"/>
      <c r="D689" s="69"/>
      <c r="E689" s="120"/>
      <c r="F689" s="121"/>
      <c r="G689" s="70"/>
      <c r="H689" s="69"/>
      <c r="I689" s="69"/>
      <c r="J689" s="69"/>
    </row>
    <row r="690">
      <c r="A690" s="69"/>
      <c r="B690" s="118"/>
      <c r="C690" s="70"/>
      <c r="D690" s="69"/>
      <c r="E690" s="120"/>
      <c r="F690" s="121"/>
      <c r="G690" s="70"/>
      <c r="H690" s="69"/>
      <c r="I690" s="69"/>
      <c r="J690" s="69"/>
    </row>
    <row r="691">
      <c r="A691" s="69"/>
      <c r="B691" s="118"/>
      <c r="C691" s="70"/>
      <c r="D691" s="69"/>
      <c r="E691" s="120"/>
      <c r="F691" s="121"/>
      <c r="G691" s="70"/>
      <c r="H691" s="69"/>
      <c r="I691" s="69"/>
      <c r="J691" s="69"/>
    </row>
    <row r="692">
      <c r="A692" s="69"/>
      <c r="B692" s="118"/>
      <c r="C692" s="70"/>
      <c r="D692" s="69"/>
      <c r="E692" s="120"/>
      <c r="F692" s="121"/>
      <c r="G692" s="70"/>
      <c r="H692" s="69"/>
      <c r="I692" s="69"/>
      <c r="J692" s="69"/>
    </row>
    <row r="693">
      <c r="A693" s="69"/>
      <c r="B693" s="118"/>
      <c r="C693" s="70"/>
      <c r="D693" s="69"/>
      <c r="E693" s="120"/>
      <c r="F693" s="121"/>
      <c r="G693" s="70"/>
      <c r="H693" s="69"/>
      <c r="I693" s="69"/>
      <c r="J693" s="69"/>
    </row>
    <row r="694">
      <c r="A694" s="69"/>
      <c r="B694" s="118"/>
      <c r="C694" s="70"/>
      <c r="D694" s="69"/>
      <c r="E694" s="120"/>
      <c r="F694" s="121"/>
      <c r="G694" s="70"/>
      <c r="H694" s="69"/>
      <c r="I694" s="69"/>
      <c r="J694" s="69"/>
    </row>
    <row r="695">
      <c r="A695" s="69"/>
      <c r="B695" s="118"/>
      <c r="C695" s="70"/>
      <c r="D695" s="69"/>
      <c r="E695" s="120"/>
      <c r="F695" s="121"/>
      <c r="G695" s="70"/>
      <c r="H695" s="69"/>
      <c r="I695" s="69"/>
      <c r="J695" s="69"/>
    </row>
    <row r="696">
      <c r="A696" s="69"/>
      <c r="B696" s="118"/>
      <c r="C696" s="70"/>
      <c r="D696" s="69"/>
      <c r="E696" s="120"/>
      <c r="F696" s="121"/>
      <c r="G696" s="70"/>
      <c r="H696" s="69"/>
      <c r="I696" s="69"/>
      <c r="J696" s="69"/>
    </row>
    <row r="697">
      <c r="A697" s="69"/>
      <c r="B697" s="118"/>
      <c r="C697" s="70"/>
      <c r="D697" s="69"/>
      <c r="E697" s="120"/>
      <c r="F697" s="121"/>
      <c r="G697" s="70"/>
      <c r="H697" s="69"/>
      <c r="I697" s="69"/>
      <c r="J697" s="69"/>
    </row>
    <row r="698">
      <c r="A698" s="69"/>
      <c r="B698" s="118"/>
      <c r="C698" s="70"/>
      <c r="D698" s="69"/>
      <c r="E698" s="120"/>
      <c r="F698" s="121"/>
      <c r="G698" s="70"/>
      <c r="H698" s="69"/>
      <c r="I698" s="69"/>
      <c r="J698" s="69"/>
    </row>
    <row r="699">
      <c r="A699" s="69"/>
      <c r="B699" s="118"/>
      <c r="C699" s="70"/>
      <c r="D699" s="69"/>
      <c r="E699" s="120"/>
      <c r="F699" s="121"/>
      <c r="G699" s="70"/>
      <c r="H699" s="69"/>
      <c r="I699" s="69"/>
      <c r="J699" s="69"/>
    </row>
    <row r="700">
      <c r="A700" s="69"/>
      <c r="B700" s="118"/>
      <c r="C700" s="70"/>
      <c r="D700" s="69"/>
      <c r="E700" s="120"/>
      <c r="F700" s="121"/>
      <c r="G700" s="70"/>
      <c r="H700" s="69"/>
      <c r="I700" s="69"/>
      <c r="J700" s="69"/>
    </row>
    <row r="701">
      <c r="A701" s="69"/>
      <c r="B701" s="118"/>
      <c r="C701" s="70"/>
      <c r="D701" s="69"/>
      <c r="E701" s="120"/>
      <c r="F701" s="121"/>
      <c r="G701" s="70"/>
      <c r="H701" s="69"/>
      <c r="I701" s="69"/>
      <c r="J701" s="69"/>
    </row>
    <row r="702">
      <c r="A702" s="69"/>
      <c r="B702" s="118"/>
      <c r="C702" s="70"/>
      <c r="D702" s="69"/>
      <c r="E702" s="120"/>
      <c r="F702" s="121"/>
      <c r="G702" s="70"/>
      <c r="H702" s="69"/>
      <c r="I702" s="69"/>
      <c r="J702" s="69"/>
    </row>
    <row r="703">
      <c r="A703" s="69"/>
      <c r="B703" s="118"/>
      <c r="C703" s="70"/>
      <c r="D703" s="69"/>
      <c r="E703" s="120"/>
      <c r="F703" s="121"/>
      <c r="G703" s="70"/>
      <c r="H703" s="69"/>
      <c r="I703" s="69"/>
      <c r="J703" s="69"/>
    </row>
    <row r="704">
      <c r="A704" s="69"/>
      <c r="B704" s="118"/>
      <c r="C704" s="70"/>
      <c r="D704" s="69"/>
      <c r="E704" s="120"/>
      <c r="F704" s="121"/>
      <c r="G704" s="70"/>
      <c r="H704" s="69"/>
      <c r="I704" s="69"/>
      <c r="J704" s="69"/>
    </row>
    <row r="705">
      <c r="A705" s="69"/>
      <c r="B705" s="118"/>
      <c r="C705" s="70"/>
      <c r="D705" s="69"/>
      <c r="E705" s="120"/>
      <c r="F705" s="121"/>
      <c r="G705" s="70"/>
      <c r="H705" s="69"/>
      <c r="I705" s="69"/>
      <c r="J705" s="69"/>
    </row>
    <row r="706">
      <c r="A706" s="69"/>
      <c r="B706" s="118"/>
      <c r="C706" s="70"/>
      <c r="D706" s="69"/>
      <c r="E706" s="120"/>
      <c r="F706" s="121"/>
      <c r="G706" s="70"/>
      <c r="H706" s="69"/>
      <c r="I706" s="69"/>
      <c r="J706" s="69"/>
    </row>
    <row r="707">
      <c r="A707" s="69"/>
      <c r="B707" s="118"/>
      <c r="C707" s="70"/>
      <c r="D707" s="69"/>
      <c r="E707" s="120"/>
      <c r="F707" s="121"/>
      <c r="G707" s="70"/>
      <c r="H707" s="69"/>
      <c r="I707" s="69"/>
      <c r="J707" s="69"/>
    </row>
    <row r="708">
      <c r="A708" s="69"/>
      <c r="B708" s="118"/>
      <c r="C708" s="70"/>
      <c r="D708" s="69"/>
      <c r="E708" s="120"/>
      <c r="F708" s="121"/>
      <c r="G708" s="70"/>
      <c r="H708" s="69"/>
      <c r="I708" s="69"/>
      <c r="J708" s="69"/>
    </row>
    <row r="709">
      <c r="A709" s="69"/>
      <c r="B709" s="118"/>
      <c r="C709" s="70"/>
      <c r="D709" s="69"/>
      <c r="E709" s="120"/>
      <c r="F709" s="121"/>
      <c r="G709" s="70"/>
      <c r="H709" s="69"/>
      <c r="I709" s="69"/>
      <c r="J709" s="69"/>
    </row>
    <row r="710">
      <c r="A710" s="69"/>
      <c r="B710" s="118"/>
      <c r="C710" s="70"/>
      <c r="D710" s="69"/>
      <c r="E710" s="120"/>
      <c r="F710" s="121"/>
      <c r="G710" s="70"/>
      <c r="H710" s="69"/>
      <c r="I710" s="69"/>
      <c r="J710" s="69"/>
    </row>
    <row r="711">
      <c r="A711" s="69"/>
      <c r="B711" s="118"/>
      <c r="C711" s="70"/>
      <c r="D711" s="69"/>
      <c r="E711" s="120"/>
      <c r="F711" s="121"/>
      <c r="G711" s="70"/>
      <c r="H711" s="69"/>
      <c r="I711" s="69"/>
      <c r="J711" s="69"/>
    </row>
    <row r="712">
      <c r="A712" s="69"/>
      <c r="B712" s="118"/>
      <c r="C712" s="70"/>
      <c r="D712" s="69"/>
      <c r="E712" s="120"/>
      <c r="F712" s="121"/>
      <c r="G712" s="70"/>
      <c r="H712" s="69"/>
      <c r="I712" s="69"/>
      <c r="J712" s="69"/>
    </row>
    <row r="713">
      <c r="A713" s="69"/>
      <c r="B713" s="118"/>
      <c r="C713" s="70"/>
      <c r="D713" s="69"/>
      <c r="E713" s="120"/>
      <c r="F713" s="121"/>
      <c r="G713" s="70"/>
      <c r="H713" s="69"/>
      <c r="I713" s="69"/>
      <c r="J713" s="69"/>
    </row>
    <row r="714">
      <c r="A714" s="69"/>
      <c r="B714" s="118"/>
      <c r="C714" s="70"/>
      <c r="D714" s="69"/>
      <c r="E714" s="120"/>
      <c r="F714" s="121"/>
      <c r="G714" s="70"/>
      <c r="H714" s="69"/>
      <c r="I714" s="69"/>
      <c r="J714" s="69"/>
    </row>
    <row r="715">
      <c r="A715" s="69"/>
      <c r="B715" s="118"/>
      <c r="C715" s="70"/>
      <c r="D715" s="69"/>
      <c r="E715" s="120"/>
      <c r="F715" s="121"/>
      <c r="G715" s="70"/>
      <c r="H715" s="69"/>
      <c r="I715" s="69"/>
      <c r="J715" s="69"/>
    </row>
    <row r="716">
      <c r="A716" s="69"/>
      <c r="B716" s="118"/>
      <c r="C716" s="70"/>
      <c r="D716" s="69"/>
      <c r="E716" s="120"/>
      <c r="F716" s="121"/>
      <c r="G716" s="70"/>
      <c r="H716" s="69"/>
      <c r="I716" s="69"/>
      <c r="J716" s="69"/>
    </row>
    <row r="717">
      <c r="A717" s="69"/>
      <c r="B717" s="118"/>
      <c r="C717" s="70"/>
      <c r="D717" s="69"/>
      <c r="E717" s="120"/>
      <c r="F717" s="121"/>
      <c r="G717" s="70"/>
      <c r="H717" s="69"/>
      <c r="I717" s="69"/>
      <c r="J717" s="69"/>
    </row>
    <row r="718">
      <c r="A718" s="69"/>
      <c r="B718" s="118"/>
      <c r="C718" s="70"/>
      <c r="D718" s="69"/>
      <c r="E718" s="120"/>
      <c r="F718" s="121"/>
      <c r="G718" s="70"/>
      <c r="H718" s="69"/>
      <c r="I718" s="69"/>
      <c r="J718" s="69"/>
    </row>
    <row r="719">
      <c r="A719" s="69"/>
      <c r="B719" s="118"/>
      <c r="C719" s="70"/>
      <c r="D719" s="69"/>
      <c r="E719" s="120"/>
      <c r="F719" s="121"/>
      <c r="G719" s="70"/>
      <c r="H719" s="69"/>
      <c r="I719" s="69"/>
      <c r="J719" s="69"/>
    </row>
    <row r="720">
      <c r="A720" s="69"/>
      <c r="B720" s="118"/>
      <c r="C720" s="70"/>
      <c r="D720" s="69"/>
      <c r="E720" s="120"/>
      <c r="F720" s="121"/>
      <c r="G720" s="70"/>
      <c r="H720" s="69"/>
      <c r="I720" s="69"/>
      <c r="J720" s="69"/>
    </row>
    <row r="721">
      <c r="A721" s="69"/>
      <c r="B721" s="118"/>
      <c r="C721" s="70"/>
      <c r="D721" s="69"/>
      <c r="E721" s="120"/>
      <c r="F721" s="121"/>
      <c r="G721" s="70"/>
      <c r="H721" s="69"/>
      <c r="I721" s="69"/>
      <c r="J721" s="69"/>
    </row>
    <row r="722">
      <c r="A722" s="69"/>
      <c r="B722" s="118"/>
      <c r="C722" s="70"/>
      <c r="D722" s="69"/>
      <c r="E722" s="120"/>
      <c r="F722" s="121"/>
      <c r="G722" s="70"/>
      <c r="H722" s="69"/>
      <c r="I722" s="69"/>
      <c r="J722" s="69"/>
    </row>
    <row r="723">
      <c r="A723" s="69"/>
      <c r="B723" s="118"/>
      <c r="C723" s="70"/>
      <c r="D723" s="69"/>
      <c r="E723" s="120"/>
      <c r="F723" s="121"/>
      <c r="G723" s="70"/>
      <c r="H723" s="69"/>
      <c r="I723" s="69"/>
      <c r="J723" s="69"/>
    </row>
    <row r="724">
      <c r="A724" s="69"/>
      <c r="B724" s="118"/>
      <c r="C724" s="70"/>
      <c r="D724" s="69"/>
      <c r="E724" s="120"/>
      <c r="F724" s="121"/>
      <c r="G724" s="70"/>
      <c r="H724" s="69"/>
      <c r="I724" s="69"/>
      <c r="J724" s="69"/>
    </row>
    <row r="725">
      <c r="A725" s="69"/>
      <c r="B725" s="118"/>
      <c r="C725" s="70"/>
      <c r="D725" s="69"/>
      <c r="E725" s="120"/>
      <c r="F725" s="121"/>
      <c r="G725" s="70"/>
      <c r="H725" s="69"/>
      <c r="I725" s="69"/>
      <c r="J725" s="69"/>
    </row>
    <row r="726">
      <c r="A726" s="69"/>
      <c r="B726" s="118"/>
      <c r="C726" s="70"/>
      <c r="D726" s="69"/>
      <c r="E726" s="120"/>
      <c r="F726" s="121"/>
      <c r="G726" s="70"/>
      <c r="H726" s="69"/>
      <c r="I726" s="69"/>
      <c r="J726" s="69"/>
    </row>
    <row r="727">
      <c r="A727" s="69"/>
      <c r="B727" s="118"/>
      <c r="C727" s="70"/>
      <c r="D727" s="69"/>
      <c r="E727" s="120"/>
      <c r="F727" s="121"/>
      <c r="G727" s="70"/>
      <c r="H727" s="69"/>
      <c r="I727" s="69"/>
      <c r="J727" s="69"/>
    </row>
    <row r="728">
      <c r="A728" s="69"/>
      <c r="B728" s="118"/>
      <c r="C728" s="70"/>
      <c r="D728" s="69"/>
      <c r="E728" s="120"/>
      <c r="F728" s="121"/>
      <c r="G728" s="70"/>
      <c r="H728" s="69"/>
      <c r="I728" s="69"/>
      <c r="J728" s="69"/>
    </row>
    <row r="729">
      <c r="A729" s="69"/>
      <c r="B729" s="118"/>
      <c r="C729" s="70"/>
      <c r="D729" s="69"/>
      <c r="E729" s="120"/>
      <c r="F729" s="121"/>
      <c r="G729" s="70"/>
      <c r="H729" s="69"/>
      <c r="I729" s="69"/>
      <c r="J729" s="69"/>
    </row>
    <row r="730">
      <c r="A730" s="69"/>
      <c r="B730" s="118"/>
      <c r="C730" s="70"/>
      <c r="D730" s="69"/>
      <c r="E730" s="120"/>
      <c r="F730" s="121"/>
      <c r="G730" s="70"/>
      <c r="H730" s="69"/>
      <c r="I730" s="69"/>
      <c r="J730" s="69"/>
    </row>
    <row r="731">
      <c r="A731" s="69"/>
      <c r="B731" s="118"/>
      <c r="C731" s="70"/>
      <c r="D731" s="69"/>
      <c r="E731" s="120"/>
      <c r="F731" s="121"/>
      <c r="G731" s="70"/>
      <c r="H731" s="69"/>
      <c r="I731" s="69"/>
      <c r="J731" s="69"/>
    </row>
    <row r="732">
      <c r="A732" s="69"/>
      <c r="B732" s="118"/>
      <c r="C732" s="70"/>
      <c r="D732" s="69"/>
      <c r="E732" s="120"/>
      <c r="F732" s="121"/>
      <c r="G732" s="70"/>
      <c r="H732" s="69"/>
      <c r="I732" s="69"/>
      <c r="J732" s="69"/>
    </row>
    <row r="733">
      <c r="A733" s="69"/>
      <c r="B733" s="118"/>
      <c r="C733" s="70"/>
      <c r="D733" s="69"/>
      <c r="E733" s="120"/>
      <c r="F733" s="121"/>
      <c r="G733" s="70"/>
      <c r="H733" s="69"/>
      <c r="I733" s="69"/>
      <c r="J733" s="69"/>
    </row>
    <row r="734">
      <c r="A734" s="69"/>
      <c r="B734" s="118"/>
      <c r="C734" s="70"/>
      <c r="D734" s="69"/>
      <c r="E734" s="120"/>
      <c r="F734" s="121"/>
      <c r="G734" s="70"/>
      <c r="H734" s="69"/>
      <c r="I734" s="69"/>
      <c r="J734" s="69"/>
    </row>
    <row r="735">
      <c r="A735" s="69"/>
      <c r="B735" s="118"/>
      <c r="C735" s="70"/>
      <c r="D735" s="69"/>
      <c r="E735" s="120"/>
      <c r="F735" s="121"/>
      <c r="G735" s="70"/>
      <c r="H735" s="69"/>
      <c r="I735" s="69"/>
      <c r="J735" s="69"/>
    </row>
    <row r="736">
      <c r="A736" s="69"/>
      <c r="B736" s="118"/>
      <c r="C736" s="70"/>
      <c r="D736" s="69"/>
      <c r="E736" s="120"/>
      <c r="F736" s="121"/>
      <c r="G736" s="70"/>
      <c r="H736" s="69"/>
      <c r="I736" s="69"/>
      <c r="J736" s="69"/>
    </row>
    <row r="737">
      <c r="A737" s="69"/>
      <c r="B737" s="118"/>
      <c r="C737" s="70"/>
      <c r="D737" s="69"/>
      <c r="E737" s="120"/>
      <c r="F737" s="121"/>
      <c r="G737" s="70"/>
      <c r="H737" s="69"/>
      <c r="I737" s="69"/>
      <c r="J737" s="69"/>
    </row>
    <row r="738">
      <c r="A738" s="69"/>
      <c r="B738" s="118"/>
      <c r="C738" s="70"/>
      <c r="D738" s="69"/>
      <c r="E738" s="120"/>
      <c r="F738" s="121"/>
      <c r="G738" s="70"/>
      <c r="H738" s="69"/>
      <c r="I738" s="69"/>
      <c r="J738" s="69"/>
    </row>
    <row r="739">
      <c r="A739" s="69"/>
      <c r="B739" s="118"/>
      <c r="C739" s="70"/>
      <c r="D739" s="69"/>
      <c r="E739" s="120"/>
      <c r="F739" s="121"/>
      <c r="G739" s="70"/>
      <c r="H739" s="69"/>
      <c r="I739" s="69"/>
      <c r="J739" s="69"/>
    </row>
    <row r="740">
      <c r="A740" s="69"/>
      <c r="B740" s="118"/>
      <c r="C740" s="70"/>
      <c r="D740" s="69"/>
      <c r="E740" s="120"/>
      <c r="F740" s="121"/>
      <c r="G740" s="70"/>
      <c r="H740" s="69"/>
      <c r="I740" s="69"/>
      <c r="J740" s="69"/>
    </row>
    <row r="741">
      <c r="A741" s="69"/>
      <c r="B741" s="118"/>
      <c r="C741" s="70"/>
      <c r="D741" s="69"/>
      <c r="E741" s="120"/>
      <c r="F741" s="121"/>
      <c r="G741" s="70"/>
      <c r="H741" s="69"/>
      <c r="I741" s="69"/>
      <c r="J741" s="69"/>
    </row>
    <row r="742">
      <c r="A742" s="69"/>
      <c r="B742" s="118"/>
      <c r="C742" s="70"/>
      <c r="D742" s="69"/>
      <c r="E742" s="120"/>
      <c r="F742" s="121"/>
      <c r="G742" s="70"/>
      <c r="H742" s="69"/>
      <c r="I742" s="69"/>
      <c r="J742" s="69"/>
    </row>
    <row r="743">
      <c r="A743" s="69"/>
      <c r="B743" s="118"/>
      <c r="C743" s="70"/>
      <c r="D743" s="69"/>
      <c r="E743" s="120"/>
      <c r="F743" s="121"/>
      <c r="G743" s="70"/>
      <c r="H743" s="69"/>
      <c r="I743" s="69"/>
      <c r="J743" s="69"/>
    </row>
    <row r="744">
      <c r="A744" s="69"/>
      <c r="B744" s="118"/>
      <c r="C744" s="70"/>
      <c r="D744" s="69"/>
      <c r="E744" s="120"/>
      <c r="F744" s="121"/>
      <c r="G744" s="70"/>
      <c r="H744" s="69"/>
      <c r="I744" s="69"/>
      <c r="J744" s="69"/>
    </row>
    <row r="745">
      <c r="A745" s="69"/>
      <c r="B745" s="118"/>
      <c r="C745" s="70"/>
      <c r="D745" s="69"/>
      <c r="E745" s="120"/>
      <c r="F745" s="121"/>
      <c r="G745" s="70"/>
      <c r="H745" s="69"/>
      <c r="I745" s="69"/>
      <c r="J745" s="69"/>
    </row>
    <row r="746">
      <c r="A746" s="69"/>
      <c r="B746" s="118"/>
      <c r="C746" s="70"/>
      <c r="D746" s="69"/>
      <c r="E746" s="120"/>
      <c r="F746" s="121"/>
      <c r="G746" s="70"/>
      <c r="H746" s="69"/>
      <c r="I746" s="69"/>
      <c r="J746" s="69"/>
    </row>
    <row r="747">
      <c r="A747" s="69"/>
      <c r="B747" s="118"/>
      <c r="C747" s="70"/>
      <c r="D747" s="69"/>
      <c r="E747" s="120"/>
      <c r="F747" s="121"/>
      <c r="G747" s="70"/>
      <c r="H747" s="69"/>
      <c r="I747" s="69"/>
      <c r="J747" s="69"/>
    </row>
    <row r="748">
      <c r="A748" s="69"/>
      <c r="B748" s="118"/>
      <c r="C748" s="70"/>
      <c r="D748" s="69"/>
      <c r="E748" s="120"/>
      <c r="F748" s="121"/>
      <c r="G748" s="70"/>
      <c r="H748" s="69"/>
      <c r="I748" s="69"/>
      <c r="J748" s="69"/>
    </row>
    <row r="749">
      <c r="A749" s="69"/>
      <c r="B749" s="118"/>
      <c r="C749" s="70"/>
      <c r="D749" s="69"/>
      <c r="E749" s="120"/>
      <c r="F749" s="121"/>
      <c r="G749" s="70"/>
      <c r="H749" s="69"/>
      <c r="I749" s="69"/>
      <c r="J749" s="69"/>
    </row>
    <row r="750">
      <c r="A750" s="69"/>
      <c r="B750" s="118"/>
      <c r="C750" s="70"/>
      <c r="D750" s="69"/>
      <c r="E750" s="120"/>
      <c r="F750" s="121"/>
      <c r="G750" s="70"/>
      <c r="H750" s="69"/>
      <c r="I750" s="69"/>
      <c r="J750" s="69"/>
    </row>
    <row r="751">
      <c r="A751" s="69"/>
      <c r="B751" s="118"/>
      <c r="C751" s="70"/>
      <c r="D751" s="69"/>
      <c r="E751" s="120"/>
      <c r="F751" s="121"/>
      <c r="G751" s="70"/>
      <c r="H751" s="69"/>
      <c r="I751" s="69"/>
      <c r="J751" s="69"/>
    </row>
    <row r="752">
      <c r="A752" s="69"/>
      <c r="B752" s="118"/>
      <c r="C752" s="70"/>
      <c r="D752" s="69"/>
      <c r="E752" s="120"/>
      <c r="F752" s="121"/>
      <c r="G752" s="70"/>
      <c r="H752" s="69"/>
      <c r="I752" s="69"/>
      <c r="J752" s="69"/>
    </row>
    <row r="753">
      <c r="A753" s="69"/>
      <c r="B753" s="118"/>
      <c r="C753" s="70"/>
      <c r="D753" s="69"/>
      <c r="E753" s="120"/>
      <c r="F753" s="121"/>
      <c r="G753" s="70"/>
      <c r="H753" s="69"/>
      <c r="I753" s="69"/>
      <c r="J753" s="69"/>
    </row>
    <row r="754">
      <c r="A754" s="69"/>
      <c r="B754" s="118"/>
      <c r="C754" s="70"/>
      <c r="D754" s="69"/>
      <c r="E754" s="120"/>
      <c r="F754" s="121"/>
      <c r="G754" s="70"/>
      <c r="H754" s="69"/>
      <c r="I754" s="69"/>
      <c r="J754" s="69"/>
    </row>
    <row r="755">
      <c r="A755" s="69"/>
      <c r="B755" s="118"/>
      <c r="C755" s="70"/>
      <c r="D755" s="69"/>
      <c r="E755" s="120"/>
      <c r="F755" s="121"/>
      <c r="G755" s="70"/>
      <c r="H755" s="69"/>
      <c r="I755" s="69"/>
      <c r="J755" s="69"/>
    </row>
    <row r="756">
      <c r="A756" s="69"/>
      <c r="B756" s="118"/>
      <c r="C756" s="70"/>
      <c r="D756" s="69"/>
      <c r="E756" s="120"/>
      <c r="F756" s="121"/>
      <c r="G756" s="70"/>
      <c r="H756" s="69"/>
      <c r="I756" s="69"/>
      <c r="J756" s="69"/>
    </row>
    <row r="757">
      <c r="A757" s="69"/>
      <c r="B757" s="118"/>
      <c r="C757" s="70"/>
      <c r="D757" s="69"/>
      <c r="E757" s="120"/>
      <c r="F757" s="121"/>
      <c r="G757" s="70"/>
      <c r="H757" s="69"/>
      <c r="I757" s="69"/>
      <c r="J757" s="69"/>
    </row>
    <row r="758">
      <c r="A758" s="69"/>
      <c r="B758" s="118"/>
      <c r="C758" s="70"/>
      <c r="D758" s="69"/>
      <c r="E758" s="120"/>
      <c r="F758" s="121"/>
      <c r="G758" s="70"/>
      <c r="H758" s="69"/>
      <c r="I758" s="69"/>
      <c r="J758" s="69"/>
    </row>
    <row r="759">
      <c r="A759" s="69"/>
      <c r="B759" s="118"/>
      <c r="C759" s="70"/>
      <c r="D759" s="69"/>
      <c r="E759" s="120"/>
      <c r="F759" s="121"/>
      <c r="G759" s="70"/>
      <c r="H759" s="69"/>
      <c r="I759" s="69"/>
      <c r="J759" s="69"/>
    </row>
    <row r="760">
      <c r="A760" s="69"/>
      <c r="B760" s="118"/>
      <c r="C760" s="70"/>
      <c r="D760" s="69"/>
      <c r="E760" s="120"/>
      <c r="F760" s="121"/>
      <c r="G760" s="70"/>
      <c r="H760" s="69"/>
      <c r="I760" s="69"/>
      <c r="J760" s="69"/>
    </row>
    <row r="761">
      <c r="A761" s="69"/>
      <c r="B761" s="118"/>
      <c r="C761" s="70"/>
      <c r="D761" s="69"/>
      <c r="E761" s="120"/>
      <c r="F761" s="121"/>
      <c r="G761" s="70"/>
      <c r="H761" s="69"/>
      <c r="I761" s="69"/>
      <c r="J761" s="69"/>
    </row>
    <row r="762">
      <c r="A762" s="69"/>
      <c r="B762" s="118"/>
      <c r="C762" s="70"/>
      <c r="D762" s="69"/>
      <c r="E762" s="120"/>
      <c r="F762" s="121"/>
      <c r="G762" s="70"/>
      <c r="H762" s="69"/>
      <c r="I762" s="69"/>
      <c r="J762" s="69"/>
    </row>
    <row r="763">
      <c r="A763" s="69"/>
      <c r="B763" s="118"/>
      <c r="C763" s="70"/>
      <c r="D763" s="69"/>
      <c r="E763" s="120"/>
      <c r="F763" s="121"/>
      <c r="G763" s="70"/>
      <c r="H763" s="69"/>
      <c r="I763" s="69"/>
      <c r="J763" s="69"/>
    </row>
    <row r="764">
      <c r="A764" s="69"/>
      <c r="B764" s="118"/>
      <c r="C764" s="70"/>
      <c r="D764" s="69"/>
      <c r="E764" s="120"/>
      <c r="F764" s="121"/>
      <c r="G764" s="70"/>
      <c r="H764" s="69"/>
      <c r="I764" s="69"/>
      <c r="J764" s="69"/>
    </row>
    <row r="765">
      <c r="A765" s="69"/>
      <c r="B765" s="118"/>
      <c r="C765" s="70"/>
      <c r="D765" s="69"/>
      <c r="E765" s="120"/>
      <c r="F765" s="121"/>
      <c r="G765" s="70"/>
      <c r="H765" s="69"/>
      <c r="I765" s="69"/>
      <c r="J765" s="69"/>
    </row>
    <row r="766">
      <c r="A766" s="69"/>
      <c r="B766" s="118"/>
      <c r="C766" s="70"/>
      <c r="D766" s="69"/>
      <c r="E766" s="120"/>
      <c r="F766" s="121"/>
      <c r="G766" s="70"/>
      <c r="H766" s="69"/>
      <c r="I766" s="69"/>
      <c r="J766" s="69"/>
    </row>
    <row r="767">
      <c r="A767" s="69"/>
      <c r="B767" s="118"/>
      <c r="C767" s="70"/>
      <c r="D767" s="69"/>
      <c r="E767" s="120"/>
      <c r="F767" s="121"/>
      <c r="G767" s="70"/>
      <c r="H767" s="69"/>
      <c r="I767" s="69"/>
      <c r="J767" s="69"/>
    </row>
    <row r="768">
      <c r="A768" s="69"/>
      <c r="B768" s="118"/>
      <c r="C768" s="70"/>
      <c r="D768" s="69"/>
      <c r="E768" s="120"/>
      <c r="F768" s="121"/>
      <c r="G768" s="70"/>
      <c r="H768" s="69"/>
      <c r="I768" s="69"/>
      <c r="J768" s="69"/>
    </row>
    <row r="769">
      <c r="A769" s="69"/>
      <c r="B769" s="118"/>
      <c r="C769" s="70"/>
      <c r="D769" s="69"/>
      <c r="E769" s="120"/>
      <c r="F769" s="121"/>
      <c r="G769" s="70"/>
      <c r="H769" s="69"/>
      <c r="I769" s="69"/>
      <c r="J769" s="69"/>
    </row>
    <row r="770">
      <c r="A770" s="69"/>
      <c r="B770" s="118"/>
      <c r="C770" s="70"/>
      <c r="D770" s="69"/>
      <c r="E770" s="120"/>
      <c r="F770" s="121"/>
      <c r="G770" s="70"/>
      <c r="H770" s="69"/>
      <c r="I770" s="69"/>
      <c r="J770" s="69"/>
    </row>
    <row r="771">
      <c r="A771" s="69"/>
      <c r="B771" s="118"/>
      <c r="C771" s="70"/>
      <c r="D771" s="69"/>
      <c r="E771" s="120"/>
      <c r="F771" s="121"/>
      <c r="G771" s="70"/>
      <c r="H771" s="69"/>
      <c r="I771" s="69"/>
      <c r="J771" s="69"/>
    </row>
    <row r="772">
      <c r="A772" s="69"/>
      <c r="B772" s="118"/>
      <c r="C772" s="70"/>
      <c r="D772" s="69"/>
      <c r="E772" s="120"/>
      <c r="F772" s="121"/>
      <c r="G772" s="70"/>
      <c r="H772" s="69"/>
      <c r="I772" s="69"/>
      <c r="J772" s="69"/>
    </row>
    <row r="773">
      <c r="A773" s="69"/>
      <c r="B773" s="118"/>
      <c r="C773" s="70"/>
      <c r="D773" s="69"/>
      <c r="E773" s="120"/>
      <c r="F773" s="121"/>
      <c r="G773" s="70"/>
      <c r="H773" s="69"/>
      <c r="I773" s="69"/>
      <c r="J773" s="69"/>
    </row>
    <row r="774">
      <c r="A774" s="69"/>
      <c r="B774" s="118"/>
      <c r="C774" s="70"/>
      <c r="D774" s="69"/>
      <c r="E774" s="120"/>
      <c r="F774" s="121"/>
      <c r="G774" s="70"/>
      <c r="H774" s="69"/>
      <c r="I774" s="69"/>
      <c r="J774" s="69"/>
    </row>
    <row r="775">
      <c r="A775" s="69"/>
      <c r="B775" s="118"/>
      <c r="C775" s="70"/>
      <c r="D775" s="69"/>
      <c r="E775" s="120"/>
      <c r="F775" s="121"/>
      <c r="G775" s="70"/>
      <c r="H775" s="69"/>
      <c r="I775" s="69"/>
      <c r="J775" s="69"/>
    </row>
    <row r="776">
      <c r="A776" s="69"/>
      <c r="B776" s="118"/>
      <c r="C776" s="70"/>
      <c r="D776" s="69"/>
      <c r="E776" s="120"/>
      <c r="F776" s="121"/>
      <c r="G776" s="70"/>
      <c r="H776" s="69"/>
      <c r="I776" s="69"/>
      <c r="J776" s="69"/>
    </row>
    <row r="777">
      <c r="A777" s="69"/>
      <c r="B777" s="118"/>
      <c r="C777" s="70"/>
      <c r="D777" s="69"/>
      <c r="E777" s="120"/>
      <c r="F777" s="121"/>
      <c r="G777" s="70"/>
      <c r="H777" s="69"/>
      <c r="I777" s="69"/>
      <c r="J777" s="69"/>
    </row>
    <row r="778">
      <c r="A778" s="69"/>
      <c r="B778" s="118"/>
      <c r="C778" s="70"/>
      <c r="D778" s="69"/>
      <c r="E778" s="120"/>
      <c r="F778" s="121"/>
      <c r="G778" s="70"/>
      <c r="H778" s="69"/>
      <c r="I778" s="69"/>
      <c r="J778" s="69"/>
    </row>
    <row r="779">
      <c r="A779" s="69"/>
      <c r="B779" s="118"/>
      <c r="C779" s="70"/>
      <c r="D779" s="69"/>
      <c r="E779" s="120"/>
      <c r="F779" s="121"/>
      <c r="G779" s="70"/>
      <c r="H779" s="69"/>
      <c r="I779" s="69"/>
      <c r="J779" s="69"/>
    </row>
    <row r="780">
      <c r="A780" s="69"/>
      <c r="B780" s="118"/>
      <c r="C780" s="70"/>
      <c r="D780" s="69"/>
      <c r="E780" s="120"/>
      <c r="F780" s="121"/>
      <c r="G780" s="70"/>
      <c r="H780" s="69"/>
      <c r="I780" s="69"/>
      <c r="J780" s="69"/>
    </row>
    <row r="781">
      <c r="A781" s="69"/>
      <c r="B781" s="118"/>
      <c r="C781" s="70"/>
      <c r="D781" s="69"/>
      <c r="E781" s="120"/>
      <c r="F781" s="121"/>
      <c r="G781" s="70"/>
      <c r="H781" s="69"/>
      <c r="I781" s="69"/>
      <c r="J781" s="69"/>
    </row>
    <row r="782">
      <c r="A782" s="69"/>
      <c r="B782" s="118"/>
      <c r="C782" s="70"/>
      <c r="D782" s="69"/>
      <c r="E782" s="120"/>
      <c r="F782" s="121"/>
      <c r="G782" s="70"/>
      <c r="H782" s="69"/>
      <c r="I782" s="69"/>
      <c r="J782" s="69"/>
    </row>
    <row r="783">
      <c r="A783" s="69"/>
      <c r="B783" s="118"/>
      <c r="C783" s="70"/>
      <c r="D783" s="69"/>
      <c r="E783" s="120"/>
      <c r="F783" s="121"/>
      <c r="G783" s="70"/>
      <c r="H783" s="69"/>
      <c r="I783" s="69"/>
      <c r="J783" s="69"/>
    </row>
    <row r="784">
      <c r="A784" s="69"/>
      <c r="B784" s="118"/>
      <c r="C784" s="70"/>
      <c r="D784" s="69"/>
      <c r="E784" s="120"/>
      <c r="F784" s="121"/>
      <c r="G784" s="70"/>
      <c r="H784" s="69"/>
      <c r="I784" s="69"/>
      <c r="J784" s="69"/>
    </row>
    <row r="785">
      <c r="A785" s="69"/>
      <c r="B785" s="118"/>
      <c r="C785" s="70"/>
      <c r="D785" s="69"/>
      <c r="E785" s="120"/>
      <c r="F785" s="121"/>
      <c r="G785" s="70"/>
      <c r="H785" s="69"/>
      <c r="I785" s="69"/>
      <c r="J785" s="69"/>
    </row>
    <row r="786">
      <c r="A786" s="69"/>
      <c r="B786" s="118"/>
      <c r="C786" s="70"/>
      <c r="D786" s="69"/>
      <c r="E786" s="120"/>
      <c r="F786" s="121"/>
      <c r="G786" s="70"/>
      <c r="H786" s="69"/>
      <c r="I786" s="69"/>
      <c r="J786" s="69"/>
    </row>
    <row r="787">
      <c r="A787" s="69"/>
      <c r="B787" s="118"/>
      <c r="C787" s="70"/>
      <c r="D787" s="69"/>
      <c r="E787" s="120"/>
      <c r="F787" s="121"/>
      <c r="G787" s="70"/>
      <c r="H787" s="69"/>
      <c r="I787" s="69"/>
      <c r="J787" s="69"/>
    </row>
    <row r="788">
      <c r="A788" s="69"/>
      <c r="B788" s="118"/>
      <c r="C788" s="70"/>
      <c r="D788" s="69"/>
      <c r="E788" s="120"/>
      <c r="F788" s="121"/>
      <c r="G788" s="70"/>
      <c r="H788" s="69"/>
      <c r="I788" s="69"/>
      <c r="J788" s="69"/>
    </row>
    <row r="789">
      <c r="A789" s="69"/>
      <c r="B789" s="118"/>
      <c r="C789" s="70"/>
      <c r="D789" s="69"/>
      <c r="E789" s="120"/>
      <c r="F789" s="121"/>
      <c r="G789" s="70"/>
      <c r="H789" s="69"/>
      <c r="I789" s="69"/>
      <c r="J789" s="69"/>
    </row>
    <row r="790">
      <c r="A790" s="69"/>
      <c r="B790" s="118"/>
      <c r="C790" s="70"/>
      <c r="D790" s="69"/>
      <c r="E790" s="120"/>
      <c r="F790" s="121"/>
      <c r="G790" s="70"/>
      <c r="H790" s="69"/>
      <c r="I790" s="69"/>
      <c r="J790" s="69"/>
    </row>
    <row r="791">
      <c r="A791" s="69"/>
      <c r="B791" s="118"/>
      <c r="C791" s="70"/>
      <c r="D791" s="69"/>
      <c r="E791" s="120"/>
      <c r="F791" s="121"/>
      <c r="G791" s="70"/>
      <c r="H791" s="69"/>
      <c r="I791" s="69"/>
      <c r="J791" s="69"/>
    </row>
    <row r="792">
      <c r="A792" s="69"/>
      <c r="B792" s="118"/>
      <c r="C792" s="70"/>
      <c r="D792" s="69"/>
      <c r="E792" s="120"/>
      <c r="F792" s="121"/>
      <c r="G792" s="70"/>
      <c r="H792" s="69"/>
      <c r="I792" s="69"/>
      <c r="J792" s="69"/>
    </row>
    <row r="793">
      <c r="A793" s="69"/>
      <c r="B793" s="118"/>
      <c r="C793" s="70"/>
      <c r="D793" s="69"/>
      <c r="E793" s="120"/>
      <c r="F793" s="121"/>
      <c r="G793" s="70"/>
      <c r="H793" s="69"/>
      <c r="I793" s="69"/>
      <c r="J793" s="69"/>
    </row>
    <row r="794">
      <c r="A794" s="69"/>
      <c r="B794" s="118"/>
      <c r="C794" s="70"/>
      <c r="D794" s="69"/>
      <c r="E794" s="120"/>
      <c r="F794" s="121"/>
      <c r="G794" s="70"/>
      <c r="H794" s="69"/>
      <c r="I794" s="69"/>
      <c r="J794" s="69"/>
    </row>
    <row r="795">
      <c r="A795" s="69"/>
      <c r="B795" s="118"/>
      <c r="C795" s="70"/>
      <c r="D795" s="69"/>
      <c r="E795" s="120"/>
      <c r="F795" s="121"/>
      <c r="G795" s="70"/>
      <c r="H795" s="69"/>
      <c r="I795" s="69"/>
      <c r="J795" s="69"/>
    </row>
    <row r="796">
      <c r="A796" s="69"/>
      <c r="B796" s="118"/>
      <c r="C796" s="70"/>
      <c r="D796" s="69"/>
      <c r="E796" s="120"/>
      <c r="F796" s="121"/>
      <c r="G796" s="70"/>
      <c r="H796" s="69"/>
      <c r="I796" s="69"/>
      <c r="J796" s="69"/>
    </row>
    <row r="797">
      <c r="A797" s="69"/>
      <c r="B797" s="118"/>
      <c r="C797" s="70"/>
      <c r="D797" s="69"/>
      <c r="E797" s="120"/>
      <c r="F797" s="121"/>
      <c r="G797" s="70"/>
      <c r="H797" s="69"/>
      <c r="I797" s="69"/>
      <c r="J797" s="69"/>
    </row>
    <row r="798">
      <c r="A798" s="69"/>
      <c r="B798" s="118"/>
      <c r="C798" s="70"/>
      <c r="D798" s="69"/>
      <c r="E798" s="120"/>
      <c r="F798" s="121"/>
      <c r="G798" s="70"/>
      <c r="H798" s="69"/>
      <c r="I798" s="69"/>
      <c r="J798" s="69"/>
    </row>
    <row r="799">
      <c r="A799" s="69"/>
      <c r="B799" s="118"/>
      <c r="C799" s="70"/>
      <c r="D799" s="69"/>
      <c r="E799" s="120"/>
      <c r="F799" s="121"/>
      <c r="G799" s="70"/>
      <c r="H799" s="69"/>
      <c r="I799" s="69"/>
      <c r="J799" s="69"/>
    </row>
    <row r="800">
      <c r="A800" s="69"/>
      <c r="B800" s="118"/>
      <c r="C800" s="70"/>
      <c r="D800" s="69"/>
      <c r="E800" s="120"/>
      <c r="F800" s="121"/>
      <c r="G800" s="70"/>
      <c r="H800" s="69"/>
      <c r="I800" s="69"/>
      <c r="J800" s="69"/>
    </row>
    <row r="801">
      <c r="A801" s="69"/>
      <c r="B801" s="118"/>
      <c r="C801" s="70"/>
      <c r="D801" s="69"/>
      <c r="E801" s="120"/>
      <c r="F801" s="121"/>
      <c r="G801" s="70"/>
      <c r="H801" s="69"/>
      <c r="I801" s="69"/>
      <c r="J801" s="69"/>
    </row>
    <row r="802">
      <c r="A802" s="69"/>
      <c r="B802" s="118"/>
      <c r="C802" s="70"/>
      <c r="D802" s="69"/>
      <c r="E802" s="120"/>
      <c r="F802" s="121"/>
      <c r="G802" s="70"/>
      <c r="H802" s="69"/>
      <c r="I802" s="69"/>
      <c r="J802" s="69"/>
    </row>
    <row r="803">
      <c r="A803" s="69"/>
      <c r="B803" s="118"/>
      <c r="C803" s="70"/>
      <c r="D803" s="69"/>
      <c r="E803" s="120"/>
      <c r="F803" s="121"/>
      <c r="G803" s="70"/>
      <c r="H803" s="69"/>
      <c r="I803" s="69"/>
      <c r="J803" s="69"/>
    </row>
    <row r="804">
      <c r="A804" s="69"/>
      <c r="B804" s="118"/>
      <c r="C804" s="70"/>
      <c r="D804" s="69"/>
      <c r="E804" s="120"/>
      <c r="F804" s="121"/>
      <c r="G804" s="70"/>
      <c r="H804" s="69"/>
      <c r="I804" s="69"/>
      <c r="J804" s="69"/>
    </row>
    <row r="805">
      <c r="A805" s="69"/>
      <c r="B805" s="118"/>
      <c r="C805" s="70"/>
      <c r="D805" s="69"/>
      <c r="E805" s="120"/>
      <c r="F805" s="121"/>
      <c r="G805" s="70"/>
      <c r="H805" s="69"/>
      <c r="I805" s="69"/>
      <c r="J805" s="69"/>
    </row>
    <row r="806">
      <c r="A806" s="69"/>
      <c r="B806" s="118"/>
      <c r="C806" s="70"/>
      <c r="D806" s="69"/>
      <c r="E806" s="120"/>
      <c r="F806" s="121"/>
      <c r="G806" s="70"/>
      <c r="H806" s="69"/>
      <c r="I806" s="69"/>
      <c r="J806" s="69"/>
    </row>
    <row r="807">
      <c r="A807" s="69"/>
      <c r="B807" s="118"/>
      <c r="C807" s="70"/>
      <c r="D807" s="69"/>
      <c r="E807" s="120"/>
      <c r="F807" s="121"/>
      <c r="G807" s="70"/>
      <c r="H807" s="69"/>
      <c r="I807" s="69"/>
      <c r="J807" s="69"/>
    </row>
    <row r="808">
      <c r="A808" s="69"/>
      <c r="B808" s="118"/>
      <c r="C808" s="70"/>
      <c r="D808" s="69"/>
      <c r="E808" s="120"/>
      <c r="F808" s="121"/>
      <c r="G808" s="70"/>
      <c r="H808" s="69"/>
      <c r="I808" s="69"/>
      <c r="J808" s="69"/>
    </row>
    <row r="809">
      <c r="A809" s="69"/>
      <c r="B809" s="118"/>
      <c r="C809" s="70"/>
      <c r="D809" s="69"/>
      <c r="E809" s="120"/>
      <c r="F809" s="121"/>
      <c r="G809" s="70"/>
      <c r="H809" s="69"/>
      <c r="I809" s="69"/>
      <c r="J809" s="69"/>
    </row>
    <row r="810">
      <c r="A810" s="69"/>
      <c r="B810" s="118"/>
      <c r="C810" s="70"/>
      <c r="D810" s="69"/>
      <c r="E810" s="120"/>
      <c r="F810" s="121"/>
      <c r="G810" s="70"/>
      <c r="H810" s="69"/>
      <c r="I810" s="69"/>
      <c r="J810" s="69"/>
    </row>
    <row r="811">
      <c r="A811" s="69"/>
      <c r="B811" s="118"/>
      <c r="C811" s="70"/>
      <c r="D811" s="69"/>
      <c r="E811" s="120"/>
      <c r="F811" s="121"/>
      <c r="G811" s="70"/>
      <c r="H811" s="69"/>
      <c r="I811" s="69"/>
      <c r="J811" s="69"/>
    </row>
    <row r="812">
      <c r="A812" s="69"/>
      <c r="B812" s="118"/>
      <c r="C812" s="70"/>
      <c r="D812" s="69"/>
      <c r="E812" s="120"/>
      <c r="F812" s="121"/>
      <c r="G812" s="70"/>
      <c r="H812" s="69"/>
      <c r="I812" s="69"/>
      <c r="J812" s="69"/>
    </row>
    <row r="813">
      <c r="A813" s="69"/>
      <c r="B813" s="118"/>
      <c r="C813" s="70"/>
      <c r="D813" s="69"/>
      <c r="E813" s="120"/>
      <c r="F813" s="121"/>
      <c r="G813" s="70"/>
      <c r="H813" s="69"/>
      <c r="I813" s="69"/>
      <c r="J813" s="69"/>
    </row>
    <row r="814">
      <c r="A814" s="69"/>
      <c r="B814" s="118"/>
      <c r="C814" s="70"/>
      <c r="D814" s="69"/>
      <c r="E814" s="120"/>
      <c r="F814" s="121"/>
      <c r="G814" s="70"/>
      <c r="H814" s="69"/>
      <c r="I814" s="69"/>
      <c r="J814" s="69"/>
    </row>
    <row r="815">
      <c r="A815" s="69"/>
      <c r="B815" s="118"/>
      <c r="C815" s="70"/>
      <c r="D815" s="69"/>
      <c r="E815" s="120"/>
      <c r="F815" s="121"/>
      <c r="G815" s="70"/>
      <c r="H815" s="69"/>
      <c r="I815" s="69"/>
      <c r="J815" s="69"/>
    </row>
    <row r="816">
      <c r="A816" s="69"/>
      <c r="B816" s="118"/>
      <c r="C816" s="70"/>
      <c r="D816" s="69"/>
      <c r="E816" s="120"/>
      <c r="F816" s="121"/>
      <c r="G816" s="70"/>
      <c r="H816" s="69"/>
      <c r="I816" s="69"/>
      <c r="J816" s="69"/>
    </row>
    <row r="817">
      <c r="A817" s="69"/>
      <c r="B817" s="118"/>
      <c r="C817" s="70"/>
      <c r="D817" s="69"/>
      <c r="E817" s="120"/>
      <c r="F817" s="121"/>
      <c r="G817" s="70"/>
      <c r="H817" s="69"/>
      <c r="I817" s="69"/>
      <c r="J817" s="69"/>
    </row>
    <row r="818">
      <c r="A818" s="69"/>
      <c r="B818" s="118"/>
      <c r="C818" s="70"/>
      <c r="D818" s="69"/>
      <c r="E818" s="120"/>
      <c r="F818" s="121"/>
      <c r="G818" s="70"/>
      <c r="H818" s="69"/>
      <c r="I818" s="69"/>
      <c r="J818" s="69"/>
    </row>
    <row r="819">
      <c r="A819" s="69"/>
      <c r="B819" s="118"/>
      <c r="C819" s="70"/>
      <c r="D819" s="69"/>
      <c r="E819" s="120"/>
      <c r="F819" s="121"/>
      <c r="G819" s="70"/>
      <c r="H819" s="69"/>
      <c r="I819" s="69"/>
      <c r="J819" s="69"/>
    </row>
    <row r="820">
      <c r="A820" s="69"/>
      <c r="B820" s="118"/>
      <c r="C820" s="70"/>
      <c r="D820" s="69"/>
      <c r="E820" s="120"/>
      <c r="F820" s="121"/>
      <c r="G820" s="70"/>
      <c r="H820" s="69"/>
      <c r="I820" s="69"/>
      <c r="J820" s="69"/>
    </row>
    <row r="821">
      <c r="A821" s="69"/>
      <c r="B821" s="118"/>
      <c r="C821" s="70"/>
      <c r="D821" s="69"/>
      <c r="E821" s="120"/>
      <c r="F821" s="121"/>
      <c r="G821" s="70"/>
      <c r="H821" s="69"/>
      <c r="I821" s="69"/>
      <c r="J821" s="69"/>
    </row>
    <row r="822">
      <c r="A822" s="69"/>
      <c r="B822" s="118"/>
      <c r="C822" s="70"/>
      <c r="D822" s="69"/>
      <c r="E822" s="120"/>
      <c r="F822" s="121"/>
      <c r="G822" s="70"/>
      <c r="H822" s="69"/>
      <c r="I822" s="69"/>
      <c r="J822" s="69"/>
    </row>
    <row r="823">
      <c r="A823" s="69"/>
      <c r="B823" s="118"/>
      <c r="C823" s="70"/>
      <c r="D823" s="69"/>
      <c r="E823" s="120"/>
      <c r="F823" s="121"/>
      <c r="G823" s="70"/>
      <c r="H823" s="69"/>
      <c r="I823" s="69"/>
      <c r="J823" s="69"/>
    </row>
    <row r="824">
      <c r="A824" s="69"/>
      <c r="B824" s="118"/>
      <c r="C824" s="70"/>
      <c r="D824" s="69"/>
      <c r="E824" s="120"/>
      <c r="F824" s="121"/>
      <c r="G824" s="70"/>
      <c r="H824" s="69"/>
      <c r="I824" s="69"/>
      <c r="J824" s="69"/>
    </row>
    <row r="825">
      <c r="A825" s="69"/>
      <c r="B825" s="118"/>
      <c r="C825" s="70"/>
      <c r="D825" s="69"/>
      <c r="E825" s="120"/>
      <c r="F825" s="121"/>
      <c r="G825" s="70"/>
      <c r="H825" s="69"/>
      <c r="I825" s="69"/>
      <c r="J825" s="69"/>
    </row>
    <row r="826">
      <c r="A826" s="69"/>
      <c r="B826" s="118"/>
      <c r="C826" s="70"/>
      <c r="D826" s="69"/>
      <c r="E826" s="120"/>
      <c r="F826" s="121"/>
      <c r="G826" s="70"/>
      <c r="H826" s="69"/>
      <c r="I826" s="69"/>
      <c r="J826" s="69"/>
    </row>
    <row r="827">
      <c r="A827" s="69"/>
      <c r="B827" s="118"/>
      <c r="C827" s="70"/>
      <c r="D827" s="69"/>
      <c r="E827" s="120"/>
      <c r="F827" s="121"/>
      <c r="G827" s="70"/>
      <c r="H827" s="69"/>
      <c r="I827" s="69"/>
      <c r="J827" s="69"/>
    </row>
    <row r="828">
      <c r="A828" s="69"/>
      <c r="B828" s="118"/>
      <c r="C828" s="70"/>
      <c r="D828" s="69"/>
      <c r="E828" s="120"/>
      <c r="F828" s="121"/>
      <c r="G828" s="70"/>
      <c r="H828" s="69"/>
      <c r="I828" s="69"/>
      <c r="J828" s="69"/>
    </row>
    <row r="829">
      <c r="A829" s="69"/>
      <c r="B829" s="118"/>
      <c r="C829" s="70"/>
      <c r="D829" s="69"/>
      <c r="E829" s="120"/>
      <c r="F829" s="121"/>
      <c r="G829" s="70"/>
      <c r="H829" s="69"/>
      <c r="I829" s="69"/>
      <c r="J829" s="69"/>
    </row>
    <row r="830">
      <c r="A830" s="69"/>
      <c r="B830" s="118"/>
      <c r="C830" s="70"/>
      <c r="D830" s="69"/>
      <c r="E830" s="120"/>
      <c r="F830" s="121"/>
      <c r="G830" s="70"/>
      <c r="H830" s="69"/>
      <c r="I830" s="69"/>
      <c r="J830" s="69"/>
    </row>
    <row r="831">
      <c r="A831" s="69"/>
      <c r="B831" s="118"/>
      <c r="C831" s="70"/>
      <c r="D831" s="69"/>
      <c r="E831" s="120"/>
      <c r="F831" s="121"/>
      <c r="G831" s="70"/>
      <c r="H831" s="69"/>
      <c r="I831" s="69"/>
      <c r="J831" s="69"/>
    </row>
    <row r="832">
      <c r="A832" s="69"/>
      <c r="B832" s="118"/>
      <c r="C832" s="70"/>
      <c r="D832" s="69"/>
      <c r="E832" s="120"/>
      <c r="F832" s="121"/>
      <c r="G832" s="70"/>
      <c r="H832" s="69"/>
      <c r="I832" s="69"/>
      <c r="J832" s="69"/>
    </row>
    <row r="833">
      <c r="A833" s="69"/>
      <c r="B833" s="118"/>
      <c r="C833" s="70"/>
      <c r="D833" s="69"/>
      <c r="E833" s="120"/>
      <c r="F833" s="121"/>
      <c r="G833" s="70"/>
      <c r="H833" s="69"/>
      <c r="I833" s="69"/>
      <c r="J833" s="69"/>
    </row>
    <row r="834">
      <c r="A834" s="69"/>
      <c r="B834" s="118"/>
      <c r="C834" s="70"/>
      <c r="D834" s="69"/>
      <c r="E834" s="120"/>
      <c r="F834" s="121"/>
      <c r="G834" s="70"/>
      <c r="H834" s="69"/>
      <c r="I834" s="69"/>
      <c r="J834" s="69"/>
    </row>
    <row r="835">
      <c r="A835" s="69"/>
      <c r="B835" s="118"/>
      <c r="C835" s="70"/>
      <c r="D835" s="69"/>
      <c r="E835" s="120"/>
      <c r="F835" s="121"/>
      <c r="G835" s="70"/>
      <c r="H835" s="69"/>
      <c r="I835" s="69"/>
      <c r="J835" s="69"/>
    </row>
    <row r="836">
      <c r="A836" s="69"/>
      <c r="B836" s="118"/>
      <c r="C836" s="70"/>
      <c r="D836" s="69"/>
      <c r="E836" s="120"/>
      <c r="F836" s="121"/>
      <c r="G836" s="70"/>
      <c r="H836" s="69"/>
      <c r="I836" s="69"/>
      <c r="J836" s="69"/>
    </row>
    <row r="837">
      <c r="A837" s="69"/>
      <c r="B837" s="118"/>
      <c r="C837" s="70"/>
      <c r="D837" s="69"/>
      <c r="E837" s="120"/>
      <c r="F837" s="121"/>
      <c r="G837" s="70"/>
      <c r="H837" s="69"/>
      <c r="I837" s="69"/>
      <c r="J837" s="69"/>
    </row>
    <row r="838">
      <c r="A838" s="69"/>
      <c r="B838" s="118"/>
      <c r="C838" s="70"/>
      <c r="D838" s="69"/>
      <c r="E838" s="120"/>
      <c r="F838" s="121"/>
      <c r="G838" s="70"/>
      <c r="H838" s="69"/>
      <c r="I838" s="69"/>
      <c r="J838" s="69"/>
    </row>
    <row r="839">
      <c r="A839" s="69"/>
      <c r="B839" s="118"/>
      <c r="C839" s="70"/>
      <c r="D839" s="69"/>
      <c r="E839" s="120"/>
      <c r="F839" s="121"/>
      <c r="G839" s="70"/>
      <c r="H839" s="69"/>
      <c r="I839" s="69"/>
      <c r="J839" s="69"/>
    </row>
    <row r="840">
      <c r="A840" s="69"/>
      <c r="B840" s="118"/>
      <c r="C840" s="70"/>
      <c r="D840" s="69"/>
      <c r="E840" s="120"/>
      <c r="F840" s="121"/>
      <c r="G840" s="70"/>
      <c r="H840" s="69"/>
      <c r="I840" s="69"/>
      <c r="J840" s="69"/>
    </row>
    <row r="841">
      <c r="A841" s="69"/>
      <c r="B841" s="118"/>
      <c r="C841" s="70"/>
      <c r="D841" s="69"/>
      <c r="E841" s="120"/>
      <c r="F841" s="121"/>
      <c r="G841" s="70"/>
      <c r="H841" s="69"/>
      <c r="I841" s="69"/>
      <c r="J841" s="69"/>
    </row>
    <row r="842">
      <c r="A842" s="69"/>
      <c r="B842" s="118"/>
      <c r="C842" s="70"/>
      <c r="D842" s="69"/>
      <c r="E842" s="120"/>
      <c r="F842" s="121"/>
      <c r="G842" s="70"/>
      <c r="H842" s="69"/>
      <c r="I842" s="69"/>
      <c r="J842" s="69"/>
    </row>
    <row r="843">
      <c r="A843" s="69"/>
      <c r="B843" s="118"/>
      <c r="C843" s="70"/>
      <c r="D843" s="69"/>
      <c r="E843" s="120"/>
      <c r="F843" s="121"/>
      <c r="G843" s="70"/>
      <c r="H843" s="69"/>
      <c r="I843" s="69"/>
      <c r="J843" s="69"/>
    </row>
    <row r="844">
      <c r="A844" s="69"/>
      <c r="B844" s="118"/>
      <c r="C844" s="70"/>
      <c r="D844" s="69"/>
      <c r="E844" s="120"/>
      <c r="F844" s="121"/>
      <c r="G844" s="70"/>
      <c r="H844" s="69"/>
      <c r="I844" s="69"/>
      <c r="J844" s="69"/>
    </row>
    <row r="845">
      <c r="A845" s="69"/>
      <c r="B845" s="118"/>
      <c r="C845" s="70"/>
      <c r="D845" s="69"/>
      <c r="E845" s="120"/>
      <c r="F845" s="121"/>
      <c r="G845" s="70"/>
      <c r="H845" s="69"/>
      <c r="I845" s="69"/>
      <c r="J845" s="69"/>
    </row>
    <row r="846">
      <c r="A846" s="69"/>
      <c r="B846" s="118"/>
      <c r="C846" s="70"/>
      <c r="D846" s="69"/>
      <c r="E846" s="120"/>
      <c r="F846" s="121"/>
      <c r="G846" s="70"/>
      <c r="H846" s="69"/>
      <c r="I846" s="69"/>
      <c r="J846" s="69"/>
    </row>
    <row r="847">
      <c r="A847" s="69"/>
      <c r="B847" s="118"/>
      <c r="C847" s="70"/>
      <c r="D847" s="69"/>
      <c r="E847" s="120"/>
      <c r="F847" s="121"/>
      <c r="G847" s="70"/>
      <c r="H847" s="69"/>
      <c r="I847" s="69"/>
      <c r="J847" s="69"/>
    </row>
    <row r="848">
      <c r="A848" s="69"/>
      <c r="B848" s="118"/>
      <c r="C848" s="70"/>
      <c r="D848" s="69"/>
      <c r="E848" s="120"/>
      <c r="F848" s="121"/>
      <c r="G848" s="70"/>
      <c r="H848" s="69"/>
      <c r="I848" s="69"/>
      <c r="J848" s="69"/>
    </row>
    <row r="849">
      <c r="A849" s="69"/>
      <c r="B849" s="118"/>
      <c r="C849" s="70"/>
      <c r="D849" s="69"/>
      <c r="E849" s="120"/>
      <c r="F849" s="121"/>
      <c r="G849" s="70"/>
      <c r="H849" s="69"/>
      <c r="I849" s="69"/>
      <c r="J849" s="69"/>
    </row>
    <row r="850">
      <c r="A850" s="69"/>
      <c r="B850" s="118"/>
      <c r="C850" s="70"/>
      <c r="D850" s="69"/>
      <c r="E850" s="120"/>
      <c r="F850" s="121"/>
      <c r="G850" s="70"/>
      <c r="H850" s="69"/>
      <c r="I850" s="69"/>
      <c r="J850" s="69"/>
    </row>
    <row r="851">
      <c r="A851" s="69"/>
      <c r="B851" s="118"/>
      <c r="C851" s="70"/>
      <c r="D851" s="69"/>
      <c r="E851" s="120"/>
      <c r="F851" s="121"/>
      <c r="G851" s="70"/>
      <c r="H851" s="69"/>
      <c r="I851" s="69"/>
      <c r="J851" s="69"/>
    </row>
    <row r="852">
      <c r="A852" s="69"/>
      <c r="B852" s="118"/>
      <c r="C852" s="70"/>
      <c r="D852" s="69"/>
      <c r="E852" s="120"/>
      <c r="F852" s="121"/>
      <c r="G852" s="70"/>
      <c r="H852" s="69"/>
      <c r="I852" s="69"/>
      <c r="J852" s="69"/>
    </row>
    <row r="853">
      <c r="A853" s="69"/>
      <c r="B853" s="118"/>
      <c r="C853" s="70"/>
      <c r="D853" s="69"/>
      <c r="E853" s="120"/>
      <c r="F853" s="121"/>
      <c r="G853" s="70"/>
      <c r="H853" s="69"/>
      <c r="I853" s="69"/>
      <c r="J853" s="69"/>
    </row>
    <row r="854">
      <c r="A854" s="69"/>
      <c r="B854" s="118"/>
      <c r="C854" s="70"/>
      <c r="D854" s="69"/>
      <c r="E854" s="120"/>
      <c r="F854" s="121"/>
      <c r="G854" s="70"/>
      <c r="H854" s="69"/>
      <c r="I854" s="69"/>
      <c r="J854" s="69"/>
    </row>
    <row r="855">
      <c r="A855" s="69"/>
      <c r="B855" s="118"/>
      <c r="C855" s="70"/>
      <c r="D855" s="69"/>
      <c r="E855" s="120"/>
      <c r="F855" s="121"/>
      <c r="G855" s="70"/>
      <c r="H855" s="69"/>
      <c r="I855" s="69"/>
      <c r="J855" s="69"/>
    </row>
    <row r="856">
      <c r="A856" s="69"/>
      <c r="B856" s="118"/>
      <c r="C856" s="70"/>
      <c r="D856" s="69"/>
      <c r="E856" s="120"/>
      <c r="F856" s="121"/>
      <c r="G856" s="70"/>
      <c r="H856" s="69"/>
      <c r="I856" s="69"/>
      <c r="J856" s="69"/>
    </row>
    <row r="857">
      <c r="A857" s="69"/>
      <c r="B857" s="118"/>
      <c r="C857" s="70"/>
      <c r="D857" s="69"/>
      <c r="E857" s="120"/>
      <c r="F857" s="121"/>
      <c r="G857" s="70"/>
      <c r="H857" s="69"/>
      <c r="I857" s="69"/>
      <c r="J857" s="69"/>
    </row>
    <row r="858">
      <c r="A858" s="69"/>
      <c r="B858" s="118"/>
      <c r="C858" s="70"/>
      <c r="D858" s="69"/>
      <c r="E858" s="120"/>
      <c r="F858" s="121"/>
      <c r="G858" s="70"/>
      <c r="H858" s="69"/>
      <c r="I858" s="69"/>
      <c r="J858" s="69"/>
    </row>
    <row r="859">
      <c r="A859" s="69"/>
      <c r="B859" s="118"/>
      <c r="C859" s="70"/>
      <c r="D859" s="69"/>
      <c r="E859" s="120"/>
      <c r="F859" s="121"/>
      <c r="G859" s="70"/>
      <c r="H859" s="69"/>
      <c r="I859" s="69"/>
      <c r="J859" s="69"/>
    </row>
    <row r="860">
      <c r="A860" s="69"/>
      <c r="B860" s="118"/>
      <c r="C860" s="70"/>
      <c r="D860" s="69"/>
      <c r="E860" s="120"/>
      <c r="F860" s="121"/>
      <c r="G860" s="70"/>
      <c r="H860" s="69"/>
      <c r="I860" s="69"/>
      <c r="J860" s="69"/>
    </row>
    <row r="861">
      <c r="A861" s="69"/>
      <c r="B861" s="118"/>
      <c r="C861" s="70"/>
      <c r="D861" s="69"/>
      <c r="E861" s="120"/>
      <c r="F861" s="121"/>
      <c r="G861" s="70"/>
      <c r="H861" s="69"/>
      <c r="I861" s="69"/>
      <c r="J861" s="69"/>
    </row>
    <row r="862">
      <c r="A862" s="69"/>
      <c r="B862" s="118"/>
      <c r="C862" s="70"/>
      <c r="D862" s="69"/>
      <c r="E862" s="120"/>
      <c r="F862" s="121"/>
      <c r="G862" s="70"/>
      <c r="H862" s="69"/>
      <c r="I862" s="69"/>
      <c r="J862" s="69"/>
    </row>
    <row r="863">
      <c r="A863" s="69"/>
      <c r="B863" s="118"/>
      <c r="C863" s="70"/>
      <c r="D863" s="69"/>
      <c r="E863" s="120"/>
      <c r="F863" s="121"/>
      <c r="G863" s="70"/>
      <c r="H863" s="69"/>
      <c r="I863" s="69"/>
      <c r="J863" s="69"/>
    </row>
    <row r="864">
      <c r="A864" s="69"/>
      <c r="B864" s="118"/>
      <c r="C864" s="70"/>
      <c r="D864" s="69"/>
      <c r="E864" s="120"/>
      <c r="F864" s="121"/>
      <c r="G864" s="70"/>
      <c r="H864" s="69"/>
      <c r="I864" s="69"/>
      <c r="J864" s="69"/>
    </row>
    <row r="865">
      <c r="A865" s="69"/>
      <c r="B865" s="118"/>
      <c r="C865" s="70"/>
      <c r="D865" s="69"/>
      <c r="E865" s="120"/>
      <c r="F865" s="121"/>
      <c r="G865" s="70"/>
      <c r="H865" s="69"/>
      <c r="I865" s="69"/>
      <c r="J865" s="69"/>
    </row>
    <row r="866">
      <c r="A866" s="69"/>
      <c r="B866" s="118"/>
      <c r="C866" s="70"/>
      <c r="D866" s="69"/>
      <c r="E866" s="120"/>
      <c r="F866" s="121"/>
      <c r="G866" s="70"/>
      <c r="H866" s="69"/>
      <c r="I866" s="69"/>
      <c r="J866" s="69"/>
    </row>
    <row r="867">
      <c r="A867" s="69"/>
      <c r="B867" s="118"/>
      <c r="C867" s="70"/>
      <c r="D867" s="69"/>
      <c r="E867" s="120"/>
      <c r="F867" s="121"/>
      <c r="G867" s="70"/>
      <c r="H867" s="69"/>
      <c r="I867" s="69"/>
      <c r="J867" s="69"/>
    </row>
    <row r="868">
      <c r="A868" s="69"/>
      <c r="B868" s="118"/>
      <c r="C868" s="70"/>
      <c r="D868" s="69"/>
      <c r="E868" s="120"/>
      <c r="F868" s="121"/>
      <c r="G868" s="70"/>
      <c r="H868" s="69"/>
      <c r="I868" s="69"/>
      <c r="J868" s="69"/>
    </row>
    <row r="869">
      <c r="A869" s="69"/>
      <c r="B869" s="118"/>
      <c r="C869" s="70"/>
      <c r="D869" s="69"/>
      <c r="E869" s="120"/>
      <c r="F869" s="121"/>
      <c r="G869" s="70"/>
      <c r="H869" s="69"/>
      <c r="I869" s="69"/>
      <c r="J869" s="69"/>
    </row>
    <row r="870">
      <c r="A870" s="69"/>
      <c r="B870" s="118"/>
      <c r="C870" s="70"/>
      <c r="D870" s="69"/>
      <c r="E870" s="120"/>
      <c r="F870" s="121"/>
      <c r="G870" s="70"/>
      <c r="H870" s="69"/>
      <c r="I870" s="69"/>
      <c r="J870" s="69"/>
    </row>
    <row r="871">
      <c r="A871" s="69"/>
      <c r="B871" s="118"/>
      <c r="C871" s="70"/>
      <c r="D871" s="69"/>
      <c r="E871" s="120"/>
      <c r="F871" s="121"/>
      <c r="G871" s="70"/>
      <c r="H871" s="69"/>
      <c r="I871" s="69"/>
      <c r="J871" s="69"/>
    </row>
    <row r="872">
      <c r="A872" s="69"/>
      <c r="B872" s="118"/>
      <c r="C872" s="70"/>
      <c r="D872" s="69"/>
      <c r="E872" s="120"/>
      <c r="F872" s="121"/>
      <c r="G872" s="70"/>
      <c r="H872" s="69"/>
      <c r="I872" s="69"/>
      <c r="J872" s="69"/>
    </row>
    <row r="873">
      <c r="A873" s="69"/>
      <c r="B873" s="118"/>
      <c r="C873" s="70"/>
      <c r="D873" s="69"/>
      <c r="E873" s="120"/>
      <c r="F873" s="121"/>
      <c r="G873" s="70"/>
      <c r="H873" s="69"/>
      <c r="I873" s="69"/>
      <c r="J873" s="69"/>
    </row>
    <row r="874">
      <c r="A874" s="69"/>
      <c r="B874" s="118"/>
      <c r="C874" s="70"/>
      <c r="D874" s="69"/>
      <c r="E874" s="120"/>
      <c r="F874" s="121"/>
      <c r="G874" s="70"/>
      <c r="H874" s="69"/>
      <c r="I874" s="69"/>
      <c r="J874" s="69"/>
    </row>
    <row r="875">
      <c r="A875" s="69"/>
      <c r="B875" s="118"/>
      <c r="C875" s="70"/>
      <c r="D875" s="69"/>
      <c r="E875" s="120"/>
      <c r="F875" s="121"/>
      <c r="G875" s="70"/>
      <c r="H875" s="69"/>
      <c r="I875" s="69"/>
      <c r="J875" s="69"/>
    </row>
    <row r="876">
      <c r="A876" s="69"/>
      <c r="B876" s="118"/>
      <c r="C876" s="70"/>
      <c r="D876" s="69"/>
      <c r="E876" s="120"/>
      <c r="F876" s="121"/>
      <c r="G876" s="70"/>
      <c r="H876" s="69"/>
      <c r="I876" s="69"/>
      <c r="J876" s="69"/>
    </row>
    <row r="877">
      <c r="A877" s="69"/>
      <c r="B877" s="118"/>
      <c r="C877" s="70"/>
      <c r="D877" s="69"/>
      <c r="E877" s="120"/>
      <c r="F877" s="121"/>
      <c r="G877" s="70"/>
      <c r="H877" s="69"/>
      <c r="I877" s="69"/>
      <c r="J877" s="69"/>
    </row>
    <row r="878">
      <c r="A878" s="69"/>
      <c r="B878" s="118"/>
      <c r="C878" s="70"/>
      <c r="D878" s="69"/>
      <c r="E878" s="120"/>
      <c r="F878" s="121"/>
      <c r="G878" s="70"/>
      <c r="H878" s="69"/>
      <c r="I878" s="69"/>
      <c r="J878" s="69"/>
    </row>
    <row r="879">
      <c r="A879" s="69"/>
      <c r="B879" s="118"/>
      <c r="C879" s="70"/>
      <c r="D879" s="69"/>
      <c r="E879" s="120"/>
      <c r="F879" s="121"/>
      <c r="G879" s="70"/>
      <c r="H879" s="69"/>
      <c r="I879" s="69"/>
      <c r="J879" s="69"/>
    </row>
    <row r="880">
      <c r="A880" s="69"/>
      <c r="B880" s="118"/>
      <c r="C880" s="70"/>
      <c r="D880" s="69"/>
      <c r="E880" s="120"/>
      <c r="F880" s="121"/>
      <c r="G880" s="70"/>
      <c r="H880" s="69"/>
      <c r="I880" s="69"/>
      <c r="J880" s="69"/>
    </row>
    <row r="881">
      <c r="A881" s="69"/>
      <c r="B881" s="118"/>
      <c r="C881" s="70"/>
      <c r="D881" s="69"/>
      <c r="E881" s="120"/>
      <c r="F881" s="121"/>
      <c r="G881" s="70"/>
      <c r="H881" s="69"/>
      <c r="I881" s="69"/>
      <c r="J881" s="69"/>
    </row>
    <row r="882">
      <c r="A882" s="69"/>
      <c r="B882" s="118"/>
      <c r="C882" s="70"/>
      <c r="D882" s="69"/>
      <c r="E882" s="120"/>
      <c r="F882" s="121"/>
      <c r="G882" s="70"/>
      <c r="H882" s="69"/>
      <c r="I882" s="69"/>
      <c r="J882" s="69"/>
    </row>
    <row r="883">
      <c r="A883" s="69"/>
      <c r="B883" s="118"/>
      <c r="C883" s="70"/>
      <c r="D883" s="69"/>
      <c r="E883" s="120"/>
      <c r="F883" s="121"/>
      <c r="G883" s="70"/>
      <c r="H883" s="69"/>
      <c r="I883" s="69"/>
      <c r="J883" s="69"/>
    </row>
    <row r="884">
      <c r="A884" s="69"/>
      <c r="B884" s="118"/>
      <c r="C884" s="70"/>
      <c r="D884" s="69"/>
      <c r="E884" s="120"/>
      <c r="F884" s="121"/>
      <c r="G884" s="70"/>
      <c r="H884" s="69"/>
      <c r="I884" s="69"/>
      <c r="J884" s="69"/>
    </row>
    <row r="885">
      <c r="A885" s="69"/>
      <c r="B885" s="118"/>
      <c r="C885" s="70"/>
      <c r="D885" s="69"/>
      <c r="E885" s="120"/>
      <c r="F885" s="121"/>
      <c r="G885" s="70"/>
      <c r="H885" s="69"/>
      <c r="I885" s="69"/>
      <c r="J885" s="69"/>
    </row>
    <row r="886">
      <c r="A886" s="69"/>
      <c r="B886" s="118"/>
      <c r="C886" s="70"/>
      <c r="D886" s="69"/>
      <c r="E886" s="120"/>
      <c r="F886" s="121"/>
      <c r="G886" s="70"/>
      <c r="H886" s="69"/>
      <c r="I886" s="69"/>
      <c r="J886" s="69"/>
    </row>
    <row r="887">
      <c r="A887" s="69"/>
      <c r="B887" s="118"/>
      <c r="C887" s="70"/>
      <c r="D887" s="69"/>
      <c r="E887" s="120"/>
      <c r="F887" s="121"/>
      <c r="G887" s="70"/>
      <c r="H887" s="69"/>
      <c r="I887" s="69"/>
      <c r="J887" s="69"/>
    </row>
    <row r="888">
      <c r="A888" s="69"/>
      <c r="B888" s="118"/>
      <c r="C888" s="70"/>
      <c r="D888" s="69"/>
      <c r="E888" s="120"/>
      <c r="F888" s="121"/>
      <c r="G888" s="70"/>
      <c r="H888" s="69"/>
      <c r="I888" s="69"/>
      <c r="J888" s="69"/>
    </row>
    <row r="889">
      <c r="A889" s="69"/>
      <c r="B889" s="118"/>
      <c r="C889" s="70"/>
      <c r="D889" s="69"/>
      <c r="E889" s="120"/>
      <c r="F889" s="121"/>
      <c r="G889" s="70"/>
      <c r="H889" s="69"/>
      <c r="I889" s="69"/>
      <c r="J889" s="69"/>
    </row>
    <row r="890">
      <c r="A890" s="69"/>
      <c r="B890" s="118"/>
      <c r="C890" s="70"/>
      <c r="D890" s="69"/>
      <c r="E890" s="120"/>
      <c r="F890" s="121"/>
      <c r="G890" s="70"/>
      <c r="H890" s="69"/>
      <c r="I890" s="69"/>
      <c r="J890" s="69"/>
    </row>
    <row r="891">
      <c r="A891" s="69"/>
      <c r="B891" s="118"/>
      <c r="C891" s="70"/>
      <c r="D891" s="69"/>
      <c r="E891" s="120"/>
      <c r="F891" s="121"/>
      <c r="G891" s="70"/>
      <c r="H891" s="69"/>
      <c r="I891" s="69"/>
      <c r="J891" s="69"/>
    </row>
    <row r="892">
      <c r="A892" s="69"/>
      <c r="B892" s="118"/>
      <c r="C892" s="70"/>
      <c r="D892" s="69"/>
      <c r="E892" s="120"/>
      <c r="F892" s="121"/>
      <c r="G892" s="70"/>
      <c r="H892" s="69"/>
      <c r="I892" s="69"/>
      <c r="J892" s="69"/>
    </row>
    <row r="893">
      <c r="A893" s="69"/>
      <c r="B893" s="118"/>
      <c r="C893" s="70"/>
      <c r="D893" s="69"/>
      <c r="E893" s="120"/>
      <c r="F893" s="121"/>
      <c r="G893" s="70"/>
      <c r="H893" s="69"/>
      <c r="I893" s="69"/>
      <c r="J893" s="69"/>
    </row>
    <row r="894">
      <c r="A894" s="69"/>
      <c r="B894" s="118"/>
      <c r="C894" s="70"/>
      <c r="D894" s="69"/>
      <c r="E894" s="120"/>
      <c r="F894" s="121"/>
      <c r="G894" s="70"/>
      <c r="H894" s="69"/>
      <c r="I894" s="69"/>
      <c r="J894" s="69"/>
    </row>
    <row r="895">
      <c r="A895" s="69"/>
      <c r="B895" s="118"/>
      <c r="C895" s="70"/>
      <c r="D895" s="69"/>
      <c r="E895" s="120"/>
      <c r="F895" s="121"/>
      <c r="G895" s="70"/>
      <c r="H895" s="69"/>
      <c r="I895" s="69"/>
      <c r="J895" s="69"/>
    </row>
    <row r="896">
      <c r="A896" s="69"/>
      <c r="B896" s="118"/>
      <c r="C896" s="70"/>
      <c r="D896" s="69"/>
      <c r="E896" s="120"/>
      <c r="F896" s="121"/>
      <c r="G896" s="70"/>
      <c r="H896" s="69"/>
      <c r="I896" s="69"/>
      <c r="J896" s="69"/>
    </row>
    <row r="897">
      <c r="A897" s="69"/>
      <c r="B897" s="118"/>
      <c r="C897" s="70"/>
      <c r="D897" s="69"/>
      <c r="E897" s="120"/>
      <c r="F897" s="121"/>
      <c r="G897" s="70"/>
      <c r="H897" s="69"/>
      <c r="I897" s="69"/>
      <c r="J897" s="69"/>
    </row>
    <row r="898">
      <c r="A898" s="69"/>
      <c r="B898" s="118"/>
      <c r="C898" s="70"/>
      <c r="D898" s="69"/>
      <c r="E898" s="120"/>
      <c r="F898" s="121"/>
      <c r="G898" s="70"/>
      <c r="H898" s="69"/>
      <c r="I898" s="69"/>
      <c r="J898" s="69"/>
    </row>
    <row r="899">
      <c r="A899" s="69"/>
      <c r="B899" s="118"/>
      <c r="C899" s="70"/>
      <c r="D899" s="69"/>
      <c r="E899" s="120"/>
      <c r="F899" s="121"/>
      <c r="G899" s="70"/>
      <c r="H899" s="69"/>
      <c r="I899" s="69"/>
      <c r="J899" s="69"/>
    </row>
    <row r="900">
      <c r="A900" s="69"/>
      <c r="B900" s="118"/>
      <c r="C900" s="70"/>
      <c r="D900" s="69"/>
      <c r="E900" s="120"/>
      <c r="F900" s="121"/>
      <c r="G900" s="70"/>
      <c r="H900" s="69"/>
      <c r="I900" s="69"/>
      <c r="J900" s="69"/>
    </row>
    <row r="901">
      <c r="A901" s="69"/>
      <c r="B901" s="118"/>
      <c r="C901" s="70"/>
      <c r="D901" s="69"/>
      <c r="E901" s="120"/>
      <c r="F901" s="121"/>
      <c r="G901" s="70"/>
      <c r="H901" s="69"/>
      <c r="I901" s="69"/>
      <c r="J901" s="69"/>
    </row>
    <row r="902">
      <c r="A902" s="69"/>
      <c r="B902" s="118"/>
      <c r="C902" s="70"/>
      <c r="D902" s="69"/>
      <c r="E902" s="120"/>
      <c r="F902" s="121"/>
      <c r="G902" s="70"/>
      <c r="H902" s="69"/>
      <c r="I902" s="69"/>
      <c r="J902" s="69"/>
    </row>
    <row r="903">
      <c r="A903" s="69"/>
      <c r="B903" s="118"/>
      <c r="C903" s="70"/>
      <c r="D903" s="69"/>
      <c r="E903" s="120"/>
      <c r="F903" s="121"/>
      <c r="G903" s="70"/>
      <c r="H903" s="69"/>
      <c r="I903" s="69"/>
      <c r="J903" s="69"/>
    </row>
    <row r="904">
      <c r="A904" s="69"/>
      <c r="B904" s="118"/>
      <c r="C904" s="70"/>
      <c r="D904" s="69"/>
      <c r="E904" s="120"/>
      <c r="F904" s="121"/>
      <c r="G904" s="70"/>
      <c r="H904" s="69"/>
      <c r="I904" s="69"/>
      <c r="J904" s="69"/>
    </row>
    <row r="905">
      <c r="A905" s="69"/>
      <c r="B905" s="118"/>
      <c r="C905" s="70"/>
      <c r="D905" s="69"/>
      <c r="E905" s="120"/>
      <c r="F905" s="121"/>
      <c r="G905" s="70"/>
      <c r="H905" s="69"/>
      <c r="I905" s="69"/>
      <c r="J905" s="69"/>
    </row>
    <row r="906">
      <c r="A906" s="69"/>
      <c r="B906" s="118"/>
      <c r="C906" s="70"/>
      <c r="D906" s="69"/>
      <c r="E906" s="120"/>
      <c r="F906" s="121"/>
      <c r="G906" s="70"/>
      <c r="H906" s="69"/>
      <c r="I906" s="69"/>
      <c r="J906" s="69"/>
    </row>
    <row r="907">
      <c r="A907" s="69"/>
      <c r="B907" s="118"/>
      <c r="C907" s="70"/>
      <c r="D907" s="69"/>
      <c r="E907" s="120"/>
      <c r="F907" s="121"/>
      <c r="G907" s="70"/>
      <c r="H907" s="69"/>
      <c r="I907" s="69"/>
      <c r="J907" s="69"/>
    </row>
    <row r="908">
      <c r="A908" s="69"/>
      <c r="B908" s="118"/>
      <c r="C908" s="70"/>
      <c r="D908" s="69"/>
      <c r="E908" s="120"/>
      <c r="F908" s="121"/>
      <c r="G908" s="70"/>
      <c r="H908" s="69"/>
      <c r="I908" s="69"/>
      <c r="J908" s="69"/>
    </row>
    <row r="909">
      <c r="A909" s="69"/>
      <c r="B909" s="118"/>
      <c r="C909" s="70"/>
      <c r="D909" s="69"/>
      <c r="E909" s="120"/>
      <c r="F909" s="121"/>
      <c r="G909" s="70"/>
      <c r="H909" s="69"/>
      <c r="I909" s="69"/>
      <c r="J909" s="69"/>
    </row>
    <row r="910">
      <c r="A910" s="69"/>
      <c r="B910" s="118"/>
      <c r="C910" s="70"/>
      <c r="D910" s="69"/>
      <c r="E910" s="120"/>
      <c r="F910" s="121"/>
      <c r="G910" s="70"/>
      <c r="H910" s="69"/>
      <c r="I910" s="69"/>
      <c r="J910" s="69"/>
    </row>
    <row r="911">
      <c r="A911" s="69"/>
      <c r="B911" s="118"/>
      <c r="C911" s="70"/>
      <c r="D911" s="69"/>
      <c r="E911" s="120"/>
      <c r="F911" s="121"/>
      <c r="G911" s="70"/>
      <c r="H911" s="69"/>
      <c r="I911" s="69"/>
      <c r="J911" s="69"/>
    </row>
    <row r="912">
      <c r="A912" s="69"/>
      <c r="B912" s="118"/>
      <c r="C912" s="70"/>
      <c r="D912" s="69"/>
      <c r="E912" s="120"/>
      <c r="F912" s="121"/>
      <c r="G912" s="70"/>
      <c r="H912" s="69"/>
      <c r="I912" s="69"/>
      <c r="J912" s="69"/>
    </row>
    <row r="913">
      <c r="A913" s="69"/>
      <c r="B913" s="118"/>
      <c r="C913" s="70"/>
      <c r="D913" s="69"/>
      <c r="E913" s="120"/>
      <c r="F913" s="121"/>
      <c r="G913" s="70"/>
      <c r="H913" s="69"/>
      <c r="I913" s="69"/>
      <c r="J913" s="69"/>
    </row>
    <row r="914">
      <c r="A914" s="69"/>
      <c r="B914" s="118"/>
      <c r="C914" s="70"/>
      <c r="D914" s="69"/>
      <c r="E914" s="120"/>
      <c r="F914" s="121"/>
      <c r="G914" s="70"/>
      <c r="H914" s="69"/>
      <c r="I914" s="69"/>
      <c r="J914" s="69"/>
    </row>
    <row r="915">
      <c r="A915" s="69"/>
      <c r="B915" s="118"/>
      <c r="C915" s="70"/>
      <c r="D915" s="69"/>
      <c r="E915" s="120"/>
      <c r="F915" s="121"/>
      <c r="G915" s="70"/>
      <c r="H915" s="69"/>
      <c r="I915" s="69"/>
      <c r="J915" s="69"/>
    </row>
    <row r="916">
      <c r="A916" s="69"/>
      <c r="B916" s="118"/>
      <c r="C916" s="70"/>
      <c r="D916" s="69"/>
      <c r="E916" s="120"/>
      <c r="F916" s="121"/>
      <c r="G916" s="70"/>
      <c r="H916" s="69"/>
      <c r="I916" s="69"/>
      <c r="J916" s="69"/>
    </row>
    <row r="917">
      <c r="A917" s="69"/>
      <c r="B917" s="118"/>
      <c r="C917" s="70"/>
      <c r="D917" s="69"/>
      <c r="E917" s="120"/>
      <c r="F917" s="121"/>
      <c r="G917" s="70"/>
      <c r="H917" s="69"/>
      <c r="I917" s="69"/>
      <c r="J917" s="69"/>
    </row>
    <row r="918">
      <c r="A918" s="69"/>
      <c r="B918" s="118"/>
      <c r="C918" s="70"/>
      <c r="D918" s="69"/>
      <c r="E918" s="120"/>
      <c r="F918" s="121"/>
      <c r="G918" s="70"/>
      <c r="H918" s="69"/>
      <c r="I918" s="69"/>
      <c r="J918" s="69"/>
    </row>
    <row r="919">
      <c r="A919" s="69"/>
      <c r="B919" s="118"/>
      <c r="C919" s="70"/>
      <c r="D919" s="69"/>
      <c r="E919" s="120"/>
      <c r="F919" s="121"/>
      <c r="G919" s="70"/>
      <c r="H919" s="69"/>
      <c r="I919" s="69"/>
      <c r="J919" s="69"/>
    </row>
    <row r="920">
      <c r="A920" s="69"/>
      <c r="B920" s="118"/>
      <c r="C920" s="70"/>
      <c r="D920" s="69"/>
      <c r="E920" s="120"/>
      <c r="F920" s="121"/>
      <c r="G920" s="70"/>
      <c r="H920" s="69"/>
      <c r="I920" s="69"/>
      <c r="J920" s="69"/>
    </row>
    <row r="921">
      <c r="A921" s="69"/>
      <c r="B921" s="118"/>
      <c r="C921" s="70"/>
      <c r="D921" s="69"/>
      <c r="E921" s="120"/>
      <c r="F921" s="121"/>
      <c r="G921" s="70"/>
      <c r="H921" s="69"/>
      <c r="I921" s="69"/>
      <c r="J921" s="69"/>
    </row>
    <row r="922">
      <c r="A922" s="69"/>
      <c r="B922" s="118"/>
      <c r="C922" s="70"/>
      <c r="D922" s="69"/>
      <c r="E922" s="120"/>
      <c r="F922" s="121"/>
      <c r="G922" s="70"/>
      <c r="H922" s="69"/>
      <c r="I922" s="69"/>
      <c r="J922" s="69"/>
    </row>
    <row r="923">
      <c r="A923" s="69"/>
      <c r="B923" s="118"/>
      <c r="C923" s="70"/>
      <c r="D923" s="69"/>
      <c r="E923" s="120"/>
      <c r="F923" s="121"/>
      <c r="G923" s="70"/>
      <c r="H923" s="69"/>
      <c r="I923" s="69"/>
      <c r="J923" s="69"/>
    </row>
    <row r="924">
      <c r="A924" s="69"/>
      <c r="B924" s="118"/>
      <c r="C924" s="70"/>
      <c r="D924" s="69"/>
      <c r="E924" s="120"/>
      <c r="F924" s="121"/>
      <c r="G924" s="70"/>
      <c r="H924" s="69"/>
      <c r="I924" s="69"/>
      <c r="J924" s="69"/>
    </row>
    <row r="925">
      <c r="A925" s="69"/>
      <c r="B925" s="118"/>
      <c r="C925" s="70"/>
      <c r="D925" s="69"/>
      <c r="E925" s="120"/>
      <c r="F925" s="121"/>
      <c r="G925" s="70"/>
      <c r="H925" s="69"/>
      <c r="I925" s="69"/>
      <c r="J925" s="69"/>
    </row>
    <row r="926">
      <c r="A926" s="69"/>
      <c r="B926" s="118"/>
      <c r="C926" s="70"/>
      <c r="D926" s="69"/>
      <c r="E926" s="120"/>
      <c r="F926" s="121"/>
      <c r="G926" s="70"/>
      <c r="H926" s="69"/>
      <c r="I926" s="69"/>
      <c r="J926" s="69"/>
    </row>
    <row r="927">
      <c r="A927" s="69"/>
      <c r="B927" s="118"/>
      <c r="C927" s="70"/>
      <c r="D927" s="69"/>
      <c r="E927" s="120"/>
      <c r="F927" s="121"/>
      <c r="G927" s="70"/>
      <c r="H927" s="69"/>
      <c r="I927" s="69"/>
      <c r="J927" s="69"/>
    </row>
    <row r="928">
      <c r="A928" s="69"/>
      <c r="B928" s="118"/>
      <c r="C928" s="70"/>
      <c r="D928" s="69"/>
      <c r="E928" s="120"/>
      <c r="F928" s="121"/>
      <c r="G928" s="70"/>
      <c r="H928" s="69"/>
      <c r="I928" s="69"/>
      <c r="J928" s="69"/>
    </row>
    <row r="929">
      <c r="A929" s="69"/>
      <c r="B929" s="118"/>
      <c r="C929" s="70"/>
      <c r="D929" s="69"/>
      <c r="E929" s="120"/>
      <c r="F929" s="121"/>
      <c r="G929" s="70"/>
      <c r="H929" s="69"/>
      <c r="I929" s="69"/>
      <c r="J929" s="69"/>
    </row>
    <row r="930">
      <c r="A930" s="69"/>
      <c r="B930" s="118"/>
      <c r="C930" s="70"/>
      <c r="D930" s="69"/>
      <c r="E930" s="120"/>
      <c r="F930" s="121"/>
      <c r="G930" s="70"/>
      <c r="H930" s="69"/>
      <c r="I930" s="69"/>
      <c r="J930" s="69"/>
    </row>
    <row r="931">
      <c r="A931" s="69"/>
      <c r="B931" s="118"/>
      <c r="C931" s="70"/>
      <c r="D931" s="69"/>
      <c r="E931" s="120"/>
      <c r="F931" s="121"/>
      <c r="G931" s="70"/>
      <c r="H931" s="69"/>
      <c r="I931" s="69"/>
      <c r="J931" s="69"/>
    </row>
    <row r="932">
      <c r="A932" s="69"/>
      <c r="B932" s="118"/>
      <c r="C932" s="70"/>
      <c r="D932" s="69"/>
      <c r="E932" s="120"/>
      <c r="F932" s="121"/>
      <c r="G932" s="70"/>
      <c r="H932" s="69"/>
      <c r="I932" s="69"/>
      <c r="J932" s="69"/>
    </row>
    <row r="933">
      <c r="A933" s="69"/>
      <c r="B933" s="118"/>
      <c r="C933" s="70"/>
      <c r="D933" s="69"/>
      <c r="E933" s="120"/>
      <c r="F933" s="121"/>
      <c r="G933" s="70"/>
      <c r="H933" s="69"/>
      <c r="I933" s="69"/>
      <c r="J933" s="69"/>
    </row>
    <row r="934">
      <c r="A934" s="69"/>
      <c r="B934" s="118"/>
      <c r="C934" s="70"/>
      <c r="D934" s="69"/>
      <c r="E934" s="120"/>
      <c r="F934" s="121"/>
      <c r="G934" s="70"/>
      <c r="H934" s="69"/>
      <c r="I934" s="69"/>
      <c r="J934" s="69"/>
    </row>
    <row r="935">
      <c r="A935" s="69"/>
      <c r="B935" s="118"/>
      <c r="C935" s="70"/>
      <c r="D935" s="69"/>
      <c r="E935" s="120"/>
      <c r="F935" s="121"/>
      <c r="G935" s="70"/>
      <c r="H935" s="69"/>
      <c r="I935" s="69"/>
      <c r="J935" s="69"/>
    </row>
    <row r="936">
      <c r="A936" s="69"/>
      <c r="B936" s="118"/>
      <c r="C936" s="70"/>
      <c r="D936" s="69"/>
      <c r="E936" s="120"/>
      <c r="F936" s="121"/>
      <c r="G936" s="70"/>
      <c r="H936" s="69"/>
      <c r="I936" s="69"/>
      <c r="J936" s="69"/>
    </row>
    <row r="937">
      <c r="A937" s="69"/>
      <c r="B937" s="118"/>
      <c r="C937" s="70"/>
      <c r="D937" s="69"/>
      <c r="E937" s="120"/>
      <c r="F937" s="121"/>
      <c r="G937" s="70"/>
      <c r="H937" s="69"/>
      <c r="I937" s="69"/>
      <c r="J937" s="69"/>
    </row>
    <row r="938">
      <c r="A938" s="69"/>
      <c r="B938" s="118"/>
      <c r="C938" s="70"/>
      <c r="D938" s="69"/>
      <c r="E938" s="120"/>
      <c r="F938" s="121"/>
      <c r="G938" s="70"/>
      <c r="H938" s="69"/>
      <c r="I938" s="69"/>
      <c r="J938" s="69"/>
    </row>
    <row r="939">
      <c r="A939" s="69"/>
      <c r="B939" s="118"/>
      <c r="C939" s="70"/>
      <c r="D939" s="69"/>
      <c r="E939" s="120"/>
      <c r="F939" s="121"/>
      <c r="G939" s="70"/>
      <c r="H939" s="69"/>
      <c r="I939" s="69"/>
      <c r="J939" s="69"/>
    </row>
    <row r="940">
      <c r="A940" s="69"/>
      <c r="B940" s="118"/>
      <c r="C940" s="70"/>
      <c r="D940" s="69"/>
      <c r="E940" s="120"/>
      <c r="F940" s="121"/>
      <c r="G940" s="70"/>
      <c r="H940" s="69"/>
      <c r="I940" s="69"/>
      <c r="J940" s="69"/>
    </row>
    <row r="941">
      <c r="A941" s="69"/>
      <c r="B941" s="118"/>
      <c r="C941" s="70"/>
      <c r="D941" s="69"/>
      <c r="E941" s="120"/>
      <c r="F941" s="121"/>
      <c r="G941" s="70"/>
      <c r="H941" s="69"/>
      <c r="I941" s="69"/>
      <c r="J941" s="69"/>
    </row>
    <row r="942">
      <c r="A942" s="69"/>
      <c r="B942" s="118"/>
      <c r="C942" s="70"/>
      <c r="D942" s="69"/>
      <c r="E942" s="120"/>
      <c r="F942" s="121"/>
      <c r="G942" s="70"/>
      <c r="H942" s="69"/>
      <c r="I942" s="69"/>
      <c r="J942" s="69"/>
    </row>
    <row r="943">
      <c r="A943" s="69"/>
      <c r="B943" s="118"/>
      <c r="C943" s="70"/>
      <c r="D943" s="69"/>
      <c r="E943" s="120"/>
      <c r="F943" s="121"/>
      <c r="G943" s="70"/>
      <c r="H943" s="69"/>
      <c r="I943" s="69"/>
      <c r="J943" s="69"/>
    </row>
    <row r="944">
      <c r="A944" s="69"/>
      <c r="B944" s="118"/>
      <c r="C944" s="70"/>
      <c r="D944" s="69"/>
      <c r="E944" s="120"/>
      <c r="F944" s="121"/>
      <c r="G944" s="70"/>
      <c r="H944" s="69"/>
      <c r="I944" s="69"/>
      <c r="J944" s="69"/>
    </row>
    <row r="945">
      <c r="A945" s="69"/>
      <c r="B945" s="118"/>
      <c r="C945" s="70"/>
      <c r="D945" s="69"/>
      <c r="E945" s="120"/>
      <c r="F945" s="121"/>
      <c r="G945" s="70"/>
      <c r="H945" s="69"/>
      <c r="I945" s="69"/>
      <c r="J945" s="69"/>
    </row>
    <row r="946">
      <c r="A946" s="69"/>
      <c r="B946" s="118"/>
      <c r="C946" s="70"/>
      <c r="D946" s="69"/>
      <c r="E946" s="120"/>
      <c r="F946" s="121"/>
      <c r="G946" s="70"/>
      <c r="H946" s="69"/>
      <c r="I946" s="69"/>
      <c r="J946" s="69"/>
    </row>
    <row r="947">
      <c r="A947" s="69"/>
      <c r="B947" s="118"/>
      <c r="C947" s="70"/>
      <c r="D947" s="69"/>
      <c r="E947" s="120"/>
      <c r="F947" s="121"/>
      <c r="G947" s="70"/>
      <c r="H947" s="69"/>
      <c r="I947" s="69"/>
      <c r="J947" s="69"/>
    </row>
    <row r="948">
      <c r="A948" s="69"/>
      <c r="B948" s="118"/>
      <c r="C948" s="70"/>
      <c r="D948" s="69"/>
      <c r="E948" s="120"/>
      <c r="F948" s="121"/>
      <c r="G948" s="70"/>
      <c r="H948" s="69"/>
      <c r="I948" s="69"/>
      <c r="J948" s="69"/>
    </row>
    <row r="949">
      <c r="A949" s="69"/>
      <c r="B949" s="118"/>
      <c r="C949" s="70"/>
      <c r="D949" s="69"/>
      <c r="E949" s="120"/>
      <c r="F949" s="121"/>
      <c r="G949" s="70"/>
      <c r="H949" s="69"/>
      <c r="I949" s="69"/>
      <c r="J949" s="69"/>
    </row>
    <row r="950">
      <c r="A950" s="69"/>
      <c r="B950" s="118"/>
      <c r="C950" s="70"/>
      <c r="D950" s="69"/>
      <c r="E950" s="120"/>
      <c r="F950" s="121"/>
      <c r="G950" s="70"/>
      <c r="H950" s="69"/>
      <c r="I950" s="69"/>
      <c r="J950" s="69"/>
    </row>
    <row r="951">
      <c r="A951" s="69"/>
      <c r="B951" s="118"/>
      <c r="C951" s="70"/>
      <c r="D951" s="69"/>
      <c r="E951" s="120"/>
      <c r="F951" s="121"/>
      <c r="G951" s="70"/>
      <c r="H951" s="69"/>
      <c r="I951" s="69"/>
      <c r="J951" s="69"/>
    </row>
    <row r="952">
      <c r="A952" s="69"/>
      <c r="B952" s="118"/>
      <c r="C952" s="70"/>
      <c r="D952" s="69"/>
      <c r="E952" s="120"/>
      <c r="F952" s="121"/>
      <c r="G952" s="70"/>
      <c r="H952" s="69"/>
      <c r="I952" s="69"/>
      <c r="J952" s="69"/>
    </row>
    <row r="953">
      <c r="A953" s="69"/>
      <c r="B953" s="118"/>
      <c r="C953" s="70"/>
      <c r="D953" s="69"/>
      <c r="E953" s="120"/>
      <c r="F953" s="121"/>
      <c r="G953" s="70"/>
      <c r="H953" s="69"/>
      <c r="I953" s="69"/>
      <c r="J953" s="69"/>
    </row>
    <row r="954">
      <c r="A954" s="69"/>
      <c r="B954" s="118"/>
      <c r="C954" s="70"/>
      <c r="D954" s="69"/>
      <c r="E954" s="120"/>
      <c r="F954" s="121"/>
      <c r="G954" s="70"/>
      <c r="H954" s="69"/>
      <c r="I954" s="69"/>
      <c r="J954" s="69"/>
    </row>
    <row r="955">
      <c r="A955" s="69"/>
      <c r="B955" s="118"/>
      <c r="C955" s="70"/>
      <c r="D955" s="69"/>
      <c r="E955" s="120"/>
      <c r="F955" s="121"/>
      <c r="G955" s="70"/>
      <c r="H955" s="69"/>
      <c r="I955" s="69"/>
      <c r="J955" s="69"/>
    </row>
    <row r="956">
      <c r="A956" s="69"/>
      <c r="B956" s="118"/>
      <c r="C956" s="70"/>
      <c r="D956" s="69"/>
      <c r="E956" s="120"/>
      <c r="F956" s="121"/>
      <c r="G956" s="70"/>
      <c r="H956" s="69"/>
      <c r="I956" s="69"/>
      <c r="J956" s="69"/>
    </row>
    <row r="957">
      <c r="A957" s="69"/>
      <c r="B957" s="118"/>
      <c r="C957" s="70"/>
      <c r="D957" s="69"/>
      <c r="E957" s="120"/>
      <c r="F957" s="121"/>
      <c r="G957" s="70"/>
      <c r="H957" s="69"/>
      <c r="I957" s="69"/>
      <c r="J957" s="69"/>
    </row>
    <row r="958">
      <c r="A958" s="69"/>
      <c r="B958" s="118"/>
      <c r="C958" s="70"/>
      <c r="D958" s="69"/>
      <c r="E958" s="120"/>
      <c r="F958" s="121"/>
      <c r="G958" s="70"/>
      <c r="H958" s="69"/>
      <c r="I958" s="69"/>
      <c r="J958" s="69"/>
    </row>
    <row r="959">
      <c r="A959" s="69"/>
      <c r="B959" s="118"/>
      <c r="C959" s="70"/>
      <c r="D959" s="69"/>
      <c r="E959" s="120"/>
      <c r="F959" s="121"/>
      <c r="G959" s="70"/>
      <c r="H959" s="69"/>
      <c r="I959" s="69"/>
      <c r="J959" s="69"/>
    </row>
    <row r="960">
      <c r="A960" s="69"/>
      <c r="B960" s="118"/>
      <c r="C960" s="70"/>
      <c r="D960" s="69"/>
      <c r="E960" s="120"/>
      <c r="F960" s="121"/>
      <c r="G960" s="70"/>
      <c r="H960" s="69"/>
      <c r="I960" s="69"/>
      <c r="J960" s="69"/>
    </row>
    <row r="961">
      <c r="A961" s="69"/>
      <c r="B961" s="118"/>
      <c r="C961" s="70"/>
      <c r="D961" s="69"/>
      <c r="E961" s="120"/>
      <c r="F961" s="121"/>
      <c r="G961" s="70"/>
      <c r="H961" s="69"/>
      <c r="I961" s="69"/>
      <c r="J961" s="69"/>
    </row>
    <row r="962">
      <c r="A962" s="69"/>
      <c r="B962" s="118"/>
      <c r="C962" s="70"/>
      <c r="D962" s="69"/>
      <c r="E962" s="120"/>
      <c r="F962" s="121"/>
      <c r="G962" s="70"/>
      <c r="H962" s="69"/>
      <c r="I962" s="69"/>
      <c r="J962" s="69"/>
    </row>
    <row r="963">
      <c r="A963" s="69"/>
      <c r="B963" s="118"/>
      <c r="C963" s="70"/>
      <c r="D963" s="69"/>
      <c r="E963" s="120"/>
      <c r="F963" s="121"/>
      <c r="G963" s="70"/>
      <c r="H963" s="69"/>
      <c r="I963" s="69"/>
      <c r="J963" s="69"/>
    </row>
    <row r="964">
      <c r="A964" s="69"/>
      <c r="B964" s="118"/>
      <c r="C964" s="70"/>
      <c r="D964" s="69"/>
      <c r="E964" s="120"/>
      <c r="F964" s="121"/>
      <c r="G964" s="70"/>
      <c r="H964" s="69"/>
      <c r="I964" s="69"/>
      <c r="J964" s="69"/>
    </row>
    <row r="965">
      <c r="A965" s="69"/>
      <c r="B965" s="118"/>
      <c r="C965" s="70"/>
      <c r="D965" s="69"/>
      <c r="E965" s="120"/>
      <c r="F965" s="121"/>
      <c r="G965" s="70"/>
      <c r="H965" s="69"/>
      <c r="I965" s="69"/>
      <c r="J965" s="69"/>
    </row>
    <row r="966">
      <c r="A966" s="69"/>
      <c r="B966" s="118"/>
      <c r="C966" s="70"/>
      <c r="D966" s="69"/>
      <c r="E966" s="120"/>
      <c r="F966" s="121"/>
      <c r="G966" s="70"/>
      <c r="H966" s="69"/>
      <c r="I966" s="69"/>
      <c r="J966" s="69"/>
    </row>
    <row r="967">
      <c r="A967" s="69"/>
      <c r="B967" s="118"/>
      <c r="C967" s="70"/>
      <c r="D967" s="69"/>
      <c r="E967" s="120"/>
      <c r="F967" s="121"/>
      <c r="G967" s="70"/>
      <c r="H967" s="69"/>
      <c r="I967" s="69"/>
      <c r="J967" s="69"/>
    </row>
    <row r="968">
      <c r="A968" s="69"/>
      <c r="B968" s="118"/>
      <c r="C968" s="70"/>
      <c r="D968" s="69"/>
      <c r="E968" s="120"/>
      <c r="F968" s="121"/>
      <c r="G968" s="70"/>
      <c r="H968" s="69"/>
      <c r="I968" s="69"/>
      <c r="J968" s="69"/>
    </row>
    <row r="969">
      <c r="A969" s="69"/>
      <c r="B969" s="118"/>
      <c r="C969" s="70"/>
      <c r="D969" s="69"/>
      <c r="E969" s="120"/>
      <c r="F969" s="121"/>
      <c r="G969" s="70"/>
      <c r="H969" s="69"/>
      <c r="I969" s="69"/>
      <c r="J969" s="69"/>
    </row>
    <row r="970">
      <c r="A970" s="69"/>
      <c r="B970" s="118"/>
      <c r="C970" s="70"/>
      <c r="D970" s="69"/>
      <c r="E970" s="120"/>
      <c r="F970" s="121"/>
      <c r="G970" s="70"/>
      <c r="H970" s="69"/>
      <c r="I970" s="69"/>
      <c r="J970" s="69"/>
    </row>
    <row r="971">
      <c r="A971" s="69"/>
      <c r="B971" s="118"/>
      <c r="C971" s="70"/>
      <c r="D971" s="69"/>
      <c r="E971" s="120"/>
      <c r="F971" s="121"/>
      <c r="G971" s="70"/>
      <c r="H971" s="69"/>
      <c r="I971" s="69"/>
      <c r="J971" s="69"/>
    </row>
    <row r="972">
      <c r="A972" s="69"/>
      <c r="B972" s="118"/>
      <c r="C972" s="70"/>
      <c r="D972" s="69"/>
      <c r="E972" s="120"/>
      <c r="F972" s="121"/>
      <c r="G972" s="70"/>
      <c r="H972" s="69"/>
      <c r="I972" s="69"/>
      <c r="J972" s="69"/>
    </row>
    <row r="973">
      <c r="A973" s="69"/>
      <c r="B973" s="118"/>
      <c r="C973" s="70"/>
      <c r="D973" s="69"/>
      <c r="E973" s="120"/>
      <c r="F973" s="121"/>
      <c r="G973" s="70"/>
      <c r="H973" s="69"/>
      <c r="I973" s="69"/>
      <c r="J973" s="69"/>
    </row>
    <row r="974">
      <c r="A974" s="69"/>
      <c r="B974" s="118"/>
      <c r="C974" s="70"/>
      <c r="D974" s="69"/>
      <c r="E974" s="120"/>
      <c r="F974" s="121"/>
      <c r="G974" s="70"/>
      <c r="H974" s="69"/>
      <c r="I974" s="69"/>
      <c r="J974" s="69"/>
    </row>
    <row r="975">
      <c r="A975" s="69"/>
      <c r="B975" s="118"/>
      <c r="C975" s="70"/>
      <c r="D975" s="69"/>
      <c r="E975" s="120"/>
      <c r="F975" s="121"/>
      <c r="G975" s="70"/>
      <c r="H975" s="69"/>
      <c r="I975" s="69"/>
      <c r="J975" s="69"/>
    </row>
    <row r="976">
      <c r="A976" s="69"/>
      <c r="B976" s="118"/>
      <c r="C976" s="70"/>
      <c r="D976" s="69"/>
      <c r="E976" s="120"/>
      <c r="F976" s="121"/>
      <c r="G976" s="70"/>
      <c r="H976" s="69"/>
      <c r="I976" s="69"/>
      <c r="J976" s="69"/>
    </row>
    <row r="977">
      <c r="A977" s="69"/>
      <c r="B977" s="118"/>
      <c r="C977" s="70"/>
      <c r="D977" s="69"/>
      <c r="E977" s="120"/>
      <c r="F977" s="121"/>
      <c r="G977" s="70"/>
      <c r="H977" s="69"/>
      <c r="I977" s="69"/>
      <c r="J977" s="69"/>
    </row>
    <row r="978">
      <c r="A978" s="69"/>
      <c r="B978" s="118"/>
      <c r="C978" s="70"/>
      <c r="D978" s="69"/>
      <c r="E978" s="120"/>
      <c r="F978" s="121"/>
      <c r="G978" s="70"/>
      <c r="H978" s="69"/>
      <c r="I978" s="69"/>
      <c r="J978" s="69"/>
    </row>
    <row r="979">
      <c r="A979" s="69"/>
      <c r="B979" s="118"/>
      <c r="C979" s="70"/>
      <c r="D979" s="69"/>
      <c r="E979" s="120"/>
      <c r="F979" s="121"/>
      <c r="G979" s="70"/>
      <c r="H979" s="69"/>
      <c r="I979" s="69"/>
      <c r="J979" s="69"/>
    </row>
    <row r="980">
      <c r="A980" s="69"/>
      <c r="B980" s="118"/>
      <c r="C980" s="70"/>
      <c r="D980" s="69"/>
      <c r="E980" s="120"/>
      <c r="F980" s="121"/>
      <c r="G980" s="70"/>
      <c r="H980" s="69"/>
      <c r="I980" s="69"/>
      <c r="J980" s="69"/>
    </row>
    <row r="981">
      <c r="A981" s="69"/>
      <c r="B981" s="118"/>
      <c r="C981" s="70"/>
      <c r="D981" s="69"/>
      <c r="E981" s="120"/>
      <c r="F981" s="121"/>
      <c r="G981" s="70"/>
      <c r="H981" s="69"/>
      <c r="I981" s="69"/>
      <c r="J981" s="69"/>
    </row>
    <row r="982">
      <c r="A982" s="69"/>
      <c r="B982" s="118"/>
      <c r="C982" s="70"/>
      <c r="D982" s="69"/>
      <c r="E982" s="120"/>
      <c r="F982" s="121"/>
      <c r="G982" s="70"/>
      <c r="H982" s="69"/>
      <c r="I982" s="69"/>
      <c r="J982" s="69"/>
    </row>
    <row r="983">
      <c r="A983" s="69"/>
      <c r="B983" s="118"/>
      <c r="C983" s="70"/>
      <c r="D983" s="69"/>
      <c r="E983" s="120"/>
      <c r="F983" s="121"/>
      <c r="G983" s="70"/>
      <c r="H983" s="69"/>
      <c r="I983" s="69"/>
      <c r="J983" s="69"/>
    </row>
    <row r="984">
      <c r="A984" s="69"/>
      <c r="B984" s="118"/>
      <c r="C984" s="70"/>
      <c r="D984" s="69"/>
      <c r="E984" s="120"/>
      <c r="F984" s="121"/>
      <c r="G984" s="70"/>
      <c r="H984" s="69"/>
      <c r="I984" s="69"/>
      <c r="J984" s="69"/>
    </row>
    <row r="985">
      <c r="A985" s="69"/>
      <c r="B985" s="118"/>
      <c r="C985" s="70"/>
      <c r="D985" s="69"/>
      <c r="E985" s="120"/>
      <c r="F985" s="121"/>
      <c r="G985" s="70"/>
      <c r="H985" s="69"/>
      <c r="I985" s="69"/>
      <c r="J985" s="69"/>
    </row>
    <row r="986">
      <c r="A986" s="69"/>
      <c r="B986" s="118"/>
      <c r="C986" s="70"/>
      <c r="D986" s="69"/>
      <c r="E986" s="120"/>
      <c r="F986" s="121"/>
      <c r="G986" s="70"/>
      <c r="H986" s="69"/>
      <c r="I986" s="69"/>
      <c r="J986" s="69"/>
    </row>
    <row r="987">
      <c r="A987" s="69"/>
      <c r="B987" s="118"/>
      <c r="C987" s="70"/>
      <c r="D987" s="69"/>
      <c r="E987" s="120"/>
      <c r="F987" s="121"/>
      <c r="G987" s="70"/>
      <c r="H987" s="69"/>
      <c r="I987" s="69"/>
      <c r="J987" s="69"/>
    </row>
    <row r="988">
      <c r="A988" s="69"/>
      <c r="B988" s="118"/>
      <c r="C988" s="70"/>
      <c r="D988" s="69"/>
      <c r="E988" s="120"/>
      <c r="F988" s="121"/>
      <c r="G988" s="70"/>
      <c r="H988" s="69"/>
      <c r="I988" s="69"/>
      <c r="J988" s="69"/>
    </row>
    <row r="989">
      <c r="A989" s="69"/>
      <c r="B989" s="118"/>
      <c r="C989" s="70"/>
      <c r="D989" s="69"/>
      <c r="E989" s="120"/>
      <c r="F989" s="121"/>
      <c r="G989" s="70"/>
      <c r="H989" s="69"/>
      <c r="I989" s="69"/>
      <c r="J989" s="69"/>
    </row>
    <row r="990">
      <c r="A990" s="69"/>
      <c r="B990" s="118"/>
      <c r="C990" s="70"/>
      <c r="D990" s="69"/>
      <c r="E990" s="120"/>
      <c r="F990" s="121"/>
      <c r="G990" s="70"/>
      <c r="H990" s="69"/>
      <c r="I990" s="69"/>
      <c r="J990" s="69"/>
    </row>
    <row r="991">
      <c r="A991" s="69"/>
      <c r="B991" s="118"/>
      <c r="C991" s="70"/>
      <c r="D991" s="69"/>
      <c r="E991" s="120"/>
      <c r="F991" s="121"/>
      <c r="G991" s="70"/>
      <c r="H991" s="69"/>
      <c r="I991" s="69"/>
      <c r="J991" s="69"/>
    </row>
    <row r="992">
      <c r="A992" s="69"/>
      <c r="B992" s="118"/>
      <c r="C992" s="70"/>
      <c r="D992" s="69"/>
      <c r="E992" s="120"/>
      <c r="F992" s="121"/>
      <c r="G992" s="70"/>
      <c r="H992" s="69"/>
      <c r="I992" s="69"/>
      <c r="J992" s="69"/>
    </row>
    <row r="993">
      <c r="A993" s="69"/>
      <c r="B993" s="118"/>
      <c r="C993" s="70"/>
      <c r="D993" s="69"/>
      <c r="E993" s="120"/>
      <c r="F993" s="121"/>
      <c r="G993" s="70"/>
      <c r="H993" s="69"/>
      <c r="I993" s="69"/>
      <c r="J993" s="69"/>
    </row>
    <row r="994">
      <c r="A994" s="69"/>
      <c r="B994" s="118"/>
      <c r="C994" s="70"/>
      <c r="D994" s="69"/>
      <c r="E994" s="120"/>
      <c r="F994" s="121"/>
      <c r="G994" s="70"/>
      <c r="H994" s="69"/>
      <c r="I994" s="69"/>
      <c r="J994" s="69"/>
    </row>
    <row r="995">
      <c r="A995" s="69"/>
      <c r="B995" s="118"/>
      <c r="C995" s="70"/>
      <c r="D995" s="69"/>
      <c r="E995" s="120"/>
      <c r="F995" s="121"/>
      <c r="G995" s="70"/>
      <c r="H995" s="69"/>
      <c r="I995" s="69"/>
      <c r="J995" s="69"/>
    </row>
    <row r="996">
      <c r="A996" s="69"/>
      <c r="B996" s="118"/>
      <c r="C996" s="70"/>
      <c r="D996" s="69"/>
      <c r="E996" s="120"/>
      <c r="F996" s="121"/>
      <c r="G996" s="70"/>
      <c r="H996" s="69"/>
      <c r="I996" s="69"/>
      <c r="J996" s="69"/>
    </row>
    <row r="997">
      <c r="A997" s="69"/>
      <c r="B997" s="118"/>
      <c r="C997" s="70"/>
      <c r="D997" s="69"/>
      <c r="E997" s="120"/>
      <c r="F997" s="121"/>
      <c r="G997" s="70"/>
      <c r="H997" s="69"/>
      <c r="I997" s="69"/>
      <c r="J997" s="69"/>
    </row>
    <row r="998">
      <c r="A998" s="69"/>
      <c r="B998" s="118"/>
      <c r="C998" s="70"/>
      <c r="D998" s="69"/>
      <c r="E998" s="120"/>
      <c r="F998" s="121"/>
      <c r="G998" s="70"/>
      <c r="H998" s="69"/>
      <c r="I998" s="69"/>
      <c r="J998" s="69"/>
    </row>
    <row r="999">
      <c r="A999" s="69"/>
      <c r="B999" s="118"/>
      <c r="C999" s="70"/>
      <c r="D999" s="69"/>
      <c r="E999" s="120"/>
      <c r="F999" s="121"/>
      <c r="G999" s="70"/>
      <c r="H999" s="69"/>
      <c r="I999" s="69"/>
      <c r="J999" s="69"/>
    </row>
    <row r="1000">
      <c r="A1000" s="69"/>
      <c r="B1000" s="118"/>
      <c r="C1000" s="70"/>
      <c r="D1000" s="69"/>
      <c r="E1000" s="120"/>
      <c r="F1000" s="121"/>
      <c r="G1000" s="70"/>
      <c r="H1000" s="69"/>
      <c r="I1000" s="69"/>
      <c r="J1000" s="69"/>
    </row>
    <row r="1001">
      <c r="A1001" s="69"/>
      <c r="B1001" s="118"/>
      <c r="C1001" s="70"/>
      <c r="D1001" s="69"/>
      <c r="E1001" s="120"/>
      <c r="F1001" s="121"/>
      <c r="G1001" s="70"/>
      <c r="H1001" s="69"/>
      <c r="I1001" s="69"/>
      <c r="J1001" s="69"/>
    </row>
    <row r="1002">
      <c r="A1002" s="69"/>
      <c r="B1002" s="118"/>
      <c r="C1002" s="70"/>
      <c r="D1002" s="69"/>
      <c r="E1002" s="120"/>
      <c r="F1002" s="121"/>
      <c r="G1002" s="70"/>
      <c r="H1002" s="69"/>
      <c r="I1002" s="69"/>
      <c r="J1002" s="69"/>
    </row>
    <row r="1003">
      <c r="A1003" s="69"/>
      <c r="B1003" s="118"/>
      <c r="C1003" s="70"/>
      <c r="D1003" s="69"/>
      <c r="E1003" s="120"/>
      <c r="F1003" s="121"/>
      <c r="G1003" s="70"/>
      <c r="H1003" s="69"/>
      <c r="I1003" s="69"/>
      <c r="J1003" s="69"/>
    </row>
    <row r="1004">
      <c r="A1004" s="69"/>
      <c r="B1004" s="118"/>
      <c r="C1004" s="70"/>
      <c r="D1004" s="69"/>
      <c r="E1004" s="120"/>
      <c r="F1004" s="121"/>
      <c r="G1004" s="70"/>
      <c r="H1004" s="69"/>
      <c r="I1004" s="69"/>
      <c r="J1004" s="69"/>
    </row>
    <row r="1005">
      <c r="A1005" s="69"/>
      <c r="B1005" s="118"/>
      <c r="C1005" s="70"/>
      <c r="D1005" s="69"/>
      <c r="E1005" s="120"/>
      <c r="F1005" s="121"/>
      <c r="G1005" s="70"/>
      <c r="H1005" s="69"/>
      <c r="I1005" s="69"/>
      <c r="J1005" s="69"/>
    </row>
    <row r="1006">
      <c r="A1006" s="69"/>
      <c r="B1006" s="118"/>
      <c r="C1006" s="70"/>
      <c r="D1006" s="69"/>
      <c r="E1006" s="120"/>
      <c r="F1006" s="121"/>
      <c r="G1006" s="70"/>
      <c r="H1006" s="69"/>
      <c r="I1006" s="69"/>
      <c r="J1006" s="69"/>
    </row>
    <row r="1007">
      <c r="A1007" s="69"/>
      <c r="B1007" s="118"/>
      <c r="C1007" s="70"/>
      <c r="D1007" s="69"/>
      <c r="E1007" s="120"/>
      <c r="F1007" s="121"/>
      <c r="G1007" s="70"/>
      <c r="H1007" s="69"/>
      <c r="I1007" s="69"/>
      <c r="J1007" s="69"/>
    </row>
    <row r="1008">
      <c r="A1008" s="69"/>
      <c r="B1008" s="118"/>
      <c r="C1008" s="70"/>
      <c r="D1008" s="69"/>
      <c r="E1008" s="120"/>
      <c r="F1008" s="121"/>
      <c r="G1008" s="70"/>
      <c r="H1008" s="69"/>
      <c r="I1008" s="69"/>
      <c r="J1008" s="69"/>
    </row>
    <row r="1009">
      <c r="A1009" s="69"/>
      <c r="B1009" s="118"/>
      <c r="C1009" s="70"/>
      <c r="D1009" s="69"/>
      <c r="E1009" s="120"/>
      <c r="F1009" s="121"/>
      <c r="G1009" s="70"/>
      <c r="H1009" s="69"/>
      <c r="I1009" s="69"/>
      <c r="J1009" s="69"/>
    </row>
    <row r="1010">
      <c r="A1010" s="69"/>
      <c r="B1010" s="118"/>
      <c r="C1010" s="70"/>
      <c r="D1010" s="69"/>
      <c r="E1010" s="120"/>
      <c r="F1010" s="121"/>
      <c r="G1010" s="70"/>
      <c r="H1010" s="69"/>
      <c r="I1010" s="69"/>
      <c r="J1010" s="69"/>
    </row>
    <row r="1011">
      <c r="A1011" s="69"/>
      <c r="B1011" s="118"/>
      <c r="C1011" s="70"/>
      <c r="D1011" s="69"/>
      <c r="E1011" s="120"/>
      <c r="F1011" s="121"/>
      <c r="G1011" s="70"/>
      <c r="H1011" s="69"/>
      <c r="I1011" s="69"/>
      <c r="J1011" s="69"/>
    </row>
    <row r="1012">
      <c r="A1012" s="69"/>
      <c r="B1012" s="118"/>
      <c r="C1012" s="70"/>
      <c r="D1012" s="69"/>
      <c r="E1012" s="120"/>
      <c r="F1012" s="121"/>
      <c r="G1012" s="70"/>
      <c r="H1012" s="69"/>
      <c r="I1012" s="69"/>
      <c r="J1012" s="69"/>
    </row>
    <row r="1013">
      <c r="A1013" s="69"/>
      <c r="B1013" s="118"/>
      <c r="C1013" s="70"/>
      <c r="D1013" s="69"/>
      <c r="E1013" s="120"/>
      <c r="F1013" s="121"/>
      <c r="G1013" s="70"/>
      <c r="H1013" s="69"/>
      <c r="I1013" s="69"/>
      <c r="J1013" s="69"/>
    </row>
    <row r="1014">
      <c r="A1014" s="69"/>
      <c r="B1014" s="118"/>
      <c r="C1014" s="70"/>
      <c r="D1014" s="69"/>
      <c r="E1014" s="120"/>
      <c r="F1014" s="121"/>
      <c r="G1014" s="70"/>
      <c r="H1014" s="69"/>
      <c r="I1014" s="69"/>
      <c r="J1014" s="69"/>
    </row>
    <row r="1015">
      <c r="A1015" s="69"/>
      <c r="B1015" s="118"/>
      <c r="C1015" s="70"/>
      <c r="D1015" s="69"/>
      <c r="E1015" s="120"/>
      <c r="F1015" s="121"/>
      <c r="G1015" s="70"/>
      <c r="H1015" s="69"/>
      <c r="I1015" s="69"/>
      <c r="J1015" s="69"/>
    </row>
    <row r="1016">
      <c r="A1016" s="69"/>
      <c r="B1016" s="118"/>
      <c r="C1016" s="70"/>
      <c r="D1016" s="69"/>
      <c r="E1016" s="120"/>
      <c r="F1016" s="121"/>
      <c r="G1016" s="70"/>
      <c r="H1016" s="69"/>
      <c r="I1016" s="69"/>
      <c r="J1016" s="69"/>
    </row>
    <row r="1017">
      <c r="A1017" s="69"/>
      <c r="B1017" s="118"/>
      <c r="C1017" s="70"/>
      <c r="D1017" s="69"/>
      <c r="E1017" s="120"/>
      <c r="F1017" s="121"/>
      <c r="G1017" s="70"/>
      <c r="H1017" s="69"/>
      <c r="I1017" s="69"/>
      <c r="J1017" s="69"/>
    </row>
    <row r="1018">
      <c r="A1018" s="69"/>
      <c r="B1018" s="118"/>
      <c r="C1018" s="70"/>
      <c r="D1018" s="69"/>
      <c r="E1018" s="120"/>
      <c r="F1018" s="121"/>
      <c r="G1018" s="70"/>
      <c r="H1018" s="69"/>
      <c r="I1018" s="69"/>
      <c r="J1018" s="69"/>
    </row>
    <row r="1019">
      <c r="A1019" s="69"/>
      <c r="B1019" s="118"/>
      <c r="C1019" s="70"/>
      <c r="D1019" s="69"/>
      <c r="E1019" s="120"/>
      <c r="F1019" s="121"/>
      <c r="G1019" s="70"/>
      <c r="H1019" s="69"/>
      <c r="I1019" s="69"/>
      <c r="J1019" s="69"/>
    </row>
    <row r="1020">
      <c r="A1020" s="69"/>
      <c r="B1020" s="118"/>
      <c r="C1020" s="70"/>
      <c r="D1020" s="69"/>
      <c r="E1020" s="120"/>
      <c r="F1020" s="121"/>
      <c r="G1020" s="70"/>
      <c r="H1020" s="69"/>
      <c r="I1020" s="69"/>
      <c r="J1020" s="69"/>
    </row>
    <row r="1021">
      <c r="A1021" s="69"/>
      <c r="B1021" s="118"/>
      <c r="C1021" s="70"/>
      <c r="D1021" s="69"/>
      <c r="E1021" s="120"/>
      <c r="F1021" s="121"/>
      <c r="G1021" s="70"/>
      <c r="H1021" s="69"/>
      <c r="I1021" s="69"/>
      <c r="J1021" s="69"/>
    </row>
    <row r="1022">
      <c r="A1022" s="69"/>
      <c r="B1022" s="118"/>
      <c r="C1022" s="70"/>
      <c r="D1022" s="69"/>
      <c r="E1022" s="120"/>
      <c r="F1022" s="121"/>
      <c r="G1022" s="70"/>
      <c r="H1022" s="69"/>
      <c r="I1022" s="69"/>
      <c r="J1022" s="69"/>
    </row>
    <row r="1023">
      <c r="A1023" s="69"/>
      <c r="B1023" s="118"/>
      <c r="C1023" s="70"/>
      <c r="D1023" s="69"/>
      <c r="E1023" s="120"/>
      <c r="F1023" s="121"/>
      <c r="G1023" s="70"/>
      <c r="H1023" s="69"/>
      <c r="I1023" s="69"/>
      <c r="J1023" s="69"/>
    </row>
    <row r="1024">
      <c r="A1024" s="69"/>
      <c r="B1024" s="118"/>
      <c r="C1024" s="70"/>
      <c r="D1024" s="69"/>
      <c r="E1024" s="120"/>
      <c r="F1024" s="121"/>
      <c r="G1024" s="70"/>
      <c r="H1024" s="69"/>
      <c r="I1024" s="69"/>
      <c r="J1024" s="69"/>
    </row>
    <row r="1025">
      <c r="A1025" s="69"/>
      <c r="B1025" s="118"/>
      <c r="C1025" s="70"/>
      <c r="D1025" s="69"/>
      <c r="E1025" s="120"/>
      <c r="F1025" s="121"/>
      <c r="G1025" s="70"/>
      <c r="H1025" s="69"/>
      <c r="I1025" s="69"/>
      <c r="J1025" s="69"/>
    </row>
    <row r="1026">
      <c r="A1026" s="69"/>
      <c r="B1026" s="118"/>
      <c r="C1026" s="70"/>
      <c r="D1026" s="69"/>
      <c r="E1026" s="120"/>
      <c r="F1026" s="121"/>
      <c r="G1026" s="70"/>
      <c r="H1026" s="69"/>
      <c r="I1026" s="69"/>
      <c r="J1026" s="69"/>
    </row>
    <row r="1027">
      <c r="A1027" s="69"/>
      <c r="B1027" s="118"/>
      <c r="C1027" s="70"/>
      <c r="D1027" s="69"/>
      <c r="E1027" s="120"/>
      <c r="F1027" s="121"/>
      <c r="G1027" s="70"/>
      <c r="H1027" s="69"/>
      <c r="I1027" s="69"/>
      <c r="J1027" s="69"/>
    </row>
    <row r="1028">
      <c r="A1028" s="69"/>
      <c r="B1028" s="118"/>
      <c r="C1028" s="70"/>
      <c r="D1028" s="69"/>
      <c r="E1028" s="120"/>
      <c r="F1028" s="121"/>
      <c r="G1028" s="70"/>
      <c r="H1028" s="69"/>
      <c r="I1028" s="69"/>
      <c r="J1028" s="69"/>
    </row>
    <row r="1029">
      <c r="A1029" s="69"/>
      <c r="B1029" s="118"/>
      <c r="C1029" s="70"/>
      <c r="D1029" s="69"/>
      <c r="E1029" s="120"/>
      <c r="F1029" s="121"/>
      <c r="G1029" s="70"/>
      <c r="H1029" s="69"/>
      <c r="I1029" s="69"/>
      <c r="J1029" s="69"/>
    </row>
    <row r="1030">
      <c r="A1030" s="69"/>
      <c r="B1030" s="118"/>
      <c r="C1030" s="70"/>
      <c r="D1030" s="69"/>
      <c r="E1030" s="120"/>
      <c r="F1030" s="121"/>
      <c r="G1030" s="70"/>
      <c r="H1030" s="69"/>
      <c r="I1030" s="69"/>
      <c r="J1030" s="69"/>
    </row>
    <row r="1031">
      <c r="A1031" s="69"/>
      <c r="B1031" s="118"/>
      <c r="C1031" s="70"/>
      <c r="D1031" s="69"/>
      <c r="E1031" s="120"/>
      <c r="F1031" s="121"/>
      <c r="G1031" s="70"/>
      <c r="H1031" s="69"/>
      <c r="I1031" s="69"/>
      <c r="J1031" s="69"/>
    </row>
    <row r="1032">
      <c r="A1032" s="69"/>
      <c r="B1032" s="118"/>
      <c r="C1032" s="70"/>
      <c r="D1032" s="69"/>
      <c r="E1032" s="120"/>
      <c r="F1032" s="121"/>
      <c r="G1032" s="70"/>
      <c r="H1032" s="69"/>
      <c r="I1032" s="69"/>
      <c r="J1032" s="69"/>
    </row>
    <row r="1033">
      <c r="A1033" s="69"/>
      <c r="B1033" s="118"/>
      <c r="C1033" s="70"/>
      <c r="D1033" s="69"/>
      <c r="E1033" s="120"/>
      <c r="F1033" s="121"/>
      <c r="G1033" s="70"/>
      <c r="H1033" s="69"/>
      <c r="I1033" s="69"/>
      <c r="J1033" s="69"/>
    </row>
    <row r="1034">
      <c r="A1034" s="69"/>
      <c r="B1034" s="118"/>
      <c r="C1034" s="70"/>
      <c r="D1034" s="69"/>
      <c r="E1034" s="120"/>
      <c r="F1034" s="121"/>
      <c r="G1034" s="70"/>
      <c r="H1034" s="69"/>
      <c r="I1034" s="69"/>
      <c r="J1034" s="69"/>
    </row>
    <row r="1035">
      <c r="A1035" s="69"/>
      <c r="B1035" s="118"/>
      <c r="C1035" s="70"/>
      <c r="D1035" s="69"/>
      <c r="E1035" s="120"/>
      <c r="F1035" s="121"/>
      <c r="G1035" s="70"/>
      <c r="H1035" s="69"/>
      <c r="I1035" s="69"/>
      <c r="J1035" s="69"/>
    </row>
    <row r="1036">
      <c r="A1036" s="69"/>
      <c r="B1036" s="118"/>
      <c r="C1036" s="70"/>
      <c r="D1036" s="69"/>
      <c r="E1036" s="120"/>
      <c r="F1036" s="121"/>
      <c r="G1036" s="70"/>
      <c r="H1036" s="69"/>
      <c r="I1036" s="69"/>
      <c r="J1036" s="69"/>
    </row>
    <row r="1037">
      <c r="A1037" s="69"/>
      <c r="B1037" s="118"/>
      <c r="C1037" s="70"/>
      <c r="D1037" s="69"/>
      <c r="E1037" s="120"/>
      <c r="F1037" s="121"/>
      <c r="G1037" s="70"/>
      <c r="H1037" s="69"/>
      <c r="I1037" s="69"/>
      <c r="J1037" s="69"/>
    </row>
    <row r="1038">
      <c r="A1038" s="69"/>
      <c r="B1038" s="118"/>
      <c r="C1038" s="70"/>
      <c r="D1038" s="69"/>
      <c r="E1038" s="120"/>
      <c r="F1038" s="121"/>
      <c r="G1038" s="70"/>
      <c r="H1038" s="69"/>
      <c r="I1038" s="69"/>
      <c r="J1038" s="69"/>
    </row>
    <row r="1039">
      <c r="A1039" s="69"/>
      <c r="B1039" s="118"/>
      <c r="C1039" s="70"/>
      <c r="D1039" s="69"/>
      <c r="E1039" s="120"/>
      <c r="F1039" s="121"/>
      <c r="G1039" s="70"/>
      <c r="H1039" s="69"/>
      <c r="I1039" s="69"/>
      <c r="J1039" s="69"/>
    </row>
    <row r="1040">
      <c r="A1040" s="69"/>
      <c r="B1040" s="118"/>
      <c r="C1040" s="70"/>
      <c r="D1040" s="69"/>
      <c r="E1040" s="120"/>
      <c r="F1040" s="121"/>
      <c r="G1040" s="70"/>
      <c r="H1040" s="69"/>
      <c r="I1040" s="69"/>
      <c r="J1040" s="69"/>
    </row>
    <row r="1041">
      <c r="A1041" s="69"/>
      <c r="B1041" s="118"/>
      <c r="C1041" s="70"/>
      <c r="D1041" s="69"/>
      <c r="E1041" s="120"/>
      <c r="F1041" s="121"/>
      <c r="G1041" s="70"/>
      <c r="H1041" s="69"/>
      <c r="I1041" s="69"/>
      <c r="J1041" s="69"/>
    </row>
    <row r="1042">
      <c r="A1042" s="69"/>
      <c r="B1042" s="118"/>
      <c r="C1042" s="70"/>
      <c r="D1042" s="69"/>
      <c r="E1042" s="120"/>
      <c r="F1042" s="121"/>
      <c r="G1042" s="70"/>
      <c r="H1042" s="69"/>
      <c r="I1042" s="69"/>
      <c r="J1042" s="69"/>
    </row>
    <row r="1043">
      <c r="A1043" s="69"/>
      <c r="B1043" s="118"/>
      <c r="C1043" s="70"/>
      <c r="D1043" s="69"/>
      <c r="E1043" s="120"/>
      <c r="F1043" s="121"/>
      <c r="G1043" s="70"/>
      <c r="H1043" s="69"/>
      <c r="I1043" s="69"/>
      <c r="J1043" s="69"/>
    </row>
    <row r="1044">
      <c r="A1044" s="69"/>
      <c r="B1044" s="118"/>
      <c r="C1044" s="70"/>
      <c r="D1044" s="69"/>
      <c r="E1044" s="120"/>
      <c r="F1044" s="121"/>
      <c r="G1044" s="70"/>
      <c r="H1044" s="69"/>
      <c r="I1044" s="69"/>
      <c r="J1044" s="69"/>
    </row>
    <row r="1045">
      <c r="A1045" s="69"/>
      <c r="B1045" s="118"/>
      <c r="C1045" s="70"/>
      <c r="D1045" s="69"/>
      <c r="E1045" s="120"/>
      <c r="F1045" s="121"/>
      <c r="G1045" s="70"/>
      <c r="H1045" s="69"/>
      <c r="I1045" s="69"/>
      <c r="J1045" s="69"/>
    </row>
    <row r="1046">
      <c r="A1046" s="69"/>
      <c r="B1046" s="118"/>
      <c r="C1046" s="70"/>
      <c r="D1046" s="69"/>
      <c r="E1046" s="120"/>
      <c r="F1046" s="121"/>
      <c r="G1046" s="70"/>
      <c r="H1046" s="69"/>
      <c r="I1046" s="69"/>
      <c r="J1046" s="69"/>
    </row>
    <row r="1047">
      <c r="A1047" s="69"/>
      <c r="B1047" s="118"/>
      <c r="C1047" s="70"/>
      <c r="D1047" s="69"/>
      <c r="E1047" s="120"/>
      <c r="F1047" s="121"/>
      <c r="G1047" s="70"/>
      <c r="H1047" s="69"/>
      <c r="I1047" s="69"/>
      <c r="J1047" s="69"/>
    </row>
    <row r="1048">
      <c r="A1048" s="69"/>
      <c r="B1048" s="118"/>
      <c r="C1048" s="70"/>
      <c r="D1048" s="69"/>
      <c r="E1048" s="120"/>
      <c r="F1048" s="121"/>
      <c r="G1048" s="70"/>
      <c r="H1048" s="69"/>
      <c r="I1048" s="69"/>
      <c r="J1048" s="69"/>
    </row>
    <row r="1049">
      <c r="A1049" s="69"/>
      <c r="B1049" s="118"/>
      <c r="C1049" s="70"/>
      <c r="D1049" s="69"/>
      <c r="E1049" s="120"/>
      <c r="F1049" s="121"/>
      <c r="G1049" s="70"/>
      <c r="H1049" s="69"/>
      <c r="I1049" s="69"/>
      <c r="J1049" s="69"/>
    </row>
    <row r="1050">
      <c r="A1050" s="69"/>
      <c r="B1050" s="118"/>
      <c r="C1050" s="70"/>
      <c r="D1050" s="69"/>
      <c r="E1050" s="120"/>
      <c r="F1050" s="121"/>
      <c r="G1050" s="70"/>
      <c r="H1050" s="69"/>
      <c r="I1050" s="69"/>
      <c r="J1050" s="69"/>
    </row>
    <row r="1051">
      <c r="A1051" s="69"/>
      <c r="B1051" s="118"/>
      <c r="C1051" s="70"/>
      <c r="D1051" s="69"/>
      <c r="E1051" s="120"/>
      <c r="F1051" s="121"/>
      <c r="G1051" s="70"/>
      <c r="H1051" s="69"/>
      <c r="I1051" s="69"/>
      <c r="J1051" s="69"/>
    </row>
    <row r="1052">
      <c r="A1052" s="69"/>
      <c r="B1052" s="118"/>
      <c r="C1052" s="70"/>
      <c r="D1052" s="69"/>
      <c r="E1052" s="120"/>
      <c r="F1052" s="121"/>
      <c r="G1052" s="70"/>
      <c r="H1052" s="69"/>
      <c r="I1052" s="69"/>
      <c r="J1052" s="69"/>
    </row>
    <row r="1053">
      <c r="A1053" s="69"/>
      <c r="B1053" s="118"/>
      <c r="C1053" s="70"/>
      <c r="D1053" s="69"/>
      <c r="E1053" s="120"/>
      <c r="F1053" s="121"/>
      <c r="G1053" s="70"/>
      <c r="H1053" s="69"/>
      <c r="I1053" s="69"/>
      <c r="J1053" s="69"/>
    </row>
    <row r="1054">
      <c r="A1054" s="69"/>
      <c r="B1054" s="118"/>
      <c r="C1054" s="70"/>
      <c r="D1054" s="69"/>
      <c r="E1054" s="120"/>
      <c r="F1054" s="121"/>
      <c r="G1054" s="70"/>
      <c r="H1054" s="69"/>
      <c r="I1054" s="69"/>
      <c r="J1054" s="69"/>
    </row>
    <row r="1055">
      <c r="A1055" s="69"/>
      <c r="B1055" s="118"/>
      <c r="C1055" s="70"/>
      <c r="D1055" s="69"/>
      <c r="E1055" s="120"/>
      <c r="F1055" s="121"/>
      <c r="G1055" s="70"/>
      <c r="H1055" s="69"/>
      <c r="I1055" s="69"/>
      <c r="J1055" s="69"/>
    </row>
    <row r="1056">
      <c r="A1056" s="69"/>
      <c r="B1056" s="118"/>
      <c r="C1056" s="70"/>
      <c r="D1056" s="69"/>
      <c r="E1056" s="120"/>
      <c r="F1056" s="121"/>
      <c r="G1056" s="70"/>
      <c r="H1056" s="69"/>
      <c r="I1056" s="69"/>
      <c r="J1056" s="69"/>
    </row>
    <row r="1057">
      <c r="A1057" s="69"/>
      <c r="B1057" s="118"/>
      <c r="C1057" s="70"/>
      <c r="D1057" s="69"/>
      <c r="E1057" s="120"/>
      <c r="F1057" s="121"/>
      <c r="G1057" s="70"/>
      <c r="H1057" s="69"/>
      <c r="I1057" s="69"/>
      <c r="J1057" s="69"/>
    </row>
    <row r="1058">
      <c r="A1058" s="69"/>
      <c r="B1058" s="118"/>
      <c r="C1058" s="70"/>
      <c r="D1058" s="69"/>
      <c r="E1058" s="120"/>
      <c r="F1058" s="121"/>
      <c r="G1058" s="70"/>
      <c r="H1058" s="69"/>
      <c r="I1058" s="69"/>
      <c r="J1058" s="69"/>
    </row>
    <row r="1059">
      <c r="A1059" s="69"/>
      <c r="B1059" s="118"/>
      <c r="C1059" s="70"/>
      <c r="D1059" s="69"/>
      <c r="E1059" s="120"/>
      <c r="F1059" s="121"/>
      <c r="G1059" s="70"/>
      <c r="H1059" s="69"/>
      <c r="I1059" s="69"/>
      <c r="J1059" s="69"/>
    </row>
    <row r="1060">
      <c r="A1060" s="69"/>
      <c r="B1060" s="118"/>
      <c r="C1060" s="70"/>
      <c r="D1060" s="69"/>
      <c r="E1060" s="120"/>
      <c r="F1060" s="121"/>
      <c r="G1060" s="70"/>
      <c r="H1060" s="69"/>
      <c r="I1060" s="69"/>
      <c r="J1060" s="69"/>
    </row>
    <row r="1061">
      <c r="A1061" s="69"/>
      <c r="B1061" s="118"/>
      <c r="C1061" s="70"/>
      <c r="D1061" s="69"/>
      <c r="E1061" s="120"/>
      <c r="F1061" s="121"/>
      <c r="G1061" s="70"/>
      <c r="H1061" s="69"/>
      <c r="I1061" s="69"/>
      <c r="J1061" s="69"/>
    </row>
    <row r="1062">
      <c r="A1062" s="69"/>
      <c r="B1062" s="118"/>
      <c r="C1062" s="70"/>
      <c r="D1062" s="69"/>
      <c r="E1062" s="120"/>
      <c r="F1062" s="121"/>
      <c r="G1062" s="70"/>
      <c r="H1062" s="69"/>
      <c r="I1062" s="69"/>
      <c r="J1062" s="69"/>
    </row>
    <row r="1063">
      <c r="A1063" s="69"/>
      <c r="B1063" s="118"/>
      <c r="C1063" s="70"/>
      <c r="D1063" s="69"/>
      <c r="E1063" s="120"/>
      <c r="F1063" s="121"/>
      <c r="G1063" s="70"/>
      <c r="H1063" s="69"/>
      <c r="I1063" s="69"/>
      <c r="J1063" s="69"/>
    </row>
    <row r="1064">
      <c r="A1064" s="69"/>
      <c r="B1064" s="118"/>
      <c r="C1064" s="70"/>
      <c r="D1064" s="69"/>
      <c r="E1064" s="120"/>
      <c r="F1064" s="121"/>
      <c r="G1064" s="70"/>
      <c r="H1064" s="69"/>
      <c r="I1064" s="69"/>
      <c r="J1064" s="69"/>
    </row>
    <row r="1065">
      <c r="A1065" s="69"/>
      <c r="B1065" s="118"/>
      <c r="C1065" s="70"/>
      <c r="D1065" s="69"/>
      <c r="E1065" s="120"/>
      <c r="F1065" s="121"/>
      <c r="G1065" s="70"/>
      <c r="H1065" s="69"/>
      <c r="I1065" s="69"/>
      <c r="J1065" s="69"/>
    </row>
    <row r="1066">
      <c r="A1066" s="69"/>
      <c r="B1066" s="118"/>
      <c r="C1066" s="70"/>
      <c r="D1066" s="69"/>
      <c r="E1066" s="120"/>
      <c r="F1066" s="121"/>
      <c r="G1066" s="70"/>
      <c r="H1066" s="69"/>
      <c r="I1066" s="69"/>
      <c r="J1066" s="69"/>
    </row>
    <row r="1067">
      <c r="A1067" s="69"/>
      <c r="B1067" s="118"/>
      <c r="C1067" s="70"/>
      <c r="D1067" s="69"/>
      <c r="E1067" s="120"/>
      <c r="F1067" s="121"/>
      <c r="G1067" s="70"/>
      <c r="H1067" s="69"/>
      <c r="I1067" s="69"/>
      <c r="J1067" s="69"/>
    </row>
    <row r="1068">
      <c r="A1068" s="69"/>
      <c r="B1068" s="118"/>
      <c r="C1068" s="70"/>
      <c r="D1068" s="69"/>
      <c r="E1068" s="120"/>
      <c r="F1068" s="121"/>
      <c r="G1068" s="70"/>
      <c r="H1068" s="69"/>
      <c r="I1068" s="69"/>
      <c r="J1068" s="69"/>
    </row>
    <row r="1069">
      <c r="A1069" s="69"/>
      <c r="B1069" s="118"/>
      <c r="C1069" s="70"/>
      <c r="D1069" s="69"/>
      <c r="E1069" s="120"/>
      <c r="F1069" s="121"/>
      <c r="G1069" s="70"/>
      <c r="H1069" s="69"/>
      <c r="I1069" s="69"/>
      <c r="J1069" s="69"/>
    </row>
    <row r="1070">
      <c r="A1070" s="69"/>
      <c r="B1070" s="118"/>
      <c r="C1070" s="70"/>
      <c r="D1070" s="69"/>
      <c r="E1070" s="120"/>
      <c r="F1070" s="121"/>
      <c r="G1070" s="70"/>
      <c r="H1070" s="69"/>
      <c r="I1070" s="69"/>
      <c r="J1070" s="69"/>
    </row>
    <row r="1071">
      <c r="A1071" s="69"/>
      <c r="B1071" s="118"/>
      <c r="C1071" s="70"/>
      <c r="D1071" s="69"/>
      <c r="E1071" s="120"/>
      <c r="F1071" s="121"/>
      <c r="G1071" s="70"/>
      <c r="H1071" s="69"/>
      <c r="I1071" s="69"/>
      <c r="J1071" s="69"/>
    </row>
    <row r="1072">
      <c r="A1072" s="69"/>
      <c r="B1072" s="118"/>
      <c r="C1072" s="70"/>
      <c r="D1072" s="69"/>
      <c r="E1072" s="120"/>
      <c r="F1072" s="121"/>
      <c r="G1072" s="70"/>
      <c r="H1072" s="69"/>
      <c r="I1072" s="69"/>
      <c r="J1072" s="69"/>
    </row>
    <row r="1073">
      <c r="A1073" s="69"/>
      <c r="B1073" s="118"/>
      <c r="C1073" s="70"/>
      <c r="D1073" s="69"/>
      <c r="E1073" s="120"/>
      <c r="F1073" s="121"/>
      <c r="G1073" s="70"/>
      <c r="H1073" s="69"/>
      <c r="I1073" s="69"/>
      <c r="J1073" s="69"/>
    </row>
    <row r="1074">
      <c r="A1074" s="69"/>
      <c r="B1074" s="118"/>
      <c r="C1074" s="70"/>
      <c r="D1074" s="69"/>
      <c r="E1074" s="120"/>
      <c r="F1074" s="121"/>
      <c r="G1074" s="70"/>
      <c r="H1074" s="69"/>
      <c r="I1074" s="69"/>
      <c r="J1074" s="69"/>
    </row>
    <row r="1075">
      <c r="A1075" s="69"/>
      <c r="B1075" s="118"/>
      <c r="C1075" s="70"/>
      <c r="D1075" s="69"/>
      <c r="E1075" s="120"/>
      <c r="F1075" s="121"/>
      <c r="G1075" s="70"/>
      <c r="H1075" s="69"/>
      <c r="I1075" s="69"/>
      <c r="J1075" s="69"/>
    </row>
    <row r="1076">
      <c r="A1076" s="69"/>
      <c r="B1076" s="118"/>
      <c r="C1076" s="70"/>
      <c r="D1076" s="69"/>
      <c r="E1076" s="120"/>
      <c r="F1076" s="121"/>
      <c r="G1076" s="70"/>
      <c r="H1076" s="69"/>
      <c r="I1076" s="69"/>
      <c r="J1076" s="69"/>
    </row>
    <row r="1077">
      <c r="A1077" s="69"/>
      <c r="B1077" s="118"/>
      <c r="C1077" s="70"/>
      <c r="D1077" s="69"/>
      <c r="E1077" s="120"/>
      <c r="F1077" s="121"/>
      <c r="G1077" s="70"/>
      <c r="H1077" s="69"/>
      <c r="I1077" s="69"/>
      <c r="J1077" s="69"/>
    </row>
    <row r="1078">
      <c r="A1078" s="69"/>
      <c r="B1078" s="118"/>
      <c r="C1078" s="70"/>
      <c r="D1078" s="69"/>
      <c r="E1078" s="120"/>
      <c r="F1078" s="121"/>
      <c r="G1078" s="70"/>
      <c r="H1078" s="69"/>
      <c r="I1078" s="69"/>
      <c r="J1078" s="69"/>
    </row>
    <row r="1079">
      <c r="A1079" s="69"/>
      <c r="B1079" s="118"/>
      <c r="C1079" s="70"/>
      <c r="D1079" s="69"/>
      <c r="E1079" s="120"/>
      <c r="F1079" s="121"/>
      <c r="G1079" s="70"/>
      <c r="H1079" s="69"/>
      <c r="I1079" s="69"/>
      <c r="J1079" s="69"/>
    </row>
    <row r="1080">
      <c r="A1080" s="69"/>
      <c r="B1080" s="118"/>
      <c r="C1080" s="70"/>
      <c r="D1080" s="69"/>
      <c r="E1080" s="120"/>
      <c r="F1080" s="121"/>
      <c r="G1080" s="70"/>
      <c r="H1080" s="69"/>
      <c r="I1080" s="69"/>
      <c r="J1080" s="69"/>
    </row>
    <row r="1081">
      <c r="A1081" s="69"/>
      <c r="B1081" s="118"/>
      <c r="C1081" s="70"/>
      <c r="D1081" s="69"/>
      <c r="E1081" s="120"/>
      <c r="F1081" s="121"/>
      <c r="G1081" s="70"/>
      <c r="H1081" s="69"/>
      <c r="I1081" s="69"/>
      <c r="J1081" s="69"/>
    </row>
    <row r="1082">
      <c r="A1082" s="69"/>
      <c r="B1082" s="118"/>
      <c r="C1082" s="70"/>
      <c r="D1082" s="69"/>
      <c r="E1082" s="120"/>
      <c r="F1082" s="121"/>
      <c r="G1082" s="70"/>
      <c r="H1082" s="69"/>
      <c r="I1082" s="69"/>
      <c r="J1082" s="69"/>
    </row>
    <row r="1083">
      <c r="A1083" s="69"/>
      <c r="B1083" s="118"/>
      <c r="C1083" s="70"/>
      <c r="D1083" s="69"/>
      <c r="E1083" s="120"/>
      <c r="F1083" s="121"/>
      <c r="G1083" s="70"/>
      <c r="H1083" s="69"/>
      <c r="I1083" s="69"/>
      <c r="J1083" s="69"/>
    </row>
    <row r="1084">
      <c r="A1084" s="69"/>
      <c r="B1084" s="118"/>
      <c r="C1084" s="70"/>
      <c r="D1084" s="69"/>
      <c r="E1084" s="120"/>
      <c r="F1084" s="121"/>
      <c r="G1084" s="70"/>
      <c r="H1084" s="69"/>
      <c r="I1084" s="69"/>
      <c r="J1084" s="69"/>
    </row>
    <row r="1085">
      <c r="A1085" s="69"/>
      <c r="B1085" s="118"/>
      <c r="C1085" s="70"/>
      <c r="D1085" s="69"/>
      <c r="E1085" s="120"/>
      <c r="F1085" s="121"/>
      <c r="G1085" s="70"/>
      <c r="H1085" s="69"/>
      <c r="I1085" s="69"/>
      <c r="J1085" s="69"/>
    </row>
    <row r="1086">
      <c r="A1086" s="69"/>
      <c r="B1086" s="118"/>
      <c r="C1086" s="70"/>
      <c r="D1086" s="69"/>
      <c r="E1086" s="120"/>
      <c r="F1086" s="121"/>
      <c r="G1086" s="70"/>
      <c r="H1086" s="69"/>
      <c r="I1086" s="69"/>
      <c r="J1086" s="69"/>
    </row>
    <row r="1087">
      <c r="A1087" s="69"/>
      <c r="B1087" s="118"/>
      <c r="C1087" s="70"/>
      <c r="D1087" s="69"/>
      <c r="E1087" s="120"/>
      <c r="F1087" s="121"/>
      <c r="G1087" s="70"/>
      <c r="H1087" s="69"/>
      <c r="I1087" s="69"/>
      <c r="J1087" s="69"/>
    </row>
    <row r="1088">
      <c r="A1088" s="69"/>
      <c r="B1088" s="118"/>
      <c r="C1088" s="70"/>
      <c r="D1088" s="69"/>
      <c r="E1088" s="120"/>
      <c r="F1088" s="121"/>
      <c r="G1088" s="70"/>
      <c r="H1088" s="69"/>
      <c r="I1088" s="69"/>
      <c r="J1088" s="69"/>
    </row>
    <row r="1089">
      <c r="A1089" s="69"/>
      <c r="B1089" s="118"/>
      <c r="C1089" s="70"/>
      <c r="D1089" s="69"/>
      <c r="E1089" s="120"/>
      <c r="F1089" s="121"/>
      <c r="G1089" s="70"/>
      <c r="H1089" s="69"/>
      <c r="I1089" s="69"/>
      <c r="J1089" s="69"/>
    </row>
    <row r="1090">
      <c r="A1090" s="69"/>
      <c r="B1090" s="118"/>
      <c r="C1090" s="70"/>
      <c r="D1090" s="69"/>
      <c r="E1090" s="120"/>
      <c r="F1090" s="121"/>
      <c r="G1090" s="70"/>
      <c r="H1090" s="69"/>
      <c r="I1090" s="69"/>
      <c r="J1090" s="69"/>
    </row>
    <row r="1091">
      <c r="A1091" s="69"/>
      <c r="B1091" s="118"/>
      <c r="C1091" s="70"/>
      <c r="D1091" s="69"/>
      <c r="E1091" s="120"/>
      <c r="F1091" s="121"/>
      <c r="G1091" s="70"/>
      <c r="H1091" s="69"/>
      <c r="I1091" s="69"/>
      <c r="J1091" s="69"/>
    </row>
    <row r="1092">
      <c r="A1092" s="69"/>
      <c r="B1092" s="118"/>
      <c r="C1092" s="70"/>
      <c r="D1092" s="69"/>
      <c r="E1092" s="120"/>
      <c r="F1092" s="121"/>
      <c r="G1092" s="70"/>
      <c r="H1092" s="69"/>
      <c r="I1092" s="69"/>
      <c r="J1092" s="69"/>
    </row>
    <row r="1093">
      <c r="A1093" s="69"/>
      <c r="B1093" s="118"/>
      <c r="C1093" s="70"/>
      <c r="D1093" s="69"/>
      <c r="E1093" s="120"/>
      <c r="F1093" s="121"/>
      <c r="G1093" s="70"/>
      <c r="H1093" s="69"/>
      <c r="I1093" s="69"/>
      <c r="J1093" s="69"/>
    </row>
    <row r="1094">
      <c r="A1094" s="69"/>
      <c r="B1094" s="118"/>
      <c r="C1094" s="70"/>
      <c r="D1094" s="69"/>
      <c r="E1094" s="120"/>
      <c r="F1094" s="121"/>
      <c r="G1094" s="70"/>
      <c r="H1094" s="69"/>
      <c r="I1094" s="69"/>
      <c r="J1094" s="69"/>
    </row>
    <row r="1095">
      <c r="A1095" s="69"/>
      <c r="B1095" s="118"/>
      <c r="C1095" s="70"/>
      <c r="D1095" s="69"/>
      <c r="E1095" s="120"/>
      <c r="F1095" s="121"/>
      <c r="G1095" s="70"/>
      <c r="H1095" s="69"/>
      <c r="I1095" s="69"/>
      <c r="J1095" s="69"/>
    </row>
    <row r="1096">
      <c r="A1096" s="69"/>
      <c r="B1096" s="118"/>
      <c r="C1096" s="70"/>
      <c r="D1096" s="69"/>
      <c r="E1096" s="120"/>
      <c r="F1096" s="121"/>
      <c r="G1096" s="70"/>
      <c r="H1096" s="69"/>
      <c r="I1096" s="69"/>
      <c r="J1096" s="69"/>
    </row>
    <row r="1097">
      <c r="A1097" s="69"/>
      <c r="B1097" s="118"/>
      <c r="C1097" s="70"/>
      <c r="D1097" s="69"/>
      <c r="E1097" s="120"/>
      <c r="F1097" s="121"/>
      <c r="G1097" s="70"/>
      <c r="H1097" s="69"/>
      <c r="I1097" s="69"/>
      <c r="J1097" s="69"/>
    </row>
    <row r="1098">
      <c r="A1098" s="69"/>
      <c r="B1098" s="118"/>
      <c r="C1098" s="70"/>
      <c r="D1098" s="69"/>
      <c r="E1098" s="120"/>
      <c r="F1098" s="121"/>
      <c r="G1098" s="70"/>
      <c r="H1098" s="69"/>
      <c r="I1098" s="69"/>
      <c r="J1098" s="69"/>
    </row>
    <row r="1099">
      <c r="A1099" s="69"/>
      <c r="B1099" s="118"/>
      <c r="C1099" s="70"/>
      <c r="D1099" s="69"/>
      <c r="E1099" s="120"/>
      <c r="F1099" s="121"/>
      <c r="G1099" s="70"/>
      <c r="H1099" s="69"/>
      <c r="I1099" s="69"/>
      <c r="J1099" s="69"/>
    </row>
    <row r="1100">
      <c r="A1100" s="69"/>
      <c r="B1100" s="118"/>
      <c r="C1100" s="70"/>
      <c r="D1100" s="69"/>
      <c r="E1100" s="120"/>
      <c r="F1100" s="121"/>
      <c r="G1100" s="70"/>
      <c r="H1100" s="69"/>
      <c r="I1100" s="69"/>
      <c r="J1100" s="69"/>
    </row>
    <row r="1101">
      <c r="A1101" s="69"/>
      <c r="B1101" s="118"/>
      <c r="C1101" s="70"/>
      <c r="D1101" s="69"/>
      <c r="E1101" s="120"/>
      <c r="F1101" s="121"/>
      <c r="G1101" s="70"/>
      <c r="H1101" s="69"/>
      <c r="I1101" s="69"/>
      <c r="J1101" s="69"/>
    </row>
    <row r="1102">
      <c r="A1102" s="69"/>
      <c r="B1102" s="118"/>
      <c r="C1102" s="70"/>
      <c r="D1102" s="69"/>
      <c r="E1102" s="120"/>
      <c r="F1102" s="121"/>
      <c r="G1102" s="70"/>
      <c r="H1102" s="69"/>
      <c r="I1102" s="69"/>
      <c r="J1102" s="69"/>
    </row>
    <row r="1103">
      <c r="A1103" s="69"/>
      <c r="B1103" s="118"/>
      <c r="C1103" s="70"/>
      <c r="D1103" s="69"/>
      <c r="E1103" s="120"/>
      <c r="F1103" s="121"/>
      <c r="G1103" s="70"/>
      <c r="H1103" s="69"/>
      <c r="I1103" s="69"/>
      <c r="J1103" s="69"/>
    </row>
    <row r="1104">
      <c r="A1104" s="69"/>
      <c r="B1104" s="118"/>
      <c r="C1104" s="70"/>
      <c r="D1104" s="69"/>
      <c r="E1104" s="120"/>
      <c r="F1104" s="121"/>
      <c r="G1104" s="70"/>
      <c r="H1104" s="69"/>
      <c r="I1104" s="69"/>
      <c r="J1104" s="69"/>
    </row>
    <row r="1105">
      <c r="A1105" s="69"/>
      <c r="B1105" s="118"/>
      <c r="C1105" s="70"/>
      <c r="D1105" s="69"/>
      <c r="E1105" s="120"/>
      <c r="F1105" s="121"/>
      <c r="G1105" s="70"/>
      <c r="H1105" s="69"/>
      <c r="I1105" s="69"/>
      <c r="J1105" s="69"/>
    </row>
    <row r="1106">
      <c r="A1106" s="69"/>
      <c r="B1106" s="118"/>
      <c r="C1106" s="70"/>
      <c r="D1106" s="69"/>
      <c r="E1106" s="120"/>
      <c r="F1106" s="121"/>
      <c r="G1106" s="70"/>
      <c r="H1106" s="69"/>
      <c r="I1106" s="69"/>
      <c r="J1106" s="69"/>
    </row>
    <row r="1107">
      <c r="A1107" s="69"/>
      <c r="B1107" s="118"/>
      <c r="C1107" s="70"/>
      <c r="D1107" s="69"/>
      <c r="E1107" s="120"/>
      <c r="F1107" s="121"/>
      <c r="G1107" s="70"/>
      <c r="H1107" s="69"/>
      <c r="I1107" s="69"/>
      <c r="J1107" s="69"/>
    </row>
    <row r="1108">
      <c r="A1108" s="69"/>
      <c r="B1108" s="118"/>
      <c r="C1108" s="70"/>
      <c r="D1108" s="69"/>
      <c r="E1108" s="120"/>
      <c r="F1108" s="121"/>
      <c r="G1108" s="70"/>
      <c r="H1108" s="69"/>
      <c r="I1108" s="69"/>
      <c r="J1108" s="69"/>
    </row>
    <row r="1109">
      <c r="A1109" s="69"/>
      <c r="B1109" s="118"/>
      <c r="C1109" s="70"/>
      <c r="D1109" s="69"/>
      <c r="E1109" s="120"/>
      <c r="F1109" s="121"/>
      <c r="G1109" s="70"/>
      <c r="H1109" s="69"/>
      <c r="I1109" s="69"/>
      <c r="J1109" s="69"/>
    </row>
    <row r="1110">
      <c r="A1110" s="69"/>
      <c r="B1110" s="118"/>
      <c r="C1110" s="70"/>
      <c r="D1110" s="69"/>
      <c r="E1110" s="120"/>
      <c r="F1110" s="121"/>
      <c r="G1110" s="70"/>
      <c r="H1110" s="69"/>
      <c r="I1110" s="69"/>
      <c r="J1110" s="69"/>
    </row>
    <row r="1111">
      <c r="A1111" s="69"/>
      <c r="B1111" s="118"/>
      <c r="C1111" s="70"/>
      <c r="D1111" s="69"/>
      <c r="E1111" s="120"/>
      <c r="F1111" s="121"/>
      <c r="G1111" s="70"/>
      <c r="H1111" s="69"/>
      <c r="I1111" s="69"/>
      <c r="J1111" s="69"/>
    </row>
    <row r="1112">
      <c r="A1112" s="69"/>
      <c r="B1112" s="118"/>
      <c r="C1112" s="70"/>
      <c r="D1112" s="69"/>
      <c r="E1112" s="120"/>
      <c r="F1112" s="121"/>
      <c r="G1112" s="70"/>
      <c r="H1112" s="69"/>
      <c r="I1112" s="69"/>
      <c r="J1112" s="69"/>
    </row>
    <row r="1113">
      <c r="A1113" s="69"/>
      <c r="B1113" s="118"/>
      <c r="C1113" s="70"/>
      <c r="D1113" s="69"/>
      <c r="E1113" s="120"/>
      <c r="F1113" s="121"/>
      <c r="G1113" s="70"/>
      <c r="H1113" s="69"/>
      <c r="I1113" s="69"/>
      <c r="J1113" s="69"/>
    </row>
    <row r="1114">
      <c r="A1114" s="69"/>
      <c r="B1114" s="118"/>
      <c r="C1114" s="70"/>
      <c r="D1114" s="69"/>
      <c r="E1114" s="120"/>
      <c r="F1114" s="121"/>
      <c r="G1114" s="70"/>
      <c r="H1114" s="69"/>
      <c r="I1114" s="69"/>
      <c r="J1114" s="69"/>
    </row>
    <row r="1115">
      <c r="A1115" s="69"/>
      <c r="B1115" s="118"/>
      <c r="C1115" s="70"/>
      <c r="D1115" s="69"/>
      <c r="E1115" s="120"/>
      <c r="F1115" s="121"/>
      <c r="G1115" s="70"/>
      <c r="H1115" s="69"/>
      <c r="I1115" s="69"/>
      <c r="J1115" s="69"/>
    </row>
    <row r="1116">
      <c r="A1116" s="69"/>
      <c r="B1116" s="118"/>
      <c r="C1116" s="70"/>
      <c r="D1116" s="69"/>
      <c r="E1116" s="120"/>
      <c r="F1116" s="121"/>
      <c r="G1116" s="70"/>
      <c r="H1116" s="69"/>
      <c r="I1116" s="69"/>
      <c r="J1116" s="69"/>
    </row>
    <row r="1117">
      <c r="A1117" s="69"/>
      <c r="B1117" s="118"/>
      <c r="C1117" s="70"/>
      <c r="D1117" s="69"/>
      <c r="E1117" s="120"/>
      <c r="F1117" s="121"/>
      <c r="G1117" s="70"/>
      <c r="H1117" s="69"/>
      <c r="I1117" s="69"/>
      <c r="J1117" s="69"/>
    </row>
    <row r="1118">
      <c r="A1118" s="69"/>
      <c r="B1118" s="118"/>
      <c r="C1118" s="70"/>
      <c r="D1118" s="69"/>
      <c r="E1118" s="120"/>
      <c r="F1118" s="121"/>
      <c r="G1118" s="70"/>
      <c r="H1118" s="69"/>
      <c r="I1118" s="69"/>
      <c r="J1118" s="69"/>
    </row>
    <row r="1119">
      <c r="A1119" s="69"/>
      <c r="B1119" s="118"/>
      <c r="C1119" s="70"/>
      <c r="D1119" s="69"/>
      <c r="E1119" s="120"/>
      <c r="F1119" s="121"/>
      <c r="G1119" s="70"/>
      <c r="H1119" s="69"/>
      <c r="I1119" s="69"/>
      <c r="J1119" s="69"/>
    </row>
    <row r="1120">
      <c r="A1120" s="69"/>
      <c r="B1120" s="118"/>
      <c r="C1120" s="70"/>
      <c r="D1120" s="69"/>
      <c r="E1120" s="120"/>
      <c r="F1120" s="121"/>
      <c r="G1120" s="70"/>
      <c r="H1120" s="69"/>
      <c r="I1120" s="69"/>
      <c r="J1120" s="69"/>
    </row>
    <row r="1121">
      <c r="A1121" s="69"/>
      <c r="B1121" s="118"/>
      <c r="C1121" s="70"/>
      <c r="D1121" s="69"/>
      <c r="E1121" s="120"/>
      <c r="F1121" s="121"/>
      <c r="G1121" s="70"/>
      <c r="H1121" s="69"/>
      <c r="I1121" s="69"/>
      <c r="J1121" s="69"/>
    </row>
    <row r="1122">
      <c r="A1122" s="69"/>
      <c r="B1122" s="118"/>
      <c r="C1122" s="70"/>
      <c r="D1122" s="69"/>
      <c r="E1122" s="120"/>
      <c r="F1122" s="121"/>
      <c r="G1122" s="70"/>
      <c r="H1122" s="69"/>
      <c r="I1122" s="69"/>
      <c r="J1122" s="69"/>
    </row>
    <row r="1123">
      <c r="A1123" s="69"/>
      <c r="B1123" s="118"/>
      <c r="C1123" s="70"/>
      <c r="D1123" s="69"/>
      <c r="E1123" s="120"/>
      <c r="F1123" s="121"/>
      <c r="G1123" s="70"/>
      <c r="H1123" s="69"/>
      <c r="I1123" s="69"/>
      <c r="J1123" s="69"/>
    </row>
    <row r="1124">
      <c r="A1124" s="69"/>
      <c r="B1124" s="118"/>
      <c r="C1124" s="70"/>
      <c r="D1124" s="69"/>
      <c r="E1124" s="120"/>
      <c r="F1124" s="121"/>
      <c r="G1124" s="70"/>
      <c r="H1124" s="69"/>
      <c r="I1124" s="69"/>
      <c r="J1124" s="69"/>
    </row>
    <row r="1125">
      <c r="A1125" s="69"/>
      <c r="B1125" s="118"/>
      <c r="C1125" s="70"/>
      <c r="D1125" s="69"/>
      <c r="E1125" s="120"/>
      <c r="F1125" s="121"/>
      <c r="G1125" s="70"/>
      <c r="H1125" s="69"/>
      <c r="I1125" s="69"/>
      <c r="J1125" s="69"/>
    </row>
    <row r="1126">
      <c r="A1126" s="69"/>
      <c r="B1126" s="118"/>
      <c r="C1126" s="70"/>
      <c r="D1126" s="69"/>
      <c r="E1126" s="120"/>
      <c r="F1126" s="121"/>
      <c r="G1126" s="70"/>
      <c r="H1126" s="69"/>
      <c r="I1126" s="69"/>
      <c r="J1126" s="69"/>
    </row>
    <row r="1127">
      <c r="A1127" s="69"/>
      <c r="B1127" s="118"/>
      <c r="C1127" s="70"/>
      <c r="D1127" s="69"/>
      <c r="E1127" s="120"/>
      <c r="F1127" s="121"/>
      <c r="G1127" s="70"/>
      <c r="H1127" s="69"/>
      <c r="I1127" s="69"/>
      <c r="J1127" s="69"/>
    </row>
    <row r="1128">
      <c r="A1128" s="69"/>
      <c r="B1128" s="118"/>
      <c r="C1128" s="70"/>
      <c r="D1128" s="69"/>
      <c r="E1128" s="120"/>
      <c r="F1128" s="121"/>
      <c r="G1128" s="70"/>
      <c r="H1128" s="69"/>
      <c r="I1128" s="69"/>
      <c r="J1128" s="69"/>
    </row>
    <row r="1129">
      <c r="A1129" s="69"/>
      <c r="B1129" s="118"/>
      <c r="C1129" s="70"/>
      <c r="D1129" s="69"/>
      <c r="E1129" s="120"/>
      <c r="F1129" s="121"/>
      <c r="G1129" s="70"/>
      <c r="H1129" s="69"/>
      <c r="I1129" s="69"/>
      <c r="J1129" s="69"/>
    </row>
    <row r="1130">
      <c r="A1130" s="69"/>
      <c r="B1130" s="118"/>
      <c r="C1130" s="70"/>
      <c r="D1130" s="69"/>
      <c r="E1130" s="120"/>
      <c r="F1130" s="121"/>
      <c r="G1130" s="70"/>
      <c r="H1130" s="69"/>
      <c r="I1130" s="69"/>
      <c r="J1130" s="69"/>
    </row>
    <row r="1131">
      <c r="A1131" s="69"/>
      <c r="B1131" s="118"/>
      <c r="C1131" s="70"/>
      <c r="D1131" s="69"/>
      <c r="E1131" s="120"/>
      <c r="F1131" s="121"/>
      <c r="G1131" s="70"/>
      <c r="H1131" s="69"/>
      <c r="I1131" s="69"/>
      <c r="J1131" s="69"/>
    </row>
    <row r="1132">
      <c r="A1132" s="69"/>
      <c r="B1132" s="118"/>
      <c r="C1132" s="70"/>
      <c r="D1132" s="69"/>
      <c r="E1132" s="120"/>
      <c r="F1132" s="121"/>
      <c r="G1132" s="70"/>
      <c r="H1132" s="69"/>
      <c r="I1132" s="69"/>
      <c r="J1132" s="69"/>
    </row>
    <row r="1133">
      <c r="A1133" s="69"/>
      <c r="B1133" s="118"/>
      <c r="C1133" s="70"/>
      <c r="D1133" s="69"/>
      <c r="E1133" s="120"/>
      <c r="F1133" s="121"/>
      <c r="G1133" s="70"/>
      <c r="H1133" s="69"/>
      <c r="I1133" s="69"/>
      <c r="J1133" s="69"/>
    </row>
    <row r="1134">
      <c r="A1134" s="69"/>
      <c r="B1134" s="118"/>
      <c r="C1134" s="70"/>
      <c r="D1134" s="69"/>
      <c r="E1134" s="120"/>
      <c r="F1134" s="121"/>
      <c r="G1134" s="70"/>
      <c r="H1134" s="69"/>
      <c r="I1134" s="69"/>
      <c r="J1134" s="69"/>
    </row>
    <row r="1135">
      <c r="A1135" s="69"/>
      <c r="B1135" s="118"/>
      <c r="C1135" s="70"/>
      <c r="D1135" s="69"/>
      <c r="E1135" s="120"/>
      <c r="F1135" s="121"/>
      <c r="G1135" s="70"/>
      <c r="H1135" s="69"/>
      <c r="I1135" s="69"/>
      <c r="J1135" s="69"/>
    </row>
    <row r="1136">
      <c r="A1136" s="69"/>
      <c r="B1136" s="118"/>
      <c r="C1136" s="70"/>
      <c r="D1136" s="69"/>
      <c r="E1136" s="120"/>
      <c r="F1136" s="121"/>
      <c r="G1136" s="70"/>
      <c r="H1136" s="69"/>
      <c r="I1136" s="69"/>
      <c r="J1136" s="69"/>
    </row>
    <row r="1137">
      <c r="A1137" s="69"/>
      <c r="B1137" s="118"/>
      <c r="C1137" s="70"/>
      <c r="D1137" s="69"/>
      <c r="E1137" s="120"/>
      <c r="F1137" s="121"/>
      <c r="G1137" s="70"/>
      <c r="H1137" s="69"/>
      <c r="I1137" s="69"/>
      <c r="J1137" s="69"/>
    </row>
    <row r="1138">
      <c r="A1138" s="69"/>
      <c r="B1138" s="118"/>
      <c r="C1138" s="70"/>
      <c r="D1138" s="69"/>
      <c r="E1138" s="120"/>
      <c r="F1138" s="121"/>
      <c r="G1138" s="70"/>
      <c r="H1138" s="69"/>
      <c r="I1138" s="69"/>
      <c r="J1138" s="69"/>
    </row>
    <row r="1139">
      <c r="A1139" s="69"/>
      <c r="B1139" s="118"/>
      <c r="C1139" s="70"/>
      <c r="D1139" s="69"/>
      <c r="E1139" s="120"/>
      <c r="F1139" s="121"/>
      <c r="G1139" s="70"/>
      <c r="H1139" s="69"/>
      <c r="I1139" s="69"/>
      <c r="J1139" s="69"/>
    </row>
    <row r="1140">
      <c r="A1140" s="69"/>
      <c r="B1140" s="118"/>
      <c r="C1140" s="70"/>
      <c r="D1140" s="69"/>
      <c r="E1140" s="120"/>
      <c r="F1140" s="121"/>
      <c r="G1140" s="70"/>
      <c r="H1140" s="69"/>
      <c r="I1140" s="69"/>
      <c r="J1140" s="69"/>
    </row>
    <row r="1141">
      <c r="A1141" s="69"/>
      <c r="B1141" s="118"/>
      <c r="C1141" s="70"/>
      <c r="D1141" s="69"/>
      <c r="E1141" s="120"/>
      <c r="F1141" s="121"/>
      <c r="G1141" s="70"/>
      <c r="H1141" s="69"/>
      <c r="I1141" s="69"/>
      <c r="J1141" s="69"/>
    </row>
    <row r="1142">
      <c r="A1142" s="69"/>
      <c r="B1142" s="118"/>
      <c r="C1142" s="70"/>
      <c r="D1142" s="69"/>
      <c r="E1142" s="120"/>
      <c r="F1142" s="121"/>
      <c r="G1142" s="70"/>
      <c r="H1142" s="69"/>
      <c r="I1142" s="69"/>
      <c r="J1142" s="69"/>
    </row>
    <row r="1143">
      <c r="A1143" s="69"/>
      <c r="B1143" s="118"/>
      <c r="C1143" s="70"/>
      <c r="D1143" s="69"/>
      <c r="E1143" s="120"/>
      <c r="F1143" s="121"/>
      <c r="G1143" s="70"/>
      <c r="H1143" s="69"/>
      <c r="I1143" s="69"/>
      <c r="J1143" s="69"/>
    </row>
    <row r="1144">
      <c r="A1144" s="69"/>
      <c r="B1144" s="118"/>
      <c r="C1144" s="70"/>
      <c r="D1144" s="69"/>
      <c r="E1144" s="120"/>
      <c r="F1144" s="121"/>
      <c r="G1144" s="70"/>
      <c r="H1144" s="69"/>
      <c r="I1144" s="69"/>
      <c r="J1144" s="69"/>
    </row>
    <row r="1145">
      <c r="A1145" s="69"/>
      <c r="B1145" s="118"/>
      <c r="C1145" s="70"/>
      <c r="D1145" s="69"/>
      <c r="E1145" s="120"/>
      <c r="F1145" s="121"/>
      <c r="G1145" s="70"/>
      <c r="H1145" s="69"/>
      <c r="I1145" s="69"/>
      <c r="J1145" s="69"/>
    </row>
    <row r="1146">
      <c r="A1146" s="69"/>
      <c r="B1146" s="118"/>
      <c r="C1146" s="70"/>
      <c r="D1146" s="69"/>
      <c r="E1146" s="120"/>
      <c r="F1146" s="121"/>
      <c r="G1146" s="70"/>
      <c r="H1146" s="69"/>
      <c r="I1146" s="69"/>
      <c r="J1146" s="69"/>
    </row>
    <row r="1147">
      <c r="A1147" s="69"/>
      <c r="B1147" s="118"/>
      <c r="C1147" s="70"/>
      <c r="D1147" s="69"/>
      <c r="E1147" s="120"/>
      <c r="F1147" s="121"/>
      <c r="G1147" s="70"/>
      <c r="H1147" s="69"/>
      <c r="I1147" s="69"/>
      <c r="J1147" s="69"/>
    </row>
    <row r="1148">
      <c r="A1148" s="69"/>
      <c r="B1148" s="118"/>
      <c r="C1148" s="70"/>
      <c r="D1148" s="69"/>
      <c r="E1148" s="120"/>
      <c r="F1148" s="121"/>
      <c r="G1148" s="70"/>
      <c r="H1148" s="69"/>
      <c r="I1148" s="69"/>
      <c r="J1148" s="69"/>
    </row>
    <row r="1149">
      <c r="A1149" s="69"/>
      <c r="B1149" s="118"/>
      <c r="C1149" s="70"/>
      <c r="D1149" s="69"/>
      <c r="E1149" s="120"/>
      <c r="F1149" s="121"/>
      <c r="G1149" s="70"/>
      <c r="H1149" s="69"/>
      <c r="I1149" s="69"/>
      <c r="J1149" s="69"/>
    </row>
    <row r="1150">
      <c r="A1150" s="69"/>
      <c r="B1150" s="118"/>
      <c r="C1150" s="70"/>
      <c r="D1150" s="69"/>
      <c r="E1150" s="120"/>
      <c r="F1150" s="121"/>
      <c r="G1150" s="70"/>
      <c r="H1150" s="69"/>
      <c r="I1150" s="69"/>
      <c r="J1150" s="69"/>
    </row>
    <row r="1151">
      <c r="A1151" s="69"/>
      <c r="B1151" s="118"/>
      <c r="C1151" s="70"/>
      <c r="D1151" s="69"/>
      <c r="E1151" s="120"/>
      <c r="F1151" s="121"/>
      <c r="G1151" s="70"/>
      <c r="H1151" s="69"/>
      <c r="I1151" s="69"/>
      <c r="J1151" s="69"/>
    </row>
    <row r="1152">
      <c r="A1152" s="69"/>
      <c r="B1152" s="118"/>
      <c r="C1152" s="70"/>
      <c r="D1152" s="69"/>
      <c r="E1152" s="120"/>
      <c r="F1152" s="121"/>
      <c r="G1152" s="70"/>
      <c r="H1152" s="69"/>
      <c r="I1152" s="69"/>
      <c r="J1152" s="69"/>
    </row>
    <row r="1153">
      <c r="A1153" s="69"/>
      <c r="B1153" s="118"/>
      <c r="C1153" s="70"/>
      <c r="D1153" s="69"/>
      <c r="E1153" s="120"/>
      <c r="F1153" s="121"/>
      <c r="G1153" s="70"/>
      <c r="H1153" s="69"/>
      <c r="I1153" s="69"/>
      <c r="J1153" s="69"/>
    </row>
    <row r="1154">
      <c r="A1154" s="69"/>
      <c r="B1154" s="118"/>
      <c r="C1154" s="70"/>
      <c r="D1154" s="69"/>
      <c r="E1154" s="120"/>
      <c r="F1154" s="121"/>
      <c r="G1154" s="70"/>
      <c r="H1154" s="69"/>
      <c r="I1154" s="69"/>
      <c r="J1154" s="69"/>
    </row>
    <row r="1155">
      <c r="A1155" s="69"/>
      <c r="B1155" s="118"/>
      <c r="C1155" s="70"/>
      <c r="D1155" s="69"/>
      <c r="E1155" s="120"/>
      <c r="F1155" s="121"/>
      <c r="G1155" s="70"/>
      <c r="H1155" s="69"/>
      <c r="I1155" s="69"/>
      <c r="J1155" s="69"/>
    </row>
    <row r="1156">
      <c r="A1156" s="69"/>
      <c r="B1156" s="118"/>
      <c r="C1156" s="70"/>
      <c r="D1156" s="69"/>
      <c r="E1156" s="120"/>
      <c r="F1156" s="121"/>
      <c r="G1156" s="70"/>
      <c r="H1156" s="69"/>
      <c r="I1156" s="69"/>
      <c r="J1156" s="69"/>
    </row>
    <row r="1157">
      <c r="A1157" s="69"/>
      <c r="B1157" s="118"/>
      <c r="C1157" s="70"/>
      <c r="D1157" s="69"/>
      <c r="E1157" s="120"/>
      <c r="F1157" s="121"/>
      <c r="G1157" s="70"/>
      <c r="H1157" s="69"/>
      <c r="I1157" s="69"/>
      <c r="J1157" s="69"/>
    </row>
    <row r="1158">
      <c r="A1158" s="69"/>
      <c r="B1158" s="118"/>
      <c r="C1158" s="70"/>
      <c r="D1158" s="69"/>
      <c r="E1158" s="120"/>
      <c r="F1158" s="121"/>
      <c r="G1158" s="70"/>
      <c r="H1158" s="69"/>
      <c r="I1158" s="69"/>
      <c r="J1158" s="69"/>
    </row>
    <row r="1159">
      <c r="A1159" s="69"/>
      <c r="B1159" s="118"/>
      <c r="C1159" s="70"/>
      <c r="D1159" s="69"/>
      <c r="E1159" s="120"/>
      <c r="F1159" s="121"/>
      <c r="G1159" s="70"/>
      <c r="H1159" s="69"/>
      <c r="I1159" s="69"/>
      <c r="J1159" s="69"/>
    </row>
    <row r="1160">
      <c r="A1160" s="69"/>
      <c r="B1160" s="118"/>
      <c r="C1160" s="70"/>
      <c r="D1160" s="69"/>
      <c r="E1160" s="120"/>
      <c r="F1160" s="121"/>
      <c r="G1160" s="70"/>
      <c r="H1160" s="69"/>
      <c r="I1160" s="69"/>
      <c r="J1160" s="69"/>
    </row>
    <row r="1161">
      <c r="A1161" s="69"/>
      <c r="B1161" s="118"/>
      <c r="C1161" s="70"/>
      <c r="D1161" s="69"/>
      <c r="E1161" s="120"/>
      <c r="F1161" s="121"/>
      <c r="G1161" s="70"/>
      <c r="H1161" s="69"/>
      <c r="I1161" s="69"/>
      <c r="J1161" s="69"/>
    </row>
    <row r="1162">
      <c r="A1162" s="69"/>
      <c r="B1162" s="118"/>
      <c r="C1162" s="70"/>
      <c r="D1162" s="69"/>
      <c r="E1162" s="120"/>
      <c r="F1162" s="121"/>
      <c r="G1162" s="70"/>
      <c r="H1162" s="69"/>
      <c r="I1162" s="69"/>
      <c r="J1162" s="69"/>
    </row>
    <row r="1163">
      <c r="A1163" s="69"/>
      <c r="B1163" s="118"/>
      <c r="C1163" s="70"/>
      <c r="D1163" s="69"/>
      <c r="E1163" s="120"/>
      <c r="F1163" s="121"/>
      <c r="G1163" s="70"/>
      <c r="H1163" s="69"/>
      <c r="I1163" s="69"/>
      <c r="J1163" s="69"/>
    </row>
    <row r="1164">
      <c r="A1164" s="69"/>
      <c r="B1164" s="118"/>
      <c r="C1164" s="70"/>
      <c r="D1164" s="69"/>
      <c r="E1164" s="120"/>
      <c r="F1164" s="121"/>
      <c r="G1164" s="70"/>
      <c r="H1164" s="69"/>
      <c r="I1164" s="69"/>
      <c r="J1164" s="69"/>
    </row>
    <row r="1165">
      <c r="A1165" s="69"/>
      <c r="B1165" s="118"/>
      <c r="C1165" s="70"/>
      <c r="D1165" s="69"/>
      <c r="E1165" s="120"/>
      <c r="F1165" s="121"/>
      <c r="G1165" s="70"/>
      <c r="H1165" s="69"/>
      <c r="I1165" s="69"/>
      <c r="J1165" s="69"/>
    </row>
    <row r="1166">
      <c r="A1166" s="69"/>
      <c r="B1166" s="118"/>
      <c r="C1166" s="70"/>
      <c r="D1166" s="69"/>
      <c r="E1166" s="120"/>
      <c r="F1166" s="121"/>
      <c r="G1166" s="70"/>
      <c r="H1166" s="69"/>
      <c r="I1166" s="69"/>
      <c r="J1166" s="69"/>
    </row>
    <row r="1167">
      <c r="A1167" s="69"/>
      <c r="B1167" s="118"/>
      <c r="C1167" s="70"/>
      <c r="D1167" s="69"/>
      <c r="E1167" s="120"/>
      <c r="F1167" s="121"/>
      <c r="G1167" s="70"/>
      <c r="H1167" s="69"/>
      <c r="I1167" s="69"/>
      <c r="J1167" s="69"/>
    </row>
    <row r="1168">
      <c r="A1168" s="69"/>
      <c r="B1168" s="118"/>
      <c r="C1168" s="70"/>
      <c r="D1168" s="69"/>
      <c r="E1168" s="120"/>
      <c r="F1168" s="121"/>
      <c r="G1168" s="70"/>
      <c r="H1168" s="69"/>
      <c r="I1168" s="69"/>
      <c r="J1168" s="69"/>
    </row>
    <row r="1169">
      <c r="A1169" s="69"/>
      <c r="B1169" s="118"/>
      <c r="C1169" s="70"/>
      <c r="D1169" s="69"/>
      <c r="E1169" s="120"/>
      <c r="F1169" s="121"/>
      <c r="G1169" s="70"/>
      <c r="H1169" s="69"/>
      <c r="I1169" s="69"/>
      <c r="J1169" s="69"/>
    </row>
    <row r="1170">
      <c r="A1170" s="69"/>
      <c r="B1170" s="118"/>
      <c r="C1170" s="70"/>
      <c r="D1170" s="69"/>
      <c r="E1170" s="120"/>
      <c r="F1170" s="121"/>
      <c r="G1170" s="70"/>
      <c r="H1170" s="69"/>
      <c r="I1170" s="69"/>
      <c r="J1170" s="69"/>
    </row>
    <row r="1171">
      <c r="A1171" s="69"/>
      <c r="B1171" s="118"/>
      <c r="C1171" s="70"/>
      <c r="D1171" s="69"/>
      <c r="E1171" s="120"/>
      <c r="F1171" s="121"/>
      <c r="G1171" s="70"/>
      <c r="H1171" s="69"/>
      <c r="I1171" s="69"/>
      <c r="J1171" s="69"/>
    </row>
    <row r="1172">
      <c r="A1172" s="69"/>
      <c r="B1172" s="118"/>
      <c r="C1172" s="70"/>
      <c r="D1172" s="69"/>
      <c r="E1172" s="120"/>
      <c r="F1172" s="121"/>
      <c r="G1172" s="70"/>
      <c r="H1172" s="69"/>
      <c r="I1172" s="69"/>
      <c r="J1172" s="69"/>
    </row>
    <row r="1173">
      <c r="A1173" s="69"/>
      <c r="B1173" s="118"/>
      <c r="C1173" s="70"/>
      <c r="D1173" s="69"/>
      <c r="E1173" s="120"/>
      <c r="F1173" s="121"/>
      <c r="G1173" s="70"/>
      <c r="H1173" s="69"/>
      <c r="I1173" s="69"/>
      <c r="J1173" s="69"/>
    </row>
    <row r="1174">
      <c r="A1174" s="69"/>
      <c r="B1174" s="118"/>
      <c r="C1174" s="70"/>
      <c r="D1174" s="69"/>
      <c r="E1174" s="120"/>
      <c r="F1174" s="121"/>
      <c r="G1174" s="70"/>
      <c r="H1174" s="69"/>
      <c r="I1174" s="69"/>
      <c r="J1174" s="69"/>
    </row>
    <row r="1175">
      <c r="A1175" s="69"/>
      <c r="B1175" s="118"/>
      <c r="C1175" s="70"/>
      <c r="D1175" s="69"/>
      <c r="E1175" s="120"/>
      <c r="F1175" s="121"/>
      <c r="G1175" s="70"/>
      <c r="H1175" s="69"/>
      <c r="I1175" s="69"/>
      <c r="J1175" s="69"/>
    </row>
    <row r="1176">
      <c r="A1176" s="69"/>
      <c r="B1176" s="118"/>
      <c r="C1176" s="70"/>
      <c r="D1176" s="69"/>
      <c r="E1176" s="120"/>
      <c r="F1176" s="121"/>
      <c r="G1176" s="70"/>
      <c r="H1176" s="69"/>
      <c r="I1176" s="69"/>
      <c r="J1176" s="69"/>
    </row>
    <row r="1177">
      <c r="A1177" s="69"/>
      <c r="B1177" s="118"/>
      <c r="C1177" s="70"/>
      <c r="D1177" s="69"/>
      <c r="E1177" s="120"/>
      <c r="F1177" s="121"/>
      <c r="G1177" s="70"/>
      <c r="H1177" s="69"/>
      <c r="I1177" s="69"/>
      <c r="J1177" s="69"/>
    </row>
    <row r="1178">
      <c r="A1178" s="69"/>
      <c r="B1178" s="118"/>
      <c r="C1178" s="70"/>
      <c r="D1178" s="69"/>
      <c r="E1178" s="120"/>
      <c r="F1178" s="121"/>
      <c r="G1178" s="70"/>
      <c r="H1178" s="69"/>
      <c r="I1178" s="69"/>
      <c r="J1178" s="69"/>
    </row>
    <row r="1179">
      <c r="A1179" s="69"/>
      <c r="B1179" s="118"/>
      <c r="C1179" s="70"/>
      <c r="D1179" s="69"/>
      <c r="E1179" s="120"/>
      <c r="F1179" s="121"/>
      <c r="G1179" s="70"/>
      <c r="H1179" s="69"/>
      <c r="I1179" s="69"/>
      <c r="J1179" s="69"/>
    </row>
    <row r="1180">
      <c r="A1180" s="69"/>
      <c r="B1180" s="118"/>
      <c r="C1180" s="70"/>
      <c r="D1180" s="69"/>
      <c r="E1180" s="120"/>
      <c r="F1180" s="121"/>
      <c r="G1180" s="70"/>
      <c r="H1180" s="69"/>
      <c r="I1180" s="69"/>
      <c r="J1180" s="69"/>
    </row>
    <row r="1181">
      <c r="A1181" s="69"/>
      <c r="B1181" s="118"/>
      <c r="C1181" s="70"/>
      <c r="D1181" s="69"/>
      <c r="E1181" s="120"/>
      <c r="F1181" s="121"/>
      <c r="G1181" s="70"/>
      <c r="H1181" s="69"/>
      <c r="I1181" s="69"/>
      <c r="J1181" s="69"/>
    </row>
    <row r="1182">
      <c r="A1182" s="69"/>
      <c r="B1182" s="118"/>
      <c r="C1182" s="70"/>
      <c r="D1182" s="69"/>
      <c r="E1182" s="120"/>
      <c r="F1182" s="121"/>
      <c r="G1182" s="70"/>
      <c r="H1182" s="69"/>
      <c r="I1182" s="69"/>
      <c r="J1182" s="69"/>
    </row>
    <row r="1183">
      <c r="A1183" s="69"/>
      <c r="B1183" s="118"/>
      <c r="C1183" s="70"/>
      <c r="D1183" s="69"/>
      <c r="E1183" s="120"/>
      <c r="F1183" s="121"/>
      <c r="G1183" s="70"/>
      <c r="H1183" s="69"/>
      <c r="I1183" s="69"/>
      <c r="J1183" s="69"/>
    </row>
    <row r="1184">
      <c r="A1184" s="69"/>
      <c r="B1184" s="118"/>
      <c r="C1184" s="70"/>
      <c r="D1184" s="69"/>
      <c r="E1184" s="120"/>
      <c r="F1184" s="121"/>
      <c r="G1184" s="70"/>
      <c r="H1184" s="69"/>
      <c r="I1184" s="69"/>
      <c r="J1184" s="69"/>
    </row>
    <row r="1185">
      <c r="A1185" s="69"/>
      <c r="B1185" s="118"/>
      <c r="C1185" s="70"/>
      <c r="D1185" s="69"/>
      <c r="E1185" s="120"/>
      <c r="F1185" s="121"/>
      <c r="G1185" s="70"/>
      <c r="H1185" s="69"/>
      <c r="I1185" s="69"/>
      <c r="J1185" s="69"/>
    </row>
    <row r="1186">
      <c r="A1186" s="69"/>
      <c r="B1186" s="118"/>
      <c r="C1186" s="70"/>
      <c r="D1186" s="69"/>
      <c r="E1186" s="120"/>
      <c r="F1186" s="121"/>
      <c r="G1186" s="70"/>
      <c r="H1186" s="69"/>
      <c r="I1186" s="69"/>
      <c r="J1186" s="69"/>
    </row>
    <row r="1187">
      <c r="A1187" s="69"/>
      <c r="B1187" s="118"/>
      <c r="C1187" s="70"/>
      <c r="D1187" s="69"/>
      <c r="E1187" s="120"/>
      <c r="F1187" s="121"/>
      <c r="G1187" s="70"/>
      <c r="H1187" s="69"/>
      <c r="I1187" s="69"/>
      <c r="J1187" s="69"/>
    </row>
    <row r="1188">
      <c r="A1188" s="69"/>
      <c r="B1188" s="118"/>
      <c r="C1188" s="70"/>
      <c r="D1188" s="69"/>
      <c r="E1188" s="120"/>
      <c r="F1188" s="121"/>
      <c r="G1188" s="70"/>
      <c r="H1188" s="69"/>
      <c r="I1188" s="69"/>
      <c r="J1188" s="69"/>
    </row>
    <row r="1189">
      <c r="A1189" s="69"/>
      <c r="B1189" s="118"/>
      <c r="C1189" s="70"/>
      <c r="D1189" s="69"/>
      <c r="E1189" s="120"/>
      <c r="F1189" s="121"/>
      <c r="G1189" s="70"/>
      <c r="H1189" s="69"/>
      <c r="I1189" s="69"/>
      <c r="J1189" s="69"/>
    </row>
    <row r="1190">
      <c r="A1190" s="69"/>
      <c r="B1190" s="118"/>
      <c r="C1190" s="70"/>
      <c r="D1190" s="69"/>
      <c r="E1190" s="120"/>
      <c r="F1190" s="121"/>
      <c r="G1190" s="70"/>
      <c r="H1190" s="69"/>
      <c r="I1190" s="69"/>
      <c r="J1190" s="69"/>
    </row>
    <row r="1191">
      <c r="A1191" s="69"/>
      <c r="B1191" s="118"/>
      <c r="C1191" s="70"/>
      <c r="D1191" s="69"/>
      <c r="E1191" s="120"/>
      <c r="F1191" s="121"/>
      <c r="G1191" s="70"/>
      <c r="H1191" s="69"/>
      <c r="I1191" s="69"/>
      <c r="J1191" s="69"/>
    </row>
    <row r="1192">
      <c r="A1192" s="69"/>
      <c r="B1192" s="118"/>
      <c r="C1192" s="70"/>
      <c r="D1192" s="69"/>
      <c r="E1192" s="120"/>
      <c r="F1192" s="121"/>
      <c r="G1192" s="70"/>
      <c r="H1192" s="69"/>
      <c r="I1192" s="69"/>
      <c r="J1192" s="69"/>
    </row>
    <row r="1193">
      <c r="A1193" s="69"/>
      <c r="B1193" s="118"/>
      <c r="C1193" s="70"/>
      <c r="D1193" s="69"/>
      <c r="E1193" s="120"/>
      <c r="F1193" s="121"/>
      <c r="G1193" s="70"/>
      <c r="H1193" s="69"/>
      <c r="I1193" s="69"/>
      <c r="J1193" s="69"/>
    </row>
    <row r="1194">
      <c r="A1194" s="69"/>
      <c r="B1194" s="118"/>
      <c r="C1194" s="70"/>
      <c r="D1194" s="69"/>
      <c r="E1194" s="120"/>
      <c r="F1194" s="121"/>
      <c r="G1194" s="70"/>
      <c r="H1194" s="69"/>
      <c r="I1194" s="69"/>
      <c r="J1194" s="69"/>
    </row>
    <row r="1195">
      <c r="A1195" s="69"/>
      <c r="B1195" s="118"/>
      <c r="C1195" s="70"/>
      <c r="D1195" s="69"/>
      <c r="E1195" s="120"/>
      <c r="F1195" s="121"/>
      <c r="G1195" s="70"/>
      <c r="H1195" s="69"/>
      <c r="I1195" s="69"/>
      <c r="J1195" s="69"/>
    </row>
    <row r="1196">
      <c r="A1196" s="69"/>
      <c r="B1196" s="118"/>
      <c r="C1196" s="70"/>
      <c r="D1196" s="69"/>
      <c r="E1196" s="120"/>
      <c r="F1196" s="121"/>
      <c r="G1196" s="70"/>
      <c r="H1196" s="69"/>
      <c r="I1196" s="69"/>
      <c r="J1196" s="69"/>
    </row>
    <row r="1197">
      <c r="A1197" s="69"/>
      <c r="B1197" s="118"/>
      <c r="C1197" s="70"/>
      <c r="D1197" s="69"/>
      <c r="E1197" s="120"/>
      <c r="F1197" s="121"/>
      <c r="G1197" s="70"/>
      <c r="H1197" s="69"/>
      <c r="I1197" s="69"/>
      <c r="J1197" s="69"/>
    </row>
    <row r="1198">
      <c r="A1198" s="69"/>
      <c r="B1198" s="118"/>
      <c r="C1198" s="70"/>
      <c r="D1198" s="69"/>
      <c r="E1198" s="120"/>
      <c r="F1198" s="121"/>
      <c r="G1198" s="70"/>
      <c r="H1198" s="69"/>
      <c r="I1198" s="69"/>
      <c r="J1198" s="69"/>
    </row>
    <row r="1199">
      <c r="A1199" s="69"/>
      <c r="B1199" s="118"/>
      <c r="C1199" s="70"/>
      <c r="D1199" s="69"/>
      <c r="E1199" s="120"/>
      <c r="F1199" s="121"/>
      <c r="G1199" s="70"/>
      <c r="H1199" s="69"/>
      <c r="I1199" s="69"/>
      <c r="J1199" s="69"/>
    </row>
    <row r="1200">
      <c r="A1200" s="69"/>
      <c r="B1200" s="118"/>
      <c r="C1200" s="70"/>
      <c r="D1200" s="69"/>
      <c r="E1200" s="120"/>
      <c r="F1200" s="121"/>
      <c r="G1200" s="70"/>
      <c r="H1200" s="69"/>
      <c r="I1200" s="69"/>
      <c r="J1200" s="69"/>
    </row>
    <row r="1201">
      <c r="A1201" s="69"/>
      <c r="B1201" s="118"/>
      <c r="C1201" s="70"/>
      <c r="D1201" s="69"/>
      <c r="E1201" s="120"/>
      <c r="F1201" s="121"/>
      <c r="G1201" s="70"/>
      <c r="H1201" s="69"/>
      <c r="I1201" s="69"/>
      <c r="J1201" s="69"/>
    </row>
    <row r="1202">
      <c r="A1202" s="69"/>
      <c r="B1202" s="118"/>
      <c r="C1202" s="70"/>
      <c r="D1202" s="69"/>
      <c r="E1202" s="120"/>
      <c r="F1202" s="121"/>
      <c r="G1202" s="70"/>
      <c r="H1202" s="69"/>
      <c r="I1202" s="69"/>
      <c r="J1202" s="69"/>
    </row>
    <row r="1203">
      <c r="A1203" s="69"/>
      <c r="B1203" s="118"/>
      <c r="C1203" s="70"/>
      <c r="D1203" s="69"/>
      <c r="E1203" s="120"/>
      <c r="F1203" s="121"/>
      <c r="G1203" s="70"/>
      <c r="H1203" s="69"/>
      <c r="I1203" s="69"/>
      <c r="J1203" s="69"/>
    </row>
    <row r="1204">
      <c r="A1204" s="69"/>
      <c r="B1204" s="118"/>
      <c r="C1204" s="70"/>
      <c r="D1204" s="69"/>
      <c r="E1204" s="120"/>
      <c r="F1204" s="121"/>
      <c r="G1204" s="70"/>
      <c r="H1204" s="69"/>
      <c r="I1204" s="69"/>
      <c r="J1204" s="69"/>
    </row>
    <row r="1205">
      <c r="A1205" s="69"/>
      <c r="B1205" s="118"/>
      <c r="C1205" s="70"/>
      <c r="D1205" s="69"/>
      <c r="E1205" s="120"/>
      <c r="F1205" s="121"/>
      <c r="G1205" s="70"/>
      <c r="H1205" s="69"/>
      <c r="I1205" s="69"/>
      <c r="J1205" s="69"/>
    </row>
    <row r="1206">
      <c r="A1206" s="69"/>
      <c r="B1206" s="118"/>
      <c r="C1206" s="70"/>
      <c r="D1206" s="69"/>
      <c r="E1206" s="120"/>
      <c r="F1206" s="121"/>
      <c r="G1206" s="70"/>
      <c r="H1206" s="69"/>
      <c r="I1206" s="69"/>
      <c r="J1206" s="69"/>
    </row>
    <row r="1207">
      <c r="A1207" s="69"/>
      <c r="B1207" s="118"/>
      <c r="C1207" s="70"/>
      <c r="D1207" s="69"/>
      <c r="E1207" s="120"/>
      <c r="F1207" s="121"/>
      <c r="G1207" s="70"/>
      <c r="H1207" s="69"/>
      <c r="I1207" s="69"/>
      <c r="J1207" s="69"/>
    </row>
    <row r="1208">
      <c r="A1208" s="69"/>
      <c r="B1208" s="118"/>
      <c r="C1208" s="70"/>
      <c r="D1208" s="69"/>
      <c r="E1208" s="120"/>
      <c r="F1208" s="121"/>
      <c r="G1208" s="70"/>
      <c r="H1208" s="69"/>
      <c r="I1208" s="69"/>
      <c r="J1208" s="69"/>
    </row>
    <row r="1209">
      <c r="A1209" s="69"/>
      <c r="B1209" s="118"/>
      <c r="C1209" s="70"/>
      <c r="D1209" s="69"/>
      <c r="E1209" s="120"/>
      <c r="F1209" s="121"/>
      <c r="G1209" s="70"/>
      <c r="H1209" s="69"/>
      <c r="I1209" s="69"/>
      <c r="J1209" s="69"/>
    </row>
    <row r="1210">
      <c r="A1210" s="69"/>
      <c r="B1210" s="118"/>
      <c r="C1210" s="70"/>
      <c r="D1210" s="69"/>
      <c r="E1210" s="120"/>
      <c r="F1210" s="121"/>
      <c r="G1210" s="70"/>
      <c r="H1210" s="69"/>
      <c r="I1210" s="69"/>
      <c r="J1210" s="69"/>
    </row>
  </sheetData>
  <mergeCells count="1">
    <mergeCell ref="A51:J5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1.0"/>
    <col customWidth="1" min="3" max="10" width="18.88"/>
    <col customWidth="1" min="11" max="11" width="3.63"/>
  </cols>
  <sheetData>
    <row r="1">
      <c r="A1" s="66" t="s">
        <v>820</v>
      </c>
      <c r="B1" s="65" t="s">
        <v>303</v>
      </c>
      <c r="C1" s="66" t="s">
        <v>3540</v>
      </c>
      <c r="D1" s="65" t="s">
        <v>3541</v>
      </c>
      <c r="E1" s="109"/>
      <c r="F1" s="66"/>
      <c r="G1" s="66"/>
      <c r="H1" s="66"/>
      <c r="I1" s="66"/>
      <c r="J1" s="66"/>
      <c r="K1" s="66"/>
    </row>
    <row r="2" ht="2.25" customHeight="1">
      <c r="A2" s="37"/>
      <c r="B2" s="31"/>
      <c r="C2" s="38"/>
      <c r="D2" s="84"/>
      <c r="K2" s="66"/>
    </row>
    <row r="3">
      <c r="A3" s="37">
        <v>44725.69660775463</v>
      </c>
      <c r="B3" s="31" t="s">
        <v>882</v>
      </c>
      <c r="C3" s="38" t="s">
        <v>1519</v>
      </c>
      <c r="D3" s="84"/>
      <c r="K3" s="66"/>
    </row>
    <row r="4">
      <c r="A4" s="37">
        <v>44726.36845893519</v>
      </c>
      <c r="B4" s="31" t="s">
        <v>3506</v>
      </c>
      <c r="C4" s="38" t="s">
        <v>2248</v>
      </c>
      <c r="D4" s="84"/>
      <c r="K4" s="66"/>
    </row>
    <row r="5">
      <c r="A5" s="37"/>
      <c r="B5" s="46"/>
      <c r="K5" s="66"/>
    </row>
    <row r="6">
      <c r="A6" s="37">
        <v>44728.404127974536</v>
      </c>
      <c r="B6" s="46" t="s">
        <v>890</v>
      </c>
      <c r="C6" s="38" t="s">
        <v>3542</v>
      </c>
      <c r="D6" s="84"/>
      <c r="K6" s="66"/>
    </row>
    <row r="7">
      <c r="A7" s="37">
        <v>44728.45819733797</v>
      </c>
      <c r="B7" s="38" t="s">
        <v>891</v>
      </c>
      <c r="C7" s="38" t="s">
        <v>2271</v>
      </c>
      <c r="D7" s="38" t="s">
        <v>3543</v>
      </c>
      <c r="K7" s="66"/>
    </row>
    <row r="8">
      <c r="A8" s="37">
        <v>44728.535786759254</v>
      </c>
      <c r="B8" s="38" t="s">
        <v>887</v>
      </c>
      <c r="C8" s="38" t="s">
        <v>2271</v>
      </c>
      <c r="D8" s="38" t="s">
        <v>3544</v>
      </c>
      <c r="K8" s="66"/>
    </row>
    <row r="9">
      <c r="A9" s="37">
        <v>44728.53615511574</v>
      </c>
      <c r="B9" s="38" t="s">
        <v>895</v>
      </c>
      <c r="C9" s="38" t="s">
        <v>2271</v>
      </c>
      <c r="D9" s="38" t="s">
        <v>3545</v>
      </c>
      <c r="K9" s="66"/>
    </row>
    <row r="10">
      <c r="A10" s="37">
        <v>44728.53655726852</v>
      </c>
      <c r="B10" s="38" t="s">
        <v>903</v>
      </c>
      <c r="C10" s="38" t="s">
        <v>2271</v>
      </c>
      <c r="D10" s="38" t="s">
        <v>3546</v>
      </c>
      <c r="K10" s="66"/>
    </row>
    <row r="11">
      <c r="A11" s="37">
        <v>44729.62841464121</v>
      </c>
      <c r="B11" s="38" t="s">
        <v>1088</v>
      </c>
      <c r="C11" s="38" t="s">
        <v>120</v>
      </c>
      <c r="D11" s="38" t="s">
        <v>3544</v>
      </c>
      <c r="K11" s="66"/>
    </row>
    <row r="12">
      <c r="A12" s="37">
        <v>44812.63125064815</v>
      </c>
      <c r="C12" s="38" t="s">
        <v>1105</v>
      </c>
      <c r="D12" s="38" t="s">
        <v>3544</v>
      </c>
    </row>
    <row r="13">
      <c r="B13" s="46" t="s">
        <v>891</v>
      </c>
      <c r="K13" s="66"/>
    </row>
    <row r="14">
      <c r="B14" s="46" t="s">
        <v>895</v>
      </c>
      <c r="K14" s="66"/>
    </row>
    <row r="15">
      <c r="B15" s="46" t="s">
        <v>897</v>
      </c>
      <c r="K15" s="66"/>
    </row>
    <row r="16">
      <c r="B16" s="46" t="s">
        <v>898</v>
      </c>
      <c r="K16" s="66"/>
    </row>
    <row r="17">
      <c r="B17" s="46" t="s">
        <v>901</v>
      </c>
      <c r="K17" s="66"/>
    </row>
    <row r="18">
      <c r="B18" s="46" t="s">
        <v>903</v>
      </c>
      <c r="K18" s="66"/>
    </row>
    <row r="19">
      <c r="B19" s="46" t="s">
        <v>905</v>
      </c>
      <c r="K19" s="66"/>
    </row>
    <row r="20">
      <c r="B20" s="46" t="s">
        <v>907</v>
      </c>
      <c r="K20" s="66"/>
    </row>
    <row r="21">
      <c r="B21" s="46" t="s">
        <v>912</v>
      </c>
      <c r="C21" s="38" t="s">
        <v>1519</v>
      </c>
      <c r="D21" s="38" t="s">
        <v>3547</v>
      </c>
      <c r="K21" s="66"/>
    </row>
    <row r="22">
      <c r="B22" s="58" t="s">
        <v>620</v>
      </c>
      <c r="C22" s="38" t="s">
        <v>3539</v>
      </c>
      <c r="D22" s="38" t="s">
        <v>3547</v>
      </c>
      <c r="F22" s="122"/>
      <c r="G22" s="115"/>
      <c r="K22" s="66"/>
    </row>
    <row r="23">
      <c r="B23" s="46" t="s">
        <v>776</v>
      </c>
      <c r="C23" s="38" t="s">
        <v>3539</v>
      </c>
      <c r="D23" s="38" t="s">
        <v>3547</v>
      </c>
      <c r="K23" s="66"/>
    </row>
    <row r="24">
      <c r="B24" s="46"/>
      <c r="K24" s="66"/>
    </row>
    <row r="25">
      <c r="B25" s="46"/>
      <c r="K25" s="66"/>
    </row>
    <row r="26">
      <c r="B26" s="46"/>
      <c r="K26" s="66"/>
    </row>
    <row r="27">
      <c r="B27" s="46"/>
      <c r="K27" s="66"/>
    </row>
    <row r="28">
      <c r="B28" s="46"/>
      <c r="K28" s="66"/>
    </row>
    <row r="29">
      <c r="B29" s="46"/>
      <c r="K29" s="66"/>
    </row>
    <row r="30">
      <c r="B30" s="46"/>
      <c r="K30" s="66"/>
    </row>
    <row r="31">
      <c r="B31" s="46"/>
      <c r="K31" s="66"/>
    </row>
    <row r="32">
      <c r="B32" s="46"/>
      <c r="K32" s="66"/>
    </row>
    <row r="33">
      <c r="B33" s="46"/>
      <c r="K33" s="66"/>
    </row>
    <row r="34">
      <c r="B34" s="46"/>
      <c r="K34" s="66"/>
    </row>
    <row r="35">
      <c r="B35" s="46"/>
      <c r="K35" s="66"/>
    </row>
    <row r="36">
      <c r="B36" s="46"/>
      <c r="K36" s="66"/>
    </row>
    <row r="37">
      <c r="B37" s="46"/>
      <c r="K37" s="66"/>
    </row>
    <row r="38">
      <c r="B38" s="46"/>
      <c r="K38" s="66"/>
    </row>
    <row r="39">
      <c r="B39" s="46"/>
      <c r="K39" s="66"/>
    </row>
    <row r="40">
      <c r="B40" s="46"/>
      <c r="K40" s="66"/>
    </row>
    <row r="41">
      <c r="B41" s="46"/>
      <c r="K41" s="66"/>
    </row>
    <row r="42">
      <c r="B42" s="46"/>
      <c r="K42" s="66"/>
    </row>
    <row r="43">
      <c r="B43" s="46"/>
      <c r="K43" s="66"/>
    </row>
    <row r="44">
      <c r="B44" s="46"/>
      <c r="K44" s="66"/>
    </row>
    <row r="45">
      <c r="B45" s="46" t="s">
        <v>985</v>
      </c>
      <c r="K45" s="66"/>
    </row>
    <row r="46">
      <c r="B46" s="46"/>
      <c r="K46" s="66"/>
    </row>
    <row r="47">
      <c r="B47" s="46"/>
      <c r="K47" s="66"/>
    </row>
    <row r="48">
      <c r="B48" s="46"/>
      <c r="K48" s="66"/>
    </row>
    <row r="49">
      <c r="B49" s="46"/>
      <c r="K49" s="66"/>
    </row>
    <row r="50">
      <c r="B50" s="46"/>
      <c r="K50" s="66"/>
    </row>
    <row r="51">
      <c r="B51" s="46"/>
      <c r="K51" s="66"/>
    </row>
    <row r="52">
      <c r="B52" s="46"/>
      <c r="K52" s="66"/>
    </row>
    <row r="53">
      <c r="B53" s="46"/>
      <c r="K53" s="66"/>
    </row>
    <row r="54">
      <c r="B54" s="46"/>
      <c r="K54" s="66"/>
    </row>
    <row r="55">
      <c r="B55" s="46"/>
      <c r="K55" s="66"/>
    </row>
    <row r="56">
      <c r="B56" s="46"/>
      <c r="K56" s="66"/>
    </row>
    <row r="57">
      <c r="B57" s="46"/>
      <c r="K57" s="66"/>
    </row>
    <row r="58">
      <c r="B58" s="46"/>
      <c r="K58" s="66"/>
    </row>
    <row r="59">
      <c r="B59" s="46"/>
      <c r="K59" s="66"/>
    </row>
    <row r="60">
      <c r="B60" s="46"/>
      <c r="K60" s="66"/>
    </row>
    <row r="61">
      <c r="B61" s="46"/>
      <c r="K61" s="66"/>
    </row>
    <row r="62">
      <c r="B62" s="46"/>
      <c r="K62" s="66"/>
    </row>
    <row r="63">
      <c r="B63" s="46"/>
      <c r="K63" s="66"/>
    </row>
    <row r="64">
      <c r="B64" s="46"/>
      <c r="K64" s="66"/>
    </row>
    <row r="65">
      <c r="B65" s="46"/>
      <c r="K65" s="66"/>
    </row>
    <row r="66">
      <c r="B66" s="51" t="s">
        <v>1048</v>
      </c>
      <c r="K66" s="66"/>
    </row>
    <row r="67">
      <c r="B67" s="46" t="s">
        <v>249</v>
      </c>
      <c r="K67" s="66"/>
    </row>
    <row r="68">
      <c r="B68" s="46"/>
      <c r="K68" s="66"/>
    </row>
    <row r="69">
      <c r="B69" s="46"/>
      <c r="K69" s="66"/>
    </row>
    <row r="70">
      <c r="B70" s="46" t="s">
        <v>1056</v>
      </c>
      <c r="K70" s="66"/>
    </row>
    <row r="71">
      <c r="B71" s="46" t="s">
        <v>1057</v>
      </c>
      <c r="K71" s="66"/>
    </row>
    <row r="72">
      <c r="B72" s="46"/>
      <c r="K72" s="66"/>
    </row>
    <row r="73">
      <c r="B73" s="46"/>
      <c r="K73" s="66"/>
    </row>
    <row r="74">
      <c r="B74" s="46" t="s">
        <v>1066</v>
      </c>
      <c r="K74" s="66"/>
    </row>
    <row r="75">
      <c r="B75" s="46"/>
      <c r="K75" s="66"/>
    </row>
    <row r="76">
      <c r="B76" s="46"/>
      <c r="K76" s="66"/>
    </row>
    <row r="77">
      <c r="B77" s="46"/>
      <c r="K77" s="66"/>
    </row>
    <row r="78">
      <c r="B78" s="46"/>
      <c r="K78" s="66"/>
    </row>
    <row r="79">
      <c r="B79" s="46"/>
      <c r="K79" s="66"/>
    </row>
    <row r="80">
      <c r="B80" s="46" t="s">
        <v>1082</v>
      </c>
      <c r="K80" s="66"/>
    </row>
    <row r="81">
      <c r="B81" s="46" t="s">
        <v>1084</v>
      </c>
      <c r="K81" s="66"/>
    </row>
    <row r="82">
      <c r="B82" s="46" t="s">
        <v>1086</v>
      </c>
      <c r="K82" s="66"/>
    </row>
    <row r="83">
      <c r="B83" s="46" t="s">
        <v>1088</v>
      </c>
      <c r="K83" s="66"/>
    </row>
    <row r="84">
      <c r="B84" s="46" t="s">
        <v>1090</v>
      </c>
      <c r="K84" s="66"/>
    </row>
    <row r="85">
      <c r="B85" s="46" t="s">
        <v>1092</v>
      </c>
      <c r="K85" s="66"/>
    </row>
    <row r="86">
      <c r="B86" s="46" t="s">
        <v>1094</v>
      </c>
      <c r="K86" s="66"/>
    </row>
    <row r="87">
      <c r="B87" s="46" t="s">
        <v>1096</v>
      </c>
      <c r="K87" s="66"/>
    </row>
    <row r="88">
      <c r="B88" s="46" t="s">
        <v>1098</v>
      </c>
      <c r="K88" s="66"/>
    </row>
    <row r="89">
      <c r="B89" s="46" t="s">
        <v>1100</v>
      </c>
      <c r="K89" s="66"/>
    </row>
    <row r="90">
      <c r="B90" s="31"/>
      <c r="K90" s="66"/>
    </row>
    <row r="91">
      <c r="B91" s="31"/>
      <c r="K91" s="66"/>
    </row>
    <row r="92">
      <c r="B92" s="31"/>
      <c r="K92" s="66"/>
    </row>
    <row r="93">
      <c r="B93" s="31"/>
      <c r="K93" s="66"/>
    </row>
    <row r="94">
      <c r="B94" s="31"/>
      <c r="K94" s="66"/>
    </row>
    <row r="95">
      <c r="B95" s="31"/>
      <c r="K95" s="66"/>
    </row>
    <row r="96">
      <c r="B96" s="31"/>
      <c r="K96" s="66"/>
    </row>
    <row r="97">
      <c r="B97" s="31"/>
      <c r="K97" s="66"/>
    </row>
    <row r="98">
      <c r="B98" s="31"/>
      <c r="K98" s="66"/>
    </row>
    <row r="99">
      <c r="B99" s="31"/>
      <c r="K99" s="66"/>
    </row>
    <row r="100">
      <c r="B100" s="31"/>
      <c r="K100" s="66"/>
    </row>
    <row r="101">
      <c r="B101" s="42"/>
      <c r="K101" s="66"/>
    </row>
    <row r="102">
      <c r="B102" s="31" t="s">
        <v>157</v>
      </c>
      <c r="K102" s="66"/>
    </row>
    <row r="103">
      <c r="B103" s="31" t="s">
        <v>23</v>
      </c>
      <c r="K103" s="66"/>
    </row>
    <row r="104">
      <c r="B104" s="31" t="s">
        <v>31</v>
      </c>
      <c r="K104" s="66"/>
    </row>
    <row r="105">
      <c r="B105" s="31"/>
      <c r="K105" s="66"/>
    </row>
    <row r="106">
      <c r="B106" s="31"/>
      <c r="K106" s="66"/>
    </row>
    <row r="107">
      <c r="B107" s="31" t="s">
        <v>448</v>
      </c>
      <c r="K107" s="66"/>
    </row>
    <row r="108">
      <c r="B108" s="31"/>
      <c r="K108" s="66"/>
    </row>
    <row r="109">
      <c r="B109" s="42"/>
      <c r="K109" s="66"/>
    </row>
    <row r="110">
      <c r="B110" s="31"/>
      <c r="K110" s="66"/>
    </row>
    <row r="111">
      <c r="B111" s="31" t="s">
        <v>1142</v>
      </c>
      <c r="K111" s="66"/>
    </row>
    <row r="112">
      <c r="B112" s="31" t="s">
        <v>1145</v>
      </c>
      <c r="K112" s="66"/>
    </row>
    <row r="113">
      <c r="B113" s="31" t="s">
        <v>1147</v>
      </c>
      <c r="K113" s="66"/>
    </row>
    <row r="114">
      <c r="B114" s="31" t="s">
        <v>1150</v>
      </c>
      <c r="K114" s="66"/>
    </row>
    <row r="115">
      <c r="B115" s="31" t="s">
        <v>1151</v>
      </c>
      <c r="K115" s="66"/>
    </row>
    <row r="116">
      <c r="B116" s="31" t="s">
        <v>1153</v>
      </c>
      <c r="K116" s="66"/>
    </row>
    <row r="117">
      <c r="B117" s="31" t="s">
        <v>1155</v>
      </c>
      <c r="K117" s="66"/>
    </row>
    <row r="118">
      <c r="B118" s="31" t="s">
        <v>1157</v>
      </c>
      <c r="K118" s="66"/>
    </row>
    <row r="119">
      <c r="B119" s="31" t="s">
        <v>1159</v>
      </c>
      <c r="K119" s="66"/>
    </row>
    <row r="120">
      <c r="B120" s="31" t="s">
        <v>1161</v>
      </c>
      <c r="K120" s="66"/>
    </row>
    <row r="121">
      <c r="B121" s="31" t="s">
        <v>1163</v>
      </c>
      <c r="K121" s="66"/>
    </row>
    <row r="122">
      <c r="B122" s="31" t="s">
        <v>1165</v>
      </c>
      <c r="K122" s="66"/>
    </row>
    <row r="123">
      <c r="B123" s="31" t="s">
        <v>1166</v>
      </c>
      <c r="K123" s="66"/>
    </row>
    <row r="124">
      <c r="B124" s="31" t="s">
        <v>1167</v>
      </c>
      <c r="K124" s="66"/>
    </row>
    <row r="125">
      <c r="B125" s="31" t="s">
        <v>1168</v>
      </c>
      <c r="K125" s="66"/>
    </row>
    <row r="126">
      <c r="B126" s="31" t="s">
        <v>1170</v>
      </c>
      <c r="K126" s="66"/>
    </row>
    <row r="127">
      <c r="B127" s="31" t="s">
        <v>1171</v>
      </c>
      <c r="K127" s="66"/>
    </row>
    <row r="128">
      <c r="B128" s="31" t="s">
        <v>1173</v>
      </c>
      <c r="K128" s="66"/>
    </row>
    <row r="129">
      <c r="B129" s="31" t="s">
        <v>1175</v>
      </c>
      <c r="K129" s="66"/>
    </row>
    <row r="130">
      <c r="B130" s="31" t="s">
        <v>1177</v>
      </c>
      <c r="K130" s="66"/>
    </row>
    <row r="131">
      <c r="B131" s="54"/>
      <c r="K131" s="66"/>
    </row>
    <row r="132">
      <c r="B132" s="54"/>
      <c r="K132" s="66"/>
    </row>
    <row r="133">
      <c r="B133" s="54"/>
      <c r="K133" s="66"/>
    </row>
    <row r="134">
      <c r="B134" s="31" t="s">
        <v>1183</v>
      </c>
      <c r="K134" s="66"/>
    </row>
    <row r="135">
      <c r="B135" s="46" t="s">
        <v>1184</v>
      </c>
      <c r="K135" s="66"/>
    </row>
    <row r="136">
      <c r="B136" s="46" t="s">
        <v>1161</v>
      </c>
      <c r="K136" s="66"/>
    </row>
    <row r="137">
      <c r="B137" s="46" t="s">
        <v>1189</v>
      </c>
      <c r="K137" s="66"/>
    </row>
    <row r="138">
      <c r="B138" s="46" t="s">
        <v>1191</v>
      </c>
      <c r="K138" s="66"/>
    </row>
    <row r="139">
      <c r="B139" s="46" t="s">
        <v>1193</v>
      </c>
      <c r="K139" s="66"/>
    </row>
    <row r="140">
      <c r="B140" s="46" t="s">
        <v>1196</v>
      </c>
      <c r="K140" s="66"/>
    </row>
    <row r="141">
      <c r="B141" s="46" t="s">
        <v>1198</v>
      </c>
      <c r="K141" s="66"/>
    </row>
    <row r="142">
      <c r="B142" s="46" t="s">
        <v>1153</v>
      </c>
      <c r="K142" s="66"/>
    </row>
    <row r="143">
      <c r="B143" s="46" t="s">
        <v>1155</v>
      </c>
      <c r="K143" s="66"/>
    </row>
    <row r="144">
      <c r="B144" s="46" t="s">
        <v>244</v>
      </c>
      <c r="K144" s="66"/>
    </row>
    <row r="145">
      <c r="B145" s="46" t="s">
        <v>1204</v>
      </c>
      <c r="K145" s="66"/>
    </row>
    <row r="146">
      <c r="B146" s="46" t="s">
        <v>260</v>
      </c>
      <c r="K146" s="66"/>
    </row>
    <row r="147">
      <c r="B147" s="46" t="s">
        <v>68</v>
      </c>
      <c r="K147" s="66"/>
    </row>
    <row r="148">
      <c r="B148" s="46" t="s">
        <v>1205</v>
      </c>
      <c r="K148" s="66"/>
    </row>
    <row r="149">
      <c r="B149" s="46" t="s">
        <v>1207</v>
      </c>
      <c r="K149" s="66"/>
    </row>
    <row r="150">
      <c r="B150" s="46" t="s">
        <v>1209</v>
      </c>
      <c r="K150" s="66"/>
    </row>
    <row r="151">
      <c r="B151" s="46" t="s">
        <v>1211</v>
      </c>
      <c r="K151" s="66"/>
    </row>
    <row r="152">
      <c r="B152" s="46" t="s">
        <v>1213</v>
      </c>
      <c r="K152" s="66"/>
    </row>
    <row r="153">
      <c r="B153" s="46" t="s">
        <v>1215</v>
      </c>
      <c r="K153" s="66"/>
    </row>
    <row r="154">
      <c r="B154" s="46" t="s">
        <v>1216</v>
      </c>
      <c r="K154" s="66"/>
    </row>
    <row r="155">
      <c r="B155" s="46"/>
      <c r="K155" s="66"/>
    </row>
    <row r="156">
      <c r="B156" s="31" t="s">
        <v>1218</v>
      </c>
      <c r="K156" s="66"/>
    </row>
    <row r="157">
      <c r="B157" s="31" t="s">
        <v>1220</v>
      </c>
      <c r="K157" s="66"/>
    </row>
    <row r="158">
      <c r="B158" s="31" t="s">
        <v>1222</v>
      </c>
      <c r="K158" s="66"/>
    </row>
    <row r="159">
      <c r="B159" s="31" t="s">
        <v>1224</v>
      </c>
      <c r="K159" s="66"/>
    </row>
    <row r="160">
      <c r="B160" s="31" t="s">
        <v>1226</v>
      </c>
      <c r="K160" s="66"/>
    </row>
    <row r="161">
      <c r="B161" s="31" t="s">
        <v>1229</v>
      </c>
      <c r="K161" s="66"/>
    </row>
    <row r="162">
      <c r="B162" s="31" t="s">
        <v>1145</v>
      </c>
      <c r="K162" s="66"/>
    </row>
    <row r="163">
      <c r="B163" s="31" t="s">
        <v>1230</v>
      </c>
      <c r="K163" s="66"/>
    </row>
    <row r="164">
      <c r="B164" s="31" t="s">
        <v>1231</v>
      </c>
      <c r="K164" s="66"/>
    </row>
    <row r="165">
      <c r="B165" s="31" t="s">
        <v>1232</v>
      </c>
      <c r="K165" s="66"/>
    </row>
    <row r="166">
      <c r="B166" s="31" t="s">
        <v>1234</v>
      </c>
      <c r="K166" s="66"/>
    </row>
    <row r="167">
      <c r="B167" s="31" t="s">
        <v>1235</v>
      </c>
      <c r="K167" s="66"/>
    </row>
    <row r="168">
      <c r="B168" s="31" t="s">
        <v>1237</v>
      </c>
      <c r="K168" s="66"/>
    </row>
    <row r="169">
      <c r="B169" s="31" t="s">
        <v>1238</v>
      </c>
      <c r="K169" s="66"/>
    </row>
    <row r="170">
      <c r="B170" s="31" t="s">
        <v>1239</v>
      </c>
      <c r="K170" s="66"/>
    </row>
    <row r="171">
      <c r="B171" s="31" t="s">
        <v>1240</v>
      </c>
      <c r="K171" s="66"/>
    </row>
    <row r="172">
      <c r="B172" s="31"/>
      <c r="K172" s="66"/>
    </row>
    <row r="173">
      <c r="B173" s="46" t="s">
        <v>1242</v>
      </c>
      <c r="K173" s="66"/>
    </row>
    <row r="174">
      <c r="B174" s="46" t="s">
        <v>1245</v>
      </c>
      <c r="K174" s="66"/>
    </row>
    <row r="175">
      <c r="B175" s="46" t="s">
        <v>1247</v>
      </c>
      <c r="K175" s="66"/>
    </row>
    <row r="176">
      <c r="B176" s="57" t="s">
        <v>1248</v>
      </c>
      <c r="K176" s="66"/>
    </row>
    <row r="177">
      <c r="B177" s="58" t="s">
        <v>1250</v>
      </c>
      <c r="K177" s="66"/>
    </row>
    <row r="178">
      <c r="B178" s="59" t="s">
        <v>1251</v>
      </c>
      <c r="K178" s="66"/>
    </row>
    <row r="179">
      <c r="B179" s="58" t="s">
        <v>1252</v>
      </c>
      <c r="K179" s="66"/>
    </row>
    <row r="180">
      <c r="B180" s="59" t="s">
        <v>731</v>
      </c>
      <c r="K180" s="66"/>
    </row>
    <row r="181">
      <c r="B181" s="58" t="s">
        <v>1253</v>
      </c>
      <c r="K181" s="66"/>
    </row>
    <row r="182">
      <c r="B182" s="59" t="s">
        <v>1254</v>
      </c>
      <c r="K182" s="66"/>
    </row>
    <row r="183">
      <c r="B183" s="58" t="s">
        <v>1255</v>
      </c>
      <c r="K183" s="66"/>
    </row>
    <row r="184">
      <c r="B184" s="59" t="s">
        <v>1256</v>
      </c>
      <c r="K184" s="66"/>
    </row>
    <row r="185">
      <c r="B185" s="58" t="s">
        <v>1257</v>
      </c>
      <c r="K185" s="66"/>
    </row>
    <row r="186">
      <c r="B186" s="59" t="s">
        <v>1258</v>
      </c>
      <c r="K186" s="66"/>
    </row>
    <row r="187">
      <c r="B187" s="58" t="s">
        <v>1259</v>
      </c>
      <c r="K187" s="66"/>
    </row>
    <row r="188">
      <c r="B188" s="58"/>
      <c r="K188" s="66"/>
    </row>
    <row r="189">
      <c r="B189" s="58"/>
      <c r="K189" s="66"/>
    </row>
    <row r="190">
      <c r="B190" s="58"/>
      <c r="K190" s="66"/>
    </row>
    <row r="191">
      <c r="B191" s="58"/>
      <c r="K191" s="66"/>
    </row>
    <row r="192">
      <c r="B192" s="58"/>
      <c r="K192" s="66"/>
    </row>
    <row r="193">
      <c r="B193" s="58"/>
      <c r="K193" s="66"/>
    </row>
    <row r="194">
      <c r="B194" s="58"/>
      <c r="K194" s="66"/>
    </row>
    <row r="195">
      <c r="B195" s="58"/>
      <c r="K195" s="66"/>
    </row>
    <row r="196">
      <c r="B196" s="58"/>
      <c r="K196" s="66"/>
    </row>
    <row r="197">
      <c r="A197" s="66"/>
      <c r="B197" s="123"/>
      <c r="C197" s="66"/>
      <c r="D197" s="66"/>
      <c r="E197" s="66"/>
      <c r="F197" s="66"/>
      <c r="G197" s="66"/>
      <c r="H197" s="66"/>
      <c r="I197" s="66"/>
      <c r="J197" s="66"/>
      <c r="K197" s="6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4" t="s">
        <v>3548</v>
      </c>
      <c r="B1" s="124" t="s">
        <v>823</v>
      </c>
      <c r="C1" s="125"/>
      <c r="D1" s="125"/>
      <c r="E1" s="125"/>
      <c r="F1" s="125"/>
      <c r="G1" s="125"/>
      <c r="H1" s="125"/>
      <c r="I1" s="125"/>
      <c r="J1" s="125"/>
      <c r="K1" s="125"/>
      <c r="L1" s="125"/>
      <c r="M1" s="125"/>
      <c r="N1" s="125"/>
      <c r="O1" s="125"/>
      <c r="P1" s="125"/>
      <c r="Q1" s="125"/>
      <c r="R1" s="125"/>
      <c r="S1" s="125"/>
      <c r="T1" s="125"/>
      <c r="U1" s="125"/>
      <c r="V1" s="125"/>
      <c r="W1" s="125"/>
      <c r="X1" s="125"/>
      <c r="Y1" s="125"/>
      <c r="Z1" s="125"/>
    </row>
    <row r="2">
      <c r="A2" s="38" t="s">
        <v>3549</v>
      </c>
      <c r="B2" s="38">
        <v>5.0</v>
      </c>
    </row>
    <row r="3">
      <c r="A3" s="38" t="s">
        <v>3550</v>
      </c>
      <c r="B3" s="38">
        <v>1.0</v>
      </c>
    </row>
    <row r="4">
      <c r="A4" s="38" t="s">
        <v>3551</v>
      </c>
      <c r="B4" s="38">
        <v>1.0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26.0"/>
    <col customWidth="1" min="3" max="3" width="3.63"/>
    <col customWidth="1" min="4" max="4" width="9.25"/>
    <col customWidth="1" min="5" max="5" width="9.38"/>
    <col customWidth="1" min="6" max="6" width="9.13"/>
    <col customWidth="1" min="7" max="7" width="9.75"/>
    <col customWidth="1" min="8" max="8" width="10.13"/>
    <col customWidth="1" min="9" max="9" width="9.75"/>
    <col customWidth="1" min="10" max="10" width="8.88"/>
    <col customWidth="1" min="11" max="11" width="9.38"/>
    <col customWidth="1" min="12" max="12" width="16.75"/>
    <col customWidth="1" min="14" max="14" width="9.25"/>
  </cols>
  <sheetData>
    <row r="1">
      <c r="A1" s="126" t="s">
        <v>3552</v>
      </c>
      <c r="C1" s="127"/>
      <c r="D1" s="128" t="s">
        <v>95</v>
      </c>
      <c r="E1" s="128" t="s">
        <v>1079</v>
      </c>
      <c r="F1" s="128" t="s">
        <v>82</v>
      </c>
      <c r="G1" s="128" t="s">
        <v>144</v>
      </c>
      <c r="H1" s="128" t="s">
        <v>35</v>
      </c>
      <c r="I1" s="128" t="s">
        <v>52</v>
      </c>
      <c r="J1" s="128" t="s">
        <v>44</v>
      </c>
      <c r="K1" s="128" t="s">
        <v>878</v>
      </c>
      <c r="L1" s="128" t="s">
        <v>916</v>
      </c>
      <c r="M1" s="128" t="s">
        <v>316</v>
      </c>
      <c r="N1" s="128" t="s">
        <v>1261</v>
      </c>
      <c r="O1" s="129"/>
      <c r="P1" s="130"/>
      <c r="Q1" s="130"/>
      <c r="R1" s="130"/>
      <c r="S1" s="130"/>
      <c r="T1" s="130"/>
      <c r="U1" s="130"/>
      <c r="V1" s="130"/>
      <c r="W1" s="130"/>
      <c r="X1" s="130"/>
      <c r="Y1" s="130"/>
    </row>
    <row r="2" ht="32.25" customHeight="1">
      <c r="A2" s="127" t="s">
        <v>3553</v>
      </c>
      <c r="B2" s="130">
        <f>COUNTIF(Inventory!E:E,"Laptop")</f>
        <v>27</v>
      </c>
      <c r="D2" s="131">
        <f>COUNTIFS(Inventory!E:E,"Laptop",Inventory!M:M,"EE")</f>
        <v>6</v>
      </c>
      <c r="E2" s="131">
        <f>COUNTIFS(Inventory!E:E,"Laptop",Inventory!M:M,"Human Resources")</f>
        <v>0</v>
      </c>
      <c r="F2" s="132">
        <f>COUNTIFS(Inventory!E:E,"Laptop",Inventory!M:M,"Finance")</f>
        <v>1</v>
      </c>
      <c r="G2" s="132">
        <f>COUNTIFS(Inventory!E:E,"Laptop",Inventory!M:M,"Operations and Maintenance")</f>
        <v>0</v>
      </c>
      <c r="H2" s="132">
        <f>COUNTIFS(Inventory!E:E,"Laptop",Inventory!M:M,"EHS")</f>
        <v>1</v>
      </c>
      <c r="I2" s="132">
        <f>COUNTIFS(Inventory!E:E,"Laptop",Inventory!M:M,"Procurement")</f>
        <v>0</v>
      </c>
      <c r="J2" s="132">
        <f>COUNTIFS(Inventory!E:E,"Laptop",Inventory!M:M,"Production")</f>
        <v>0</v>
      </c>
      <c r="K2" s="133">
        <v>1.0</v>
      </c>
      <c r="L2" s="132">
        <f>COUNTIFS(Inventory!E:E,"Laptop",Inventory!M:M,"Project Management")</f>
        <v>3</v>
      </c>
      <c r="M2" s="132">
        <f>COUNTIFS(Inventory!E:E,"Laptop",Inventory!M:M,"Reticulation")</f>
        <v>10</v>
      </c>
      <c r="N2" s="132">
        <f>COUNTIFS(Inventory!E:E,"Laptop",Inventory!M:M,"Pueco")</f>
        <v>0</v>
      </c>
      <c r="O2" s="129"/>
      <c r="P2" s="130"/>
      <c r="Q2" s="130"/>
      <c r="R2" s="130"/>
      <c r="S2" s="130"/>
      <c r="T2" s="130"/>
      <c r="U2" s="130"/>
      <c r="V2" s="130"/>
      <c r="W2" s="130"/>
      <c r="X2" s="130"/>
      <c r="Y2" s="130"/>
    </row>
    <row r="3" ht="39.0" customHeight="1">
      <c r="A3" s="127" t="s">
        <v>3554</v>
      </c>
      <c r="B3" s="134">
        <f>COUNTIF(Inventory!E:E,"Phone")</f>
        <v>59</v>
      </c>
      <c r="D3" s="131">
        <f>COUNTIFS(Inventory!E:E,"Phone",Inventory!M:M,"EE")</f>
        <v>0</v>
      </c>
      <c r="E3" s="131">
        <f>COUNTIFS(Inventory!E:E,"Phone",Inventory!M:M,"Human Resources")</f>
        <v>0</v>
      </c>
      <c r="F3" s="132">
        <f>COUNTIFS(Inventory!E:E,"Phone",Inventory!M:M,"Finance")</f>
        <v>0</v>
      </c>
      <c r="G3" s="132">
        <f>COUNTIFS(Inventory!E:E,"Phone",Inventory!M:M,"Operations and Maintenance")</f>
        <v>0</v>
      </c>
      <c r="H3" s="132">
        <f>COUNTIFS(Inventory!E:E,"Phone",Inventory!M:M,"EHS")</f>
        <v>1</v>
      </c>
      <c r="I3" s="132">
        <f>COUNTIFS(Inventory!E:E,"Phone",Inventory!M:M,"Procurement")</f>
        <v>1</v>
      </c>
      <c r="J3" s="132">
        <f>COUNTIFS(Inventory!E:E,"Phone",Inventory!M:M,"Production")</f>
        <v>0</v>
      </c>
      <c r="K3" s="133">
        <v>1.0</v>
      </c>
      <c r="L3" s="132">
        <f>COUNTIFS(Inventory!E:E,"Phone",Inventory!M:M,"Project Management")</f>
        <v>42</v>
      </c>
      <c r="M3" s="132">
        <f>COUNTIFS(Inventory!E:E,"Phone",Inventory!M:M,"Reticulation")</f>
        <v>2</v>
      </c>
      <c r="N3" s="132">
        <f>COUNTIFS(Inventory!E:E,"Phone",Inventory!M:M,"Pueco")</f>
        <v>0</v>
      </c>
      <c r="O3" s="129"/>
      <c r="P3" s="130"/>
      <c r="Q3" s="130"/>
      <c r="R3" s="130"/>
      <c r="S3" s="130"/>
      <c r="T3" s="130"/>
      <c r="U3" s="130"/>
      <c r="V3" s="130"/>
      <c r="W3" s="130"/>
      <c r="X3" s="130"/>
      <c r="Y3" s="130"/>
    </row>
    <row r="4" ht="35.25" customHeight="1">
      <c r="A4" s="127" t="s">
        <v>3555</v>
      </c>
      <c r="B4" s="134">
        <f>COUNTIF(Inventory!E:E,"Monitor")</f>
        <v>20</v>
      </c>
      <c r="D4" s="131">
        <f>COUNTIFS(Inventory!E:E,"Monitor",Inventory!M:M,"EE")</f>
        <v>7</v>
      </c>
      <c r="E4" s="131">
        <f>COUNTIFS(Inventory!E:E,"Monitor",Inventory!M:M,"Human Resources")</f>
        <v>0</v>
      </c>
      <c r="F4" s="132">
        <f>COUNTIFS(Inventory!E:E,"Monitor",Inventory!M:M,"Finance")</f>
        <v>4</v>
      </c>
      <c r="G4" s="132">
        <f>COUNTIFS(Inventory!E:E,"Monitor",Inventory!M:M,"Operations and Maintenance")</f>
        <v>2</v>
      </c>
      <c r="H4" s="132">
        <f>COUNTIFS(Inventory!E:E,"Monitor",Inventory!M:M,"EHS")</f>
        <v>1</v>
      </c>
      <c r="I4" s="132">
        <f>COUNTIFS(Inventory!E:E,"Monitor",Inventory!M:M,"Procurement")</f>
        <v>2</v>
      </c>
      <c r="J4" s="132">
        <f>COUNTIFS(Inventory!E:E,"Monitor",Inventory!M:M,"Production")</f>
        <v>0</v>
      </c>
      <c r="K4" s="135">
        <f>COUNTIFS(Inventory!E:E,"Monitor",Inventory!M:M,"Fleet")</f>
        <v>0</v>
      </c>
      <c r="L4" s="132">
        <f>COUNTIFS(Inventory!E:E,"Monitor",Inventory!M:M,"Project Management")</f>
        <v>2</v>
      </c>
      <c r="M4" s="132">
        <f>COUNTIFS(Inventory!E:E,"Monitor",Inventory!M:M,"Reticulation")</f>
        <v>0</v>
      </c>
      <c r="N4" s="132">
        <f>COUNTIFS(Inventory!E:E,"Monitor",Inventory!M:M,"Pueco")</f>
        <v>0</v>
      </c>
      <c r="O4" s="129"/>
      <c r="P4" s="130"/>
      <c r="Q4" s="130"/>
      <c r="R4" s="130"/>
      <c r="S4" s="130"/>
      <c r="T4" s="130"/>
      <c r="U4" s="130"/>
      <c r="V4" s="130"/>
      <c r="W4" s="130"/>
      <c r="X4" s="130"/>
      <c r="Y4" s="130"/>
    </row>
    <row r="5" ht="34.5" customHeight="1">
      <c r="A5" s="127" t="s">
        <v>3549</v>
      </c>
      <c r="B5" s="134">
        <f>COUNTIF(Inventory!E:E,"Tablet")</f>
        <v>13</v>
      </c>
      <c r="D5" s="131">
        <f>COUNTIFS(Inventory!E:E,"Tablet",Inventory!M:M,"EE")</f>
        <v>1</v>
      </c>
      <c r="E5" s="131">
        <f>COUNTIFS(Inventory!E:E,"Tablet",Inventory!M:M,"Human Resources")</f>
        <v>0</v>
      </c>
      <c r="F5" s="132">
        <f>COUNTIFS(Inventory!E:E,"Tablet",Inventory!M:M,"Finance")</f>
        <v>0</v>
      </c>
      <c r="G5" s="132">
        <f>COUNTIFS(Inventory!E:E,"Tablet",Inventory!M:M,"Operations and Maintenance")</f>
        <v>0</v>
      </c>
      <c r="H5" s="132">
        <f>COUNTIFS(Inventory!E:E,"Tablet",Inventory!M:M,"EHS")</f>
        <v>12</v>
      </c>
      <c r="I5" s="132">
        <f>COUNTIFS(Inventory!E:E,"Tablet",Inventory!M:M,"Procurement")</f>
        <v>0</v>
      </c>
      <c r="J5" s="132">
        <f>COUNTIFS(Inventory!E:E,"Tablet",Inventory!M:M,"Production")</f>
        <v>0</v>
      </c>
      <c r="K5" s="135">
        <f>COUNTIFS(Inventory!E:E,"Tablet",Inventory!M:M,"Fleet")</f>
        <v>0</v>
      </c>
      <c r="L5" s="132">
        <f>COUNTIFS(Inventory!E:E,"Tablet",Inventory!M:M,"Project Management")</f>
        <v>0</v>
      </c>
      <c r="M5" s="132">
        <f>COUNTIFS(Inventory!E:E,"Tablet",Inventory!M:M,"Reticulation")</f>
        <v>0</v>
      </c>
      <c r="N5" s="132">
        <f>COUNTIFS(Inventory!E:E,"Tablet",Inventory!M:M,"Pueco")</f>
        <v>0</v>
      </c>
      <c r="O5" s="129"/>
      <c r="P5" s="130"/>
      <c r="Q5" s="130"/>
      <c r="R5" s="130"/>
      <c r="S5" s="130"/>
      <c r="T5" s="130"/>
      <c r="U5" s="130"/>
      <c r="V5" s="130"/>
      <c r="W5" s="130"/>
      <c r="X5" s="130"/>
      <c r="Y5" s="130"/>
    </row>
    <row r="6" ht="22.5" customHeight="1">
      <c r="A6" s="136" t="s">
        <v>3556</v>
      </c>
      <c r="B6" s="136">
        <f>countifs(Inventory!E:E,"&lt;&gt;" &amp;Inventory!E100,Inventory!E:E,"&lt;&gt;" &amp;Inventory!E30,Inventory!E:E,"&lt;&gt;" &amp;Inventory!E118,Inventory!E:E,"&lt;&gt;" &amp;Inventory!E170)</f>
        <v>1066</v>
      </c>
      <c r="D6" s="131">
        <f>countifs(Inventory!E:E,"&lt;&gt;" &amp;Inventory!E100,Inventory!E:E,"&lt;&gt;" &amp;Inventory!E30,Inventory!E:E,"&lt;&gt;" &amp;Inventory!E118,Inventory!E:E,"&lt;&gt;" &amp;Inventory!E170,Inventory!E:E,"&lt;&gt;" &amp;Inventory!E217,Inventory!M:M,"EE")</f>
        <v>99</v>
      </c>
      <c r="E6" s="137">
        <f>countifs(Inventory!E:E,"&lt;&gt;" &amp;Inventory!E100,Inventory!E:E,"&lt;&gt;" &amp;Inventory!E30,Inventory!E:E,"&lt;&gt;" &amp;Inventory!E118,Inventory!E:E,"&lt;&gt;" &amp;Inventory!E170,Inventory!E:E,"&lt;&gt;" &amp;Inventory!E217,Inventory!M:M,"Human Resources")</f>
        <v>0</v>
      </c>
      <c r="F6" s="138">
        <f>countifs(Inventory!E:E,"&lt;&gt;" &amp;Inventory!E100,Inventory!E:E,"&lt;&gt;" &amp;Inventory!E30,Inventory!E:E,"&lt;&gt;" &amp;Inventory!E118,Inventory!E:E,"&lt;&gt;" &amp;Inventory!E170,Inventory!E:E,"&lt;&gt;" &amp;Inventory!E217,Inventory!M:M,"Finance")</f>
        <v>3</v>
      </c>
      <c r="G6" s="138">
        <f>countifs(Inventory!E:E,"&lt;&gt;" &amp;Inventory!E100,Inventory!E:E,"&lt;&gt;" &amp;Inventory!E30,Inventory!E:E,"&lt;&gt;" &amp;Inventory!E118,Inventory!E:E,"&lt;&gt;" &amp;Inventory!E170,Inventory!E:E,"&lt;&gt;" &amp;Inventory!E217,Inventory!M:M,"Operations and Maintenance")</f>
        <v>1</v>
      </c>
      <c r="H6" s="138">
        <f>countifs(Inventory!E:E,"&lt;&gt;" &amp;Inventory!E100,Inventory!E:E,"&lt;&gt;" &amp;Inventory!E30,Inventory!E:E,"&lt;&gt;" &amp;Inventory!E118,Inventory!E:E,"&lt;&gt;" &amp;Inventory!E170,Inventory!E:E,"&lt;&gt;" &amp;Inventory!E217,Inventory!M:M,"EHS")</f>
        <v>0</v>
      </c>
      <c r="I6" s="138">
        <f>countifs(Inventory!E:E,"&lt;&gt;" &amp;Inventory!E100,Inventory!E:E,"&lt;&gt;" &amp;Inventory!E30,Inventory!E:E,"&lt;&gt;" &amp;Inventory!E118,Inventory!E:E,"&lt;&gt;" &amp;Inventory!E170,Inventory!E:E,"&lt;&gt;" &amp;Inventory!E217,Inventory!M:M,"Procurement")</f>
        <v>2</v>
      </c>
      <c r="J6" s="138">
        <f>countifs(Inventory!E:E,"&lt;&gt;" &amp;Inventory!E100,Inventory!E:E,"&lt;&gt;" &amp;Inventory!E30,Inventory!E:E,"&lt;&gt;" &amp;Inventory!E118,Inventory!E:E,"&lt;&gt;" &amp;Inventory!E170,Inventory!M:M,"Production")</f>
        <v>0</v>
      </c>
      <c r="K6" s="138">
        <f>countifs(Inventory!E:E,"&lt;&gt;" &amp;Inventory!E100,Inventory!E:E,"&lt;&gt;" &amp;Inventory!E30,Inventory!E:E,"&lt;&gt;" &amp;Inventory!E118,Inventory!E:E,"&lt;&gt;" &amp;Inventory!E170,Inventory!E:E,"&lt;&gt;" &amp;Inventory!E217,Inventory!M:M,"Fleet")</f>
        <v>4</v>
      </c>
      <c r="L6" s="138">
        <f>countifs(Inventory!E:E,"&lt;&gt;" &amp;Inventory!E100,Inventory!E:E,"&lt;&gt;" &amp;Inventory!E30,Inventory!E:E,"&lt;&gt;" &amp;Inventory!E118,Inventory!E:E,"&lt;&gt;" &amp;Inventory!E170,Inventory!E:E,"&lt;&gt;" &amp;Inventory!E217,Inventory!M:M,"Project Management")</f>
        <v>2</v>
      </c>
      <c r="M6" s="138">
        <f>countifs(Inventory!E:E,"&lt;&gt;" &amp;Inventory!E100,Inventory!E:E,"&lt;&gt;" &amp;Inventory!E30,Inventory!E:E,"&lt;&gt;" &amp;Inventory!E118,Inventory!E:E,"&lt;&gt;" &amp;Inventory!E170,Inventory!E:E,"&lt;&gt;" &amp;Inventory!E217,Inventory!M:M,"Reticulation")</f>
        <v>0</v>
      </c>
      <c r="N6" s="138">
        <f>countifs(Inventory!E:E,"&lt;&gt;" &amp;Inventory!E100,Inventory!E:E,"&lt;&gt;" &amp;Inventory!E30,Inventory!E:E,"&lt;&gt;" &amp;Inventory!E118,Inventory!E:E,"&lt;&gt;" &amp;Inventory!E170,Inventory!E:E,"&lt;&gt;" &amp;Inventory!E217,Inventory!M:M,"Pueco")</f>
        <v>1</v>
      </c>
      <c r="O6" s="129"/>
      <c r="P6" s="139"/>
      <c r="Q6" s="139"/>
      <c r="R6" s="139"/>
      <c r="S6" s="139"/>
      <c r="T6" s="139"/>
      <c r="U6" s="139"/>
      <c r="V6" s="139"/>
      <c r="W6" s="139"/>
      <c r="X6" s="139"/>
      <c r="Y6" s="139"/>
    </row>
    <row r="7" ht="34.5" customHeight="1">
      <c r="A7" s="127" t="s">
        <v>3557</v>
      </c>
      <c r="B7" s="140">
        <f>SUM(B2:B6)</f>
        <v>1185</v>
      </c>
      <c r="D7" s="131"/>
      <c r="E7" s="131"/>
      <c r="F7" s="131"/>
      <c r="G7" s="131"/>
      <c r="H7" s="131"/>
      <c r="I7" s="131"/>
      <c r="J7" s="131"/>
      <c r="K7" s="135"/>
      <c r="L7" s="131"/>
      <c r="M7" s="131"/>
      <c r="N7" s="131"/>
      <c r="O7" s="129"/>
      <c r="P7" s="129"/>
      <c r="Q7" s="129"/>
      <c r="R7" s="129"/>
      <c r="S7" s="129"/>
      <c r="T7" s="129"/>
      <c r="U7" s="129"/>
      <c r="V7" s="129"/>
      <c r="W7" s="129"/>
      <c r="X7" s="129"/>
      <c r="Y7" s="129"/>
    </row>
    <row r="8">
      <c r="A8" s="141"/>
      <c r="B8" s="141"/>
      <c r="D8" s="132"/>
      <c r="E8" s="132"/>
      <c r="F8" s="132"/>
      <c r="G8" s="132"/>
      <c r="H8" s="132"/>
      <c r="I8" s="132"/>
      <c r="J8" s="132"/>
      <c r="K8" s="135"/>
      <c r="L8" s="132"/>
      <c r="M8" s="132"/>
      <c r="N8" s="132"/>
      <c r="O8" s="129"/>
      <c r="P8" s="129"/>
      <c r="Q8" s="129"/>
      <c r="R8" s="129"/>
      <c r="S8" s="129"/>
      <c r="T8" s="129"/>
      <c r="U8" s="129"/>
      <c r="V8" s="129"/>
      <c r="W8" s="129"/>
      <c r="X8" s="129"/>
      <c r="Y8" s="129"/>
    </row>
    <row r="9">
      <c r="A9" s="126" t="s">
        <v>3558</v>
      </c>
      <c r="D9" s="131"/>
      <c r="E9" s="131"/>
      <c r="F9" s="131"/>
      <c r="G9" s="131"/>
      <c r="H9" s="131"/>
      <c r="I9" s="131"/>
      <c r="J9" s="131"/>
      <c r="K9" s="135"/>
      <c r="L9" s="131"/>
      <c r="M9" s="131"/>
      <c r="N9" s="131"/>
      <c r="O9" s="129"/>
      <c r="P9" s="129"/>
      <c r="Q9" s="129"/>
      <c r="R9" s="129"/>
      <c r="S9" s="129"/>
      <c r="T9" s="129"/>
      <c r="U9" s="129"/>
      <c r="V9" s="129"/>
      <c r="W9" s="129"/>
      <c r="X9" s="129"/>
      <c r="Y9" s="129"/>
    </row>
    <row r="10" ht="36.75" customHeight="1">
      <c r="A10" s="127" t="s">
        <v>3553</v>
      </c>
      <c r="B10" s="130">
        <f>COUNTIF(Tickets!J:J,"Laptop")</f>
        <v>29</v>
      </c>
      <c r="D10" s="142">
        <v>0.0</v>
      </c>
      <c r="E10" s="143">
        <f>COUNTIFs(Tickets!J:J,"Laptop",Tickets!D:D,"Human Resources")</f>
        <v>0</v>
      </c>
      <c r="F10" s="144">
        <f>COUNTIFS(Tickets!J:J,"Laptop",Tickets!D:D,"Finance")</f>
        <v>1</v>
      </c>
      <c r="G10" s="142">
        <v>0.0</v>
      </c>
      <c r="H10" s="144">
        <f>COUNTIFS(Tickets!J:J,"Laptop",Tickets!D:D,"EHS")</f>
        <v>2</v>
      </c>
      <c r="I10" s="144">
        <f>COUNTIFs(Tickets!J:J,"Laptop",Tickets!D:D,"Procurement")</f>
        <v>0</v>
      </c>
      <c r="J10" s="144">
        <f>COUNTIFS(Tickets!J:J,"Laptop",Tickets!D:D,"Production")</f>
        <v>1</v>
      </c>
      <c r="K10" s="144">
        <f>COUNTIFS(Tickets!J:J,"Laptop",Tickets!D:D,"Fleet")</f>
        <v>1</v>
      </c>
      <c r="L10" s="144">
        <f>COUNTIFS(Tickets!J:J,"Laptop",Tickets!D:D,"Project Management")</f>
        <v>4</v>
      </c>
      <c r="M10" s="144">
        <f>COUNTIFS(Tickets!J:J,"Laptop",Tickets!D:D,"Reticulation")</f>
        <v>9</v>
      </c>
      <c r="N10" s="144">
        <f>COUNTIFS(Tickets!J:J,"Laptop",Tickets!D:D,"Pueco")</f>
        <v>0</v>
      </c>
      <c r="O10" s="129"/>
      <c r="P10" s="129"/>
      <c r="Q10" s="129"/>
      <c r="R10" s="129"/>
      <c r="S10" s="129"/>
      <c r="T10" s="129"/>
      <c r="U10" s="129"/>
      <c r="V10" s="129"/>
      <c r="W10" s="129"/>
      <c r="X10" s="129"/>
      <c r="Y10" s="129"/>
    </row>
    <row r="11" ht="39.0" customHeight="1">
      <c r="A11" s="127" t="s">
        <v>3554</v>
      </c>
      <c r="B11" s="134">
        <f>COUNTIF(Tickets!J:J,"Phone")</f>
        <v>23</v>
      </c>
      <c r="D11" s="144">
        <f>COUNTIFS(Tickets!J:J,"Phone",Tickets!D:D,"EE")</f>
        <v>2</v>
      </c>
      <c r="E11" s="143">
        <f>COUNTIFs(Tickets!J:J,"Phone",Tickets!D:D,"Human Resources")</f>
        <v>0</v>
      </c>
      <c r="F11" s="144">
        <f>COUNTIFS(Tickets!J:J,"Phone",Tickets!D:D,"Finance")</f>
        <v>0</v>
      </c>
      <c r="G11" s="144">
        <f>COUNTIFS(Tickets!J:J,"Phone",Tickets!D:D,"Operations and Maintenance")</f>
        <v>3</v>
      </c>
      <c r="H11" s="144">
        <f>COUNTIFS(Tickets!J:J,"Phone",Tickets!D:D,"EHS")</f>
        <v>0</v>
      </c>
      <c r="I11" s="144">
        <f>COUNTIFs(Tickets!J:J,"Phone",Tickets!D:D,"Procurement")</f>
        <v>1</v>
      </c>
      <c r="J11" s="144">
        <f>COUNTIFS(Tickets!J:J,"Phone",Tickets!D:D,"Production")</f>
        <v>0</v>
      </c>
      <c r="K11" s="144">
        <f>COUNTIFS(Tickets!J:J,"Phone",Tickets!D:D,"Fleet")</f>
        <v>1</v>
      </c>
      <c r="L11" s="144">
        <f>COUNTIFS(Tickets!J:J,"Phone",Tickets!D:D,"Project Management")</f>
        <v>3</v>
      </c>
      <c r="M11" s="144">
        <f>COUNTIFS(Tickets!J:J,"Phone",Tickets!D:D,"Reticulation")</f>
        <v>11</v>
      </c>
      <c r="N11" s="144">
        <f>COUNTIFS(Tickets!J:J,"Phone",Tickets!D:D,"Pueco")</f>
        <v>0</v>
      </c>
      <c r="O11" s="129"/>
      <c r="P11" s="129"/>
      <c r="Q11" s="129"/>
      <c r="R11" s="129"/>
      <c r="S11" s="129"/>
      <c r="T11" s="129"/>
      <c r="U11" s="129"/>
      <c r="V11" s="129"/>
      <c r="W11" s="129"/>
      <c r="X11" s="129"/>
      <c r="Y11" s="129"/>
    </row>
    <row r="12" ht="39.0" customHeight="1">
      <c r="A12" s="127" t="s">
        <v>10</v>
      </c>
      <c r="B12" s="134">
        <f>COUNTIF(Tickets!J:J,"Monitor")</f>
        <v>13</v>
      </c>
      <c r="D12" s="144">
        <f>COUNTIFS(Tickets!J:J,"Monitor",Tickets!D:D,"EE")</f>
        <v>3</v>
      </c>
      <c r="E12" s="143">
        <f>COUNTIFs(Tickets!J:J,"Monitor",Tickets!D:D,"Human Resources")</f>
        <v>0</v>
      </c>
      <c r="F12" s="144">
        <f>COUNTIFS(Tickets!J:J,"Monitor",Tickets!D:D,"Finance")</f>
        <v>0</v>
      </c>
      <c r="G12" s="144">
        <f>COUNTIFS(Tickets!J:J,"Monitor",Tickets!D:D,"Operations and Maintenance")</f>
        <v>2</v>
      </c>
      <c r="H12" s="144">
        <f>COUNTIFS(Tickets!J:J,"Monitor",Tickets!D:D,"EHS")</f>
        <v>1</v>
      </c>
      <c r="I12" s="144">
        <f>COUNTIFs(Tickets!J:J,"Monitor",Tickets!D:D,"Procurement")</f>
        <v>1</v>
      </c>
      <c r="J12" s="144">
        <f>COUNTIFS(Tickets!J:J,"Monitor",Tickets!D:D,"Production")</f>
        <v>0</v>
      </c>
      <c r="K12" s="144">
        <f>COUNTIFS(Tickets!J:J,"Monitor",Tickets!D:D,"Fleet")</f>
        <v>0</v>
      </c>
      <c r="L12" s="144">
        <f>COUNTIFS(Tickets!J:J,"Monitor",Tickets!D:D,"Project Management")</f>
        <v>2</v>
      </c>
      <c r="M12" s="144">
        <f>COUNTIFS(Tickets!J:J,"Monitor",Tickets!D:D,"Reticulation")</f>
        <v>1</v>
      </c>
      <c r="N12" s="144">
        <f>COUNTIFS(Tickets!J:J,"Monitor",Tickets!D:D,"Pueco")</f>
        <v>1</v>
      </c>
      <c r="O12" s="129"/>
      <c r="P12" s="129"/>
      <c r="Q12" s="129"/>
      <c r="R12" s="129"/>
      <c r="S12" s="129"/>
      <c r="T12" s="129"/>
      <c r="U12" s="129"/>
      <c r="V12" s="129"/>
      <c r="W12" s="129"/>
      <c r="X12" s="129"/>
      <c r="Y12" s="129"/>
    </row>
    <row r="13" ht="36.0" customHeight="1">
      <c r="A13" s="127" t="s">
        <v>3549</v>
      </c>
      <c r="B13" s="134">
        <f>COUNTIF(Tickets!J:J,"Tablet")</f>
        <v>4</v>
      </c>
      <c r="D13" s="144">
        <f>COUNTIFS(Tickets!J:J,"Tablet",Tickets!D:D,"EE")</f>
        <v>1</v>
      </c>
      <c r="E13" s="143">
        <f>COUNTIFs(Tickets!J:J,"Tablet",Tickets!D:D,"Human Resources")</f>
        <v>0</v>
      </c>
      <c r="F13" s="144">
        <f>COUNTIFS(Tickets!J:J,"Tablet",Tickets!D:D,"Finance")</f>
        <v>0</v>
      </c>
      <c r="G13" s="144">
        <f>COUNTIFS(Tickets!J:J,"Tablet",Tickets!D:D,"Operations and Maintenance")</f>
        <v>0</v>
      </c>
      <c r="H13" s="144">
        <f>COUNTIFS(Tickets!J:J,"Tablet",Tickets!D:D,"EHS")</f>
        <v>1</v>
      </c>
      <c r="I13" s="144">
        <f>COUNTIFs(Tickets!J:J,"Tablet",Tickets!D:D,"Procurement")</f>
        <v>0</v>
      </c>
      <c r="J13" s="144">
        <f>COUNTIFS(Tickets!J:J,"Tablet",Tickets!D:D,"Production")</f>
        <v>0</v>
      </c>
      <c r="K13" s="144">
        <f>COUNTIFS(Tickets!J:J,"Tablet",Tickets!D:D,"Fleet")</f>
        <v>0</v>
      </c>
      <c r="L13" s="144">
        <f>COUNTIFS(Tickets!J:J,"Tablet",Tickets!D:D,"Project Management")</f>
        <v>1</v>
      </c>
      <c r="M13" s="144">
        <f>COUNTIFS(Tickets!J:J,"Tablet",Tickets!D:D,"Reticulation")</f>
        <v>0</v>
      </c>
      <c r="N13" s="144">
        <f>COUNTIFS(Tickets!J:J,"Tablet",Tickets!D:D,"Pueco")</f>
        <v>0</v>
      </c>
      <c r="O13" s="129"/>
      <c r="P13" s="129"/>
      <c r="Q13" s="129"/>
      <c r="R13" s="129"/>
      <c r="S13" s="129"/>
      <c r="T13" s="129"/>
      <c r="U13" s="129"/>
      <c r="V13" s="129"/>
      <c r="W13" s="129"/>
      <c r="X13" s="129"/>
      <c r="Y13" s="129"/>
    </row>
    <row r="14" ht="30.0" customHeight="1">
      <c r="A14" s="136" t="s">
        <v>3556</v>
      </c>
      <c r="B14" s="145">
        <f>countifs(Tickets!J:J,"&lt;&gt;" &amp;"Laptop",Tickets!J:J,"&lt;&gt;" &amp;"Phone",Tickets!J:J,"&lt;&gt;" &amp;"Monitor",Tickets!J:J,"&lt;&gt;" &amp;"")</f>
        <v>223</v>
      </c>
      <c r="D14" s="146"/>
      <c r="E14" s="146"/>
      <c r="F14" s="146"/>
      <c r="G14" s="146"/>
      <c r="H14" s="146"/>
      <c r="I14" s="146"/>
      <c r="J14" s="146"/>
      <c r="K14" s="135"/>
      <c r="L14" s="146"/>
      <c r="M14" s="146"/>
      <c r="N14" s="146"/>
      <c r="O14" s="129"/>
      <c r="P14" s="129"/>
      <c r="Q14" s="129"/>
      <c r="R14" s="129"/>
      <c r="S14" s="129"/>
      <c r="T14" s="129"/>
      <c r="U14" s="129"/>
      <c r="V14" s="129"/>
      <c r="W14" s="129"/>
      <c r="X14" s="129"/>
      <c r="Y14" s="129"/>
    </row>
    <row r="15" ht="45.0" customHeight="1">
      <c r="A15" s="147" t="s">
        <v>3557</v>
      </c>
      <c r="B15" s="140">
        <f>SUM(B10:B14)</f>
        <v>292</v>
      </c>
      <c r="D15" s="146"/>
      <c r="E15" s="146"/>
      <c r="F15" s="146"/>
      <c r="G15" s="146"/>
      <c r="H15" s="146"/>
      <c r="I15" s="146"/>
      <c r="J15" s="146"/>
      <c r="K15" s="135"/>
      <c r="L15" s="146"/>
      <c r="M15" s="146"/>
      <c r="N15" s="146"/>
      <c r="O15" s="129"/>
      <c r="P15" s="129"/>
      <c r="Q15" s="129"/>
      <c r="R15" s="129"/>
      <c r="S15" s="129"/>
      <c r="T15" s="129"/>
      <c r="U15" s="129"/>
      <c r="V15" s="129"/>
      <c r="W15" s="129"/>
      <c r="X15" s="129"/>
      <c r="Y15" s="129"/>
    </row>
    <row r="16">
      <c r="A16" s="129"/>
      <c r="B16" s="129"/>
      <c r="D16" s="129"/>
      <c r="E16" s="129"/>
      <c r="F16" s="129"/>
      <c r="G16" s="129"/>
      <c r="H16" s="129"/>
      <c r="I16" s="129"/>
      <c r="J16" s="129"/>
      <c r="K16" s="129"/>
      <c r="L16" s="129"/>
      <c r="M16" s="129"/>
      <c r="N16" s="129"/>
      <c r="O16" s="129"/>
      <c r="P16" s="129"/>
      <c r="Q16" s="129"/>
      <c r="R16" s="129"/>
      <c r="S16" s="129"/>
      <c r="T16" s="129"/>
      <c r="U16" s="129"/>
      <c r="V16" s="129"/>
      <c r="W16" s="129"/>
      <c r="X16" s="129"/>
      <c r="Y16" s="129"/>
    </row>
    <row r="17">
      <c r="A17" s="129"/>
      <c r="B17" s="129"/>
      <c r="D17" s="129"/>
      <c r="E17" s="129"/>
      <c r="F17" s="129"/>
      <c r="G17" s="129"/>
      <c r="H17" s="129"/>
      <c r="I17" s="129"/>
      <c r="J17" s="129"/>
      <c r="K17" s="129"/>
      <c r="L17" s="129"/>
      <c r="M17" s="129"/>
      <c r="N17" s="129"/>
      <c r="O17" s="129"/>
      <c r="P17" s="129"/>
      <c r="Q17" s="129"/>
      <c r="R17" s="129"/>
      <c r="S17" s="129"/>
      <c r="T17" s="129"/>
      <c r="U17" s="129"/>
      <c r="V17" s="129"/>
      <c r="W17" s="129"/>
      <c r="X17" s="129"/>
      <c r="Y17" s="129"/>
    </row>
    <row r="18">
      <c r="A18" s="129"/>
      <c r="B18" s="129"/>
      <c r="D18" s="129"/>
      <c r="E18" s="129"/>
      <c r="F18" s="129"/>
      <c r="G18" s="129"/>
      <c r="H18" s="129"/>
      <c r="I18" s="129"/>
      <c r="J18" s="129"/>
      <c r="K18" s="129"/>
      <c r="L18" s="129"/>
      <c r="M18" s="129"/>
      <c r="N18" s="129"/>
      <c r="O18" s="129"/>
      <c r="P18" s="129"/>
      <c r="Q18" s="129"/>
      <c r="R18" s="129"/>
      <c r="S18" s="129"/>
      <c r="T18" s="129"/>
      <c r="U18" s="129"/>
      <c r="V18" s="129"/>
      <c r="W18" s="129"/>
      <c r="X18" s="129"/>
      <c r="Y18" s="129"/>
    </row>
    <row r="19">
      <c r="A19" s="129"/>
      <c r="B19" s="129"/>
      <c r="D19" s="129"/>
      <c r="E19" s="129"/>
      <c r="F19" s="129"/>
      <c r="G19" s="129"/>
      <c r="H19" s="129"/>
      <c r="I19" s="129"/>
      <c r="J19" s="129"/>
      <c r="K19" s="129"/>
      <c r="L19" s="129"/>
      <c r="M19" s="129"/>
      <c r="N19" s="129"/>
      <c r="O19" s="129"/>
      <c r="P19" s="129"/>
      <c r="Q19" s="129"/>
      <c r="R19" s="129"/>
      <c r="S19" s="129"/>
      <c r="T19" s="129"/>
      <c r="U19" s="129"/>
      <c r="V19" s="129"/>
      <c r="W19" s="129"/>
      <c r="X19" s="129"/>
      <c r="Y19" s="129"/>
    </row>
    <row r="20">
      <c r="A20" s="129"/>
      <c r="B20" s="129"/>
      <c r="D20" s="129"/>
      <c r="E20" s="129"/>
      <c r="F20" s="129"/>
      <c r="G20" s="129"/>
      <c r="H20" s="129"/>
      <c r="I20" s="129"/>
      <c r="J20" s="129"/>
      <c r="K20" s="129"/>
      <c r="L20" s="129"/>
      <c r="M20" s="129"/>
      <c r="N20" s="129"/>
      <c r="O20" s="129"/>
      <c r="P20" s="129"/>
      <c r="Q20" s="129"/>
      <c r="R20" s="129"/>
      <c r="S20" s="129"/>
      <c r="T20" s="129"/>
      <c r="U20" s="129"/>
      <c r="V20" s="129"/>
      <c r="W20" s="129"/>
      <c r="X20" s="129"/>
      <c r="Y20" s="129"/>
    </row>
    <row r="21">
      <c r="A21" s="129"/>
      <c r="B21" s="129"/>
      <c r="D21" s="129"/>
      <c r="E21" s="129"/>
      <c r="F21" s="129"/>
      <c r="G21" s="129"/>
      <c r="H21" s="129"/>
      <c r="I21" s="129"/>
      <c r="J21" s="129"/>
      <c r="K21" s="129"/>
      <c r="L21" s="129"/>
      <c r="M21" s="129"/>
      <c r="N21" s="129"/>
      <c r="O21" s="129"/>
      <c r="P21" s="129"/>
      <c r="Q21" s="129"/>
      <c r="R21" s="129"/>
      <c r="S21" s="129"/>
      <c r="T21" s="129"/>
      <c r="U21" s="129"/>
      <c r="V21" s="129"/>
      <c r="W21" s="129"/>
      <c r="X21" s="129"/>
      <c r="Y21" s="129"/>
    </row>
    <row r="22">
      <c r="A22" s="129"/>
      <c r="B22" s="129"/>
      <c r="D22" s="129"/>
      <c r="E22" s="129"/>
      <c r="F22" s="129"/>
      <c r="G22" s="129"/>
      <c r="H22" s="129"/>
      <c r="I22" s="129"/>
      <c r="J22" s="129"/>
      <c r="K22" s="129"/>
      <c r="L22" s="129"/>
      <c r="M22" s="129"/>
      <c r="N22" s="129"/>
      <c r="O22" s="129"/>
      <c r="P22" s="129"/>
      <c r="Q22" s="129"/>
      <c r="R22" s="129"/>
      <c r="S22" s="129"/>
      <c r="T22" s="129"/>
      <c r="U22" s="129"/>
      <c r="V22" s="129"/>
      <c r="W22" s="129"/>
      <c r="X22" s="129"/>
      <c r="Y22" s="129"/>
    </row>
    <row r="23">
      <c r="A23" s="129"/>
      <c r="B23" s="129"/>
      <c r="D23" s="129"/>
      <c r="E23" s="129"/>
      <c r="F23" s="129"/>
      <c r="G23" s="129"/>
      <c r="H23" s="129"/>
      <c r="I23" s="129"/>
      <c r="J23" s="129"/>
      <c r="K23" s="129"/>
      <c r="L23" s="129"/>
      <c r="M23" s="129"/>
      <c r="N23" s="129"/>
      <c r="O23" s="129"/>
      <c r="P23" s="129"/>
      <c r="Q23" s="129"/>
      <c r="R23" s="129"/>
      <c r="S23" s="129"/>
      <c r="T23" s="129"/>
      <c r="U23" s="129"/>
      <c r="V23" s="129"/>
      <c r="W23" s="129"/>
      <c r="X23" s="129"/>
      <c r="Y23" s="129"/>
    </row>
    <row r="24">
      <c r="A24" s="129"/>
      <c r="B24" s="129"/>
      <c r="D24" s="129"/>
      <c r="E24" s="129"/>
      <c r="F24" s="129"/>
      <c r="G24" s="129"/>
      <c r="H24" s="129"/>
      <c r="I24" s="129"/>
      <c r="J24" s="129"/>
      <c r="K24" s="129"/>
      <c r="L24" s="129"/>
      <c r="M24" s="129"/>
      <c r="N24" s="129"/>
      <c r="O24" s="129"/>
      <c r="P24" s="129"/>
      <c r="Q24" s="129"/>
      <c r="R24" s="129"/>
      <c r="S24" s="129"/>
      <c r="T24" s="129"/>
      <c r="U24" s="129"/>
      <c r="V24" s="129"/>
      <c r="W24" s="129"/>
      <c r="X24" s="129"/>
      <c r="Y24" s="129"/>
    </row>
    <row r="25">
      <c r="A25" s="129"/>
      <c r="B25" s="129"/>
      <c r="D25" s="129"/>
      <c r="E25" s="129"/>
      <c r="F25" s="129"/>
      <c r="G25" s="129"/>
      <c r="H25" s="129"/>
      <c r="I25" s="129"/>
      <c r="J25" s="129"/>
      <c r="K25" s="129"/>
      <c r="L25" s="129"/>
      <c r="M25" s="129"/>
      <c r="N25" s="129"/>
      <c r="O25" s="129"/>
      <c r="P25" s="129"/>
      <c r="Q25" s="129"/>
      <c r="R25" s="129"/>
      <c r="S25" s="129"/>
      <c r="T25" s="129"/>
      <c r="U25" s="129"/>
      <c r="V25" s="129"/>
      <c r="W25" s="129"/>
      <c r="X25" s="129"/>
      <c r="Y25" s="129"/>
    </row>
    <row r="26">
      <c r="A26" s="129"/>
      <c r="B26" s="129"/>
      <c r="D26" s="129"/>
      <c r="E26" s="129"/>
      <c r="F26" s="129"/>
      <c r="G26" s="129"/>
      <c r="H26" s="129"/>
      <c r="I26" s="129"/>
      <c r="J26" s="129"/>
      <c r="K26" s="129"/>
      <c r="L26" s="129"/>
      <c r="M26" s="129"/>
      <c r="N26" s="129"/>
      <c r="O26" s="129"/>
      <c r="P26" s="129"/>
      <c r="Q26" s="129"/>
      <c r="R26" s="129"/>
      <c r="S26" s="129"/>
      <c r="T26" s="129"/>
      <c r="U26" s="129"/>
      <c r="V26" s="129"/>
      <c r="W26" s="129"/>
      <c r="X26" s="129"/>
      <c r="Y26" s="129"/>
    </row>
    <row r="27">
      <c r="A27" s="129"/>
      <c r="B27" s="129"/>
      <c r="D27" s="129"/>
      <c r="E27" s="129"/>
      <c r="F27" s="129"/>
      <c r="G27" s="129"/>
      <c r="H27" s="129"/>
      <c r="I27" s="129"/>
      <c r="J27" s="129"/>
      <c r="K27" s="129"/>
      <c r="L27" s="129"/>
      <c r="M27" s="129"/>
      <c r="N27" s="129"/>
      <c r="O27" s="129"/>
      <c r="P27" s="129"/>
      <c r="Q27" s="129"/>
      <c r="R27" s="129"/>
      <c r="S27" s="129"/>
      <c r="T27" s="129"/>
      <c r="U27" s="129"/>
      <c r="V27" s="129"/>
      <c r="W27" s="129"/>
      <c r="X27" s="129"/>
      <c r="Y27" s="129"/>
    </row>
    <row r="28">
      <c r="A28" s="129"/>
      <c r="B28" s="129"/>
      <c r="D28" s="129"/>
      <c r="E28" s="129"/>
      <c r="F28" s="129"/>
      <c r="G28" s="129"/>
      <c r="H28" s="129"/>
      <c r="I28" s="129"/>
      <c r="J28" s="129"/>
      <c r="K28" s="129"/>
      <c r="L28" s="129"/>
      <c r="M28" s="129"/>
      <c r="N28" s="129"/>
      <c r="O28" s="129"/>
      <c r="P28" s="129"/>
      <c r="Q28" s="129"/>
      <c r="R28" s="129"/>
      <c r="S28" s="129"/>
      <c r="T28" s="129"/>
      <c r="U28" s="129"/>
      <c r="V28" s="129"/>
      <c r="W28" s="129"/>
      <c r="X28" s="129"/>
      <c r="Y28" s="129"/>
    </row>
    <row r="29">
      <c r="A29" s="129"/>
      <c r="B29" s="129"/>
      <c r="D29" s="129"/>
      <c r="E29" s="129"/>
      <c r="F29" s="129"/>
      <c r="G29" s="129"/>
      <c r="H29" s="129"/>
      <c r="I29" s="129"/>
      <c r="J29" s="129"/>
      <c r="K29" s="129"/>
      <c r="L29" s="129"/>
      <c r="M29" s="129"/>
      <c r="N29" s="129"/>
      <c r="O29" s="129"/>
      <c r="P29" s="129"/>
      <c r="Q29" s="129"/>
      <c r="R29" s="129"/>
      <c r="S29" s="129"/>
      <c r="T29" s="129"/>
      <c r="U29" s="129"/>
      <c r="V29" s="129"/>
      <c r="W29" s="129"/>
      <c r="X29" s="129"/>
      <c r="Y29" s="129"/>
    </row>
    <row r="30">
      <c r="A30" s="129"/>
      <c r="B30" s="129"/>
      <c r="D30" s="129"/>
      <c r="E30" s="129"/>
      <c r="F30" s="129"/>
      <c r="G30" s="129"/>
      <c r="H30" s="129"/>
      <c r="I30" s="129"/>
      <c r="J30" s="129"/>
      <c r="K30" s="129"/>
      <c r="L30" s="129"/>
      <c r="M30" s="129"/>
      <c r="N30" s="129"/>
      <c r="O30" s="129"/>
      <c r="P30" s="129"/>
      <c r="Q30" s="129"/>
      <c r="R30" s="129"/>
      <c r="S30" s="129"/>
      <c r="T30" s="129"/>
      <c r="U30" s="129"/>
      <c r="V30" s="129"/>
      <c r="W30" s="129"/>
      <c r="X30" s="129"/>
      <c r="Y30" s="129"/>
    </row>
    <row r="31">
      <c r="A31" s="129"/>
      <c r="B31" s="129"/>
      <c r="D31" s="129"/>
      <c r="E31" s="129"/>
      <c r="F31" s="129"/>
      <c r="G31" s="129"/>
      <c r="H31" s="129"/>
      <c r="I31" s="129"/>
      <c r="J31" s="129"/>
      <c r="K31" s="129"/>
      <c r="L31" s="129"/>
      <c r="M31" s="129"/>
      <c r="N31" s="129"/>
      <c r="O31" s="129"/>
      <c r="P31" s="129"/>
      <c r="Q31" s="129"/>
      <c r="R31" s="129"/>
      <c r="S31" s="129"/>
      <c r="T31" s="129"/>
      <c r="U31" s="129"/>
      <c r="V31" s="129"/>
      <c r="W31" s="129"/>
      <c r="X31" s="129"/>
      <c r="Y31" s="129"/>
    </row>
    <row r="32">
      <c r="A32" s="129"/>
      <c r="B32" s="129"/>
      <c r="D32" s="129"/>
      <c r="E32" s="129"/>
      <c r="F32" s="129"/>
      <c r="G32" s="129"/>
      <c r="H32" s="129"/>
      <c r="I32" s="129"/>
      <c r="J32" s="129"/>
      <c r="K32" s="129"/>
      <c r="L32" s="129"/>
      <c r="M32" s="129"/>
      <c r="N32" s="129"/>
      <c r="O32" s="129"/>
      <c r="P32" s="129"/>
      <c r="Q32" s="129"/>
      <c r="R32" s="129"/>
      <c r="S32" s="129"/>
      <c r="T32" s="129"/>
      <c r="U32" s="129"/>
      <c r="V32" s="129"/>
      <c r="W32" s="129"/>
      <c r="X32" s="129"/>
      <c r="Y32" s="129"/>
    </row>
    <row r="33">
      <c r="A33" s="129"/>
      <c r="B33" s="129"/>
      <c r="D33" s="129"/>
      <c r="E33" s="129"/>
      <c r="F33" s="129"/>
      <c r="G33" s="129"/>
      <c r="H33" s="129"/>
      <c r="I33" s="129"/>
      <c r="J33" s="129"/>
      <c r="K33" s="129"/>
      <c r="L33" s="129"/>
      <c r="M33" s="129"/>
      <c r="N33" s="129"/>
      <c r="O33" s="129"/>
      <c r="P33" s="129"/>
      <c r="Q33" s="129"/>
      <c r="R33" s="129"/>
      <c r="S33" s="129"/>
      <c r="T33" s="129"/>
      <c r="U33" s="129"/>
      <c r="V33" s="129"/>
      <c r="W33" s="129"/>
      <c r="X33" s="129"/>
      <c r="Y33" s="129"/>
    </row>
    <row r="34">
      <c r="A34" s="129"/>
      <c r="B34" s="129"/>
      <c r="D34" s="129"/>
      <c r="E34" s="129"/>
      <c r="F34" s="129"/>
      <c r="G34" s="129"/>
      <c r="H34" s="129"/>
      <c r="I34" s="129"/>
      <c r="J34" s="129"/>
      <c r="K34" s="129"/>
      <c r="L34" s="129"/>
      <c r="M34" s="129"/>
      <c r="N34" s="129"/>
      <c r="O34" s="129"/>
      <c r="P34" s="129"/>
      <c r="Q34" s="129"/>
      <c r="R34" s="129"/>
      <c r="S34" s="129"/>
      <c r="T34" s="129"/>
      <c r="U34" s="129"/>
      <c r="V34" s="129"/>
      <c r="W34" s="129"/>
      <c r="X34" s="129"/>
      <c r="Y34" s="129"/>
    </row>
    <row r="35">
      <c r="A35" s="129"/>
      <c r="B35" s="129"/>
      <c r="D35" s="129"/>
      <c r="E35" s="129"/>
      <c r="F35" s="129"/>
      <c r="G35" s="129"/>
      <c r="H35" s="129"/>
      <c r="I35" s="129"/>
      <c r="J35" s="129"/>
      <c r="K35" s="129"/>
      <c r="L35" s="129"/>
      <c r="M35" s="129"/>
      <c r="N35" s="129"/>
      <c r="O35" s="129"/>
      <c r="P35" s="129"/>
      <c r="Q35" s="129"/>
      <c r="R35" s="129"/>
      <c r="S35" s="129"/>
      <c r="T35" s="129"/>
      <c r="U35" s="129"/>
      <c r="V35" s="129"/>
      <c r="W35" s="129"/>
      <c r="X35" s="129"/>
      <c r="Y35" s="129"/>
    </row>
    <row r="36">
      <c r="A36" s="129"/>
      <c r="B36" s="129"/>
      <c r="D36" s="129"/>
      <c r="E36" s="129"/>
      <c r="F36" s="129"/>
      <c r="G36" s="129"/>
      <c r="H36" s="129"/>
      <c r="I36" s="129"/>
      <c r="J36" s="129"/>
      <c r="K36" s="129"/>
      <c r="L36" s="129"/>
      <c r="M36" s="129"/>
      <c r="N36" s="129"/>
      <c r="O36" s="129"/>
      <c r="P36" s="129"/>
      <c r="Q36" s="129"/>
      <c r="R36" s="129"/>
      <c r="S36" s="129"/>
      <c r="T36" s="129"/>
      <c r="U36" s="129"/>
      <c r="V36" s="129"/>
      <c r="W36" s="129"/>
      <c r="X36" s="129"/>
      <c r="Y36" s="129"/>
    </row>
    <row r="37">
      <c r="A37" s="129"/>
      <c r="B37" s="129"/>
      <c r="D37" s="129"/>
      <c r="E37" s="129"/>
      <c r="F37" s="129"/>
      <c r="G37" s="129"/>
      <c r="H37" s="129"/>
      <c r="I37" s="129"/>
      <c r="J37" s="129"/>
      <c r="K37" s="129"/>
      <c r="L37" s="129"/>
      <c r="M37" s="129"/>
      <c r="N37" s="129"/>
      <c r="O37" s="129"/>
      <c r="P37" s="129"/>
      <c r="Q37" s="129"/>
      <c r="R37" s="129"/>
      <c r="S37" s="129"/>
      <c r="T37" s="129"/>
      <c r="U37" s="129"/>
      <c r="V37" s="129"/>
      <c r="W37" s="129"/>
      <c r="X37" s="129"/>
      <c r="Y37" s="129"/>
    </row>
    <row r="38">
      <c r="A38" s="129"/>
      <c r="B38" s="129"/>
      <c r="D38" s="129"/>
      <c r="E38" s="129"/>
      <c r="F38" s="129"/>
      <c r="G38" s="129"/>
      <c r="H38" s="129"/>
      <c r="I38" s="129"/>
      <c r="J38" s="129"/>
      <c r="K38" s="129"/>
      <c r="L38" s="129"/>
      <c r="M38" s="129"/>
      <c r="N38" s="129"/>
      <c r="O38" s="129"/>
      <c r="P38" s="129"/>
      <c r="Q38" s="129"/>
      <c r="R38" s="129"/>
      <c r="S38" s="129"/>
      <c r="T38" s="129"/>
      <c r="U38" s="129"/>
      <c r="V38" s="129"/>
      <c r="W38" s="129"/>
      <c r="X38" s="129"/>
      <c r="Y38" s="129"/>
    </row>
    <row r="39">
      <c r="A39" s="129"/>
      <c r="B39" s="129"/>
      <c r="D39" s="129"/>
      <c r="E39" s="129"/>
      <c r="F39" s="129"/>
      <c r="G39" s="129"/>
      <c r="H39" s="129"/>
      <c r="I39" s="129"/>
      <c r="J39" s="129"/>
      <c r="K39" s="129"/>
      <c r="L39" s="129"/>
      <c r="M39" s="129"/>
      <c r="N39" s="129"/>
      <c r="O39" s="129"/>
      <c r="P39" s="129"/>
      <c r="Q39" s="129"/>
      <c r="R39" s="129"/>
      <c r="S39" s="129"/>
      <c r="T39" s="129"/>
      <c r="U39" s="129"/>
      <c r="V39" s="129"/>
      <c r="W39" s="129"/>
      <c r="X39" s="129"/>
      <c r="Y39" s="129"/>
    </row>
    <row r="40">
      <c r="A40" s="129"/>
      <c r="B40" s="129"/>
      <c r="D40" s="129"/>
      <c r="E40" s="129"/>
      <c r="F40" s="129"/>
      <c r="G40" s="129"/>
      <c r="H40" s="129"/>
      <c r="I40" s="129"/>
      <c r="J40" s="129"/>
      <c r="K40" s="129"/>
      <c r="L40" s="129"/>
      <c r="M40" s="129"/>
      <c r="N40" s="129"/>
      <c r="O40" s="129"/>
      <c r="P40" s="129"/>
      <c r="Q40" s="129"/>
      <c r="R40" s="129"/>
      <c r="S40" s="129"/>
      <c r="T40" s="129"/>
      <c r="U40" s="129"/>
      <c r="V40" s="129"/>
      <c r="W40" s="129"/>
      <c r="X40" s="129"/>
      <c r="Y40" s="129"/>
    </row>
    <row r="41">
      <c r="A41" s="129"/>
      <c r="B41" s="129"/>
      <c r="D41" s="129"/>
      <c r="E41" s="129"/>
      <c r="F41" s="129"/>
      <c r="G41" s="129"/>
      <c r="H41" s="129"/>
      <c r="I41" s="129"/>
      <c r="J41" s="129"/>
      <c r="K41" s="129"/>
      <c r="L41" s="129"/>
      <c r="M41" s="129"/>
      <c r="N41" s="129"/>
      <c r="O41" s="129"/>
      <c r="P41" s="129"/>
      <c r="Q41" s="129"/>
      <c r="R41" s="129"/>
      <c r="S41" s="129"/>
      <c r="T41" s="129"/>
      <c r="U41" s="129"/>
      <c r="V41" s="129"/>
      <c r="W41" s="129"/>
      <c r="X41" s="129"/>
      <c r="Y41" s="129"/>
    </row>
    <row r="42">
      <c r="A42" s="129"/>
      <c r="B42" s="129"/>
      <c r="D42" s="129"/>
      <c r="E42" s="129"/>
      <c r="F42" s="129"/>
      <c r="G42" s="129"/>
      <c r="H42" s="129"/>
      <c r="I42" s="129"/>
      <c r="J42" s="129"/>
      <c r="K42" s="129"/>
      <c r="L42" s="129"/>
      <c r="M42" s="129"/>
      <c r="N42" s="129"/>
      <c r="O42" s="129"/>
      <c r="P42" s="129"/>
      <c r="Q42" s="129"/>
      <c r="R42" s="129"/>
      <c r="S42" s="129"/>
      <c r="T42" s="129"/>
      <c r="U42" s="129"/>
      <c r="V42" s="129"/>
      <c r="W42" s="129"/>
      <c r="X42" s="129"/>
      <c r="Y42" s="129"/>
    </row>
    <row r="43">
      <c r="A43" s="129"/>
      <c r="B43" s="129"/>
      <c r="D43" s="129"/>
      <c r="E43" s="129"/>
      <c r="F43" s="129"/>
      <c r="G43" s="129"/>
      <c r="H43" s="129"/>
      <c r="I43" s="129"/>
      <c r="J43" s="129"/>
      <c r="K43" s="129"/>
      <c r="L43" s="129"/>
      <c r="M43" s="129"/>
      <c r="N43" s="129"/>
      <c r="O43" s="129"/>
      <c r="P43" s="129"/>
      <c r="Q43" s="129"/>
      <c r="R43" s="129"/>
      <c r="S43" s="129"/>
      <c r="T43" s="129"/>
      <c r="U43" s="129"/>
      <c r="V43" s="129"/>
      <c r="W43" s="129"/>
      <c r="X43" s="129"/>
      <c r="Y43" s="129"/>
    </row>
    <row r="44">
      <c r="A44" s="129"/>
      <c r="B44" s="129"/>
      <c r="D44" s="129"/>
      <c r="E44" s="129"/>
      <c r="F44" s="129"/>
      <c r="G44" s="129"/>
      <c r="H44" s="129"/>
      <c r="I44" s="129"/>
      <c r="J44" s="129"/>
      <c r="K44" s="129"/>
      <c r="L44" s="129"/>
      <c r="M44" s="129"/>
      <c r="N44" s="129"/>
      <c r="O44" s="129"/>
      <c r="P44" s="129"/>
      <c r="Q44" s="129"/>
      <c r="R44" s="129"/>
      <c r="S44" s="129"/>
      <c r="T44" s="129"/>
      <c r="U44" s="129"/>
      <c r="V44" s="129"/>
      <c r="W44" s="129"/>
      <c r="X44" s="129"/>
      <c r="Y44" s="129"/>
    </row>
    <row r="45">
      <c r="A45" s="129"/>
      <c r="B45" s="129"/>
      <c r="D45" s="129"/>
      <c r="E45" s="129"/>
      <c r="F45" s="129"/>
      <c r="G45" s="129"/>
      <c r="H45" s="129"/>
      <c r="I45" s="129"/>
      <c r="J45" s="129"/>
      <c r="K45" s="129"/>
      <c r="L45" s="129"/>
      <c r="M45" s="129"/>
      <c r="N45" s="129"/>
      <c r="O45" s="129"/>
      <c r="P45" s="129"/>
      <c r="Q45" s="129"/>
      <c r="R45" s="129"/>
      <c r="S45" s="129"/>
      <c r="T45" s="129"/>
      <c r="U45" s="129"/>
      <c r="V45" s="129"/>
      <c r="W45" s="129"/>
      <c r="X45" s="129"/>
      <c r="Y45" s="129"/>
    </row>
    <row r="46">
      <c r="A46" s="129"/>
      <c r="B46" s="129"/>
      <c r="D46" s="129"/>
      <c r="E46" s="129"/>
      <c r="F46" s="129"/>
      <c r="G46" s="129"/>
      <c r="H46" s="129"/>
      <c r="I46" s="129"/>
      <c r="J46" s="129"/>
      <c r="K46" s="129"/>
      <c r="L46" s="129"/>
      <c r="M46" s="129"/>
      <c r="N46" s="129"/>
      <c r="O46" s="129"/>
      <c r="P46" s="129"/>
      <c r="Q46" s="129"/>
      <c r="R46" s="129"/>
      <c r="S46" s="129"/>
      <c r="T46" s="129"/>
      <c r="U46" s="129"/>
      <c r="V46" s="129"/>
      <c r="W46" s="129"/>
      <c r="X46" s="129"/>
      <c r="Y46" s="129"/>
    </row>
    <row r="47">
      <c r="A47" s="129"/>
      <c r="B47" s="129"/>
      <c r="D47" s="129"/>
      <c r="E47" s="129"/>
      <c r="F47" s="129"/>
      <c r="G47" s="129"/>
      <c r="H47" s="129"/>
      <c r="I47" s="129"/>
      <c r="J47" s="129"/>
      <c r="K47" s="129"/>
      <c r="L47" s="129"/>
      <c r="M47" s="129"/>
      <c r="N47" s="129"/>
      <c r="O47" s="129"/>
      <c r="P47" s="129"/>
      <c r="Q47" s="129"/>
      <c r="R47" s="129"/>
      <c r="S47" s="129"/>
      <c r="T47" s="129"/>
      <c r="U47" s="129"/>
      <c r="V47" s="129"/>
      <c r="W47" s="129"/>
      <c r="X47" s="129"/>
      <c r="Y47" s="129"/>
    </row>
    <row r="48">
      <c r="A48" s="129"/>
      <c r="B48" s="129"/>
      <c r="D48" s="129"/>
      <c r="E48" s="129"/>
      <c r="F48" s="129"/>
      <c r="G48" s="129"/>
      <c r="H48" s="129"/>
      <c r="I48" s="129"/>
      <c r="J48" s="129"/>
      <c r="K48" s="129"/>
      <c r="L48" s="129"/>
      <c r="M48" s="129"/>
      <c r="N48" s="129"/>
      <c r="O48" s="129"/>
      <c r="P48" s="129"/>
      <c r="Q48" s="129"/>
      <c r="R48" s="129"/>
      <c r="S48" s="129"/>
      <c r="T48" s="129"/>
      <c r="U48" s="129"/>
      <c r="V48" s="129"/>
      <c r="W48" s="129"/>
      <c r="X48" s="129"/>
      <c r="Y48" s="129"/>
    </row>
    <row r="49">
      <c r="A49" s="129"/>
      <c r="B49" s="129"/>
      <c r="D49" s="129"/>
      <c r="E49" s="129"/>
      <c r="F49" s="129"/>
      <c r="G49" s="129"/>
      <c r="H49" s="129"/>
      <c r="I49" s="129"/>
      <c r="J49" s="129"/>
      <c r="K49" s="129"/>
      <c r="L49" s="129"/>
      <c r="M49" s="129"/>
      <c r="N49" s="129"/>
      <c r="O49" s="129"/>
      <c r="P49" s="129"/>
      <c r="Q49" s="129"/>
      <c r="R49" s="129"/>
      <c r="S49" s="129"/>
      <c r="T49" s="129"/>
      <c r="U49" s="129"/>
      <c r="V49" s="129"/>
      <c r="W49" s="129"/>
      <c r="X49" s="129"/>
      <c r="Y49" s="129"/>
    </row>
    <row r="50">
      <c r="A50" s="129"/>
      <c r="B50" s="129"/>
      <c r="D50" s="129"/>
      <c r="E50" s="129"/>
      <c r="F50" s="129"/>
      <c r="G50" s="129"/>
      <c r="H50" s="129"/>
      <c r="I50" s="129"/>
      <c r="J50" s="129"/>
      <c r="K50" s="129"/>
      <c r="L50" s="129"/>
      <c r="M50" s="129"/>
      <c r="N50" s="129"/>
      <c r="O50" s="129"/>
      <c r="P50" s="129"/>
      <c r="Q50" s="129"/>
      <c r="R50" s="129"/>
      <c r="S50" s="129"/>
      <c r="T50" s="129"/>
      <c r="U50" s="129"/>
      <c r="V50" s="129"/>
      <c r="W50" s="129"/>
      <c r="X50" s="129"/>
      <c r="Y50" s="129"/>
    </row>
    <row r="51">
      <c r="A51" s="129"/>
      <c r="B51" s="129"/>
      <c r="D51" s="129"/>
      <c r="E51" s="129"/>
      <c r="F51" s="129"/>
      <c r="G51" s="129"/>
      <c r="H51" s="129"/>
      <c r="I51" s="129"/>
      <c r="J51" s="129"/>
      <c r="K51" s="129"/>
      <c r="L51" s="129"/>
      <c r="M51" s="129"/>
      <c r="N51" s="129"/>
      <c r="O51" s="129"/>
      <c r="P51" s="129"/>
      <c r="Q51" s="129"/>
      <c r="R51" s="129"/>
      <c r="S51" s="129"/>
      <c r="T51" s="129"/>
      <c r="U51" s="129"/>
      <c r="V51" s="129"/>
      <c r="W51" s="129"/>
      <c r="X51" s="129"/>
      <c r="Y51" s="129"/>
    </row>
    <row r="52">
      <c r="A52" s="129"/>
      <c r="B52" s="129"/>
      <c r="D52" s="129"/>
      <c r="E52" s="129"/>
      <c r="F52" s="129"/>
      <c r="G52" s="129"/>
      <c r="H52" s="129"/>
      <c r="I52" s="129"/>
      <c r="J52" s="129"/>
      <c r="K52" s="129"/>
      <c r="L52" s="129"/>
      <c r="M52" s="129"/>
      <c r="N52" s="129"/>
      <c r="O52" s="129"/>
      <c r="P52" s="129"/>
      <c r="Q52" s="129"/>
      <c r="R52" s="129"/>
      <c r="S52" s="129"/>
      <c r="T52" s="129"/>
      <c r="U52" s="129"/>
      <c r="V52" s="129"/>
      <c r="W52" s="129"/>
      <c r="X52" s="129"/>
      <c r="Y52" s="129"/>
    </row>
    <row r="53">
      <c r="A53" s="129"/>
      <c r="B53" s="129"/>
      <c r="D53" s="129"/>
      <c r="E53" s="129"/>
      <c r="F53" s="129"/>
      <c r="G53" s="129"/>
      <c r="H53" s="129"/>
      <c r="I53" s="129"/>
      <c r="J53" s="129"/>
      <c r="K53" s="129"/>
      <c r="L53" s="129"/>
      <c r="M53" s="129"/>
      <c r="N53" s="129"/>
      <c r="O53" s="129"/>
      <c r="P53" s="129"/>
      <c r="Q53" s="129"/>
      <c r="R53" s="129"/>
      <c r="S53" s="129"/>
      <c r="T53" s="129"/>
      <c r="U53" s="129"/>
      <c r="V53" s="129"/>
      <c r="W53" s="129"/>
      <c r="X53" s="129"/>
      <c r="Y53" s="129"/>
    </row>
    <row r="54">
      <c r="A54" s="129"/>
      <c r="B54" s="129"/>
      <c r="D54" s="129"/>
      <c r="E54" s="129"/>
      <c r="F54" s="129"/>
      <c r="G54" s="129"/>
      <c r="H54" s="129"/>
      <c r="I54" s="129"/>
      <c r="J54" s="129"/>
      <c r="K54" s="129"/>
      <c r="L54" s="129"/>
      <c r="M54" s="129"/>
      <c r="N54" s="129"/>
      <c r="O54" s="129"/>
      <c r="P54" s="129"/>
      <c r="Q54" s="129"/>
      <c r="R54" s="129"/>
      <c r="S54" s="129"/>
      <c r="T54" s="129"/>
      <c r="U54" s="129"/>
      <c r="V54" s="129"/>
      <c r="W54" s="129"/>
      <c r="X54" s="129"/>
      <c r="Y54" s="129"/>
    </row>
    <row r="55">
      <c r="A55" s="129"/>
      <c r="B55" s="129"/>
      <c r="D55" s="129"/>
      <c r="E55" s="129"/>
      <c r="F55" s="129"/>
      <c r="G55" s="129"/>
      <c r="H55" s="129"/>
      <c r="I55" s="129"/>
      <c r="J55" s="129"/>
      <c r="K55" s="129"/>
      <c r="L55" s="129"/>
      <c r="M55" s="129"/>
      <c r="N55" s="129"/>
      <c r="O55" s="129"/>
      <c r="P55" s="129"/>
      <c r="Q55" s="129"/>
      <c r="R55" s="129"/>
      <c r="S55" s="129"/>
      <c r="T55" s="129"/>
      <c r="U55" s="129"/>
      <c r="V55" s="129"/>
      <c r="W55" s="129"/>
      <c r="X55" s="129"/>
      <c r="Y55" s="129"/>
    </row>
    <row r="56">
      <c r="A56" s="129"/>
      <c r="B56" s="129"/>
      <c r="D56" s="129"/>
      <c r="E56" s="129"/>
      <c r="F56" s="129"/>
      <c r="G56" s="129"/>
      <c r="H56" s="129"/>
      <c r="I56" s="129"/>
      <c r="J56" s="129"/>
      <c r="K56" s="129"/>
      <c r="L56" s="129"/>
      <c r="M56" s="129"/>
      <c r="N56" s="129"/>
      <c r="O56" s="129"/>
      <c r="P56" s="129"/>
      <c r="Q56" s="129"/>
      <c r="R56" s="129"/>
      <c r="S56" s="129"/>
      <c r="T56" s="129"/>
      <c r="U56" s="129"/>
      <c r="V56" s="129"/>
      <c r="W56" s="129"/>
      <c r="X56" s="129"/>
      <c r="Y56" s="129"/>
    </row>
    <row r="57">
      <c r="A57" s="129"/>
      <c r="B57" s="129"/>
      <c r="D57" s="129"/>
      <c r="E57" s="129"/>
      <c r="F57" s="129"/>
      <c r="G57" s="129"/>
      <c r="H57" s="129"/>
      <c r="I57" s="129"/>
      <c r="J57" s="129"/>
      <c r="K57" s="129"/>
      <c r="L57" s="129"/>
      <c r="M57" s="129"/>
      <c r="N57" s="129"/>
      <c r="O57" s="129"/>
      <c r="P57" s="129"/>
      <c r="Q57" s="129"/>
      <c r="R57" s="129"/>
      <c r="S57" s="129"/>
      <c r="T57" s="129"/>
      <c r="U57" s="129"/>
      <c r="V57" s="129"/>
      <c r="W57" s="129"/>
      <c r="X57" s="129"/>
      <c r="Y57" s="129"/>
    </row>
    <row r="58">
      <c r="A58" s="129"/>
      <c r="B58" s="129"/>
      <c r="D58" s="129"/>
      <c r="E58" s="129"/>
      <c r="F58" s="129"/>
      <c r="G58" s="129"/>
      <c r="H58" s="129"/>
      <c r="I58" s="129"/>
      <c r="J58" s="129"/>
      <c r="K58" s="129"/>
      <c r="L58" s="129"/>
      <c r="M58" s="129"/>
      <c r="N58" s="129"/>
      <c r="O58" s="129"/>
      <c r="P58" s="129"/>
      <c r="Q58" s="129"/>
      <c r="R58" s="129"/>
      <c r="S58" s="129"/>
      <c r="T58" s="129"/>
      <c r="U58" s="129"/>
      <c r="V58" s="129"/>
      <c r="W58" s="129"/>
      <c r="X58" s="129"/>
      <c r="Y58" s="129"/>
    </row>
    <row r="59">
      <c r="A59" s="129"/>
      <c r="B59" s="129"/>
      <c r="D59" s="129"/>
      <c r="E59" s="129"/>
      <c r="F59" s="129"/>
      <c r="G59" s="129"/>
      <c r="H59" s="129"/>
      <c r="I59" s="129"/>
      <c r="J59" s="129"/>
      <c r="K59" s="129"/>
      <c r="L59" s="129"/>
      <c r="M59" s="129"/>
      <c r="N59" s="129"/>
      <c r="O59" s="129"/>
      <c r="P59" s="129"/>
      <c r="Q59" s="129"/>
      <c r="R59" s="129"/>
      <c r="S59" s="129"/>
      <c r="T59" s="129"/>
      <c r="U59" s="129"/>
      <c r="V59" s="129"/>
      <c r="W59" s="129"/>
      <c r="X59" s="129"/>
      <c r="Y59" s="129"/>
    </row>
    <row r="60">
      <c r="A60" s="129"/>
      <c r="B60" s="129"/>
      <c r="D60" s="129"/>
      <c r="E60" s="129"/>
      <c r="F60" s="129"/>
      <c r="G60" s="129"/>
      <c r="H60" s="129"/>
      <c r="I60" s="129"/>
      <c r="J60" s="129"/>
      <c r="K60" s="129"/>
      <c r="L60" s="129"/>
      <c r="M60" s="129"/>
      <c r="N60" s="129"/>
      <c r="O60" s="129"/>
      <c r="P60" s="129"/>
      <c r="Q60" s="129"/>
      <c r="R60" s="129"/>
      <c r="S60" s="129"/>
      <c r="T60" s="129"/>
      <c r="U60" s="129"/>
      <c r="V60" s="129"/>
      <c r="W60" s="129"/>
      <c r="X60" s="129"/>
      <c r="Y60" s="129"/>
    </row>
    <row r="61">
      <c r="A61" s="129"/>
      <c r="B61" s="129"/>
      <c r="D61" s="129"/>
      <c r="E61" s="129"/>
      <c r="F61" s="129"/>
      <c r="G61" s="129"/>
      <c r="H61" s="129"/>
      <c r="I61" s="129"/>
      <c r="J61" s="129"/>
      <c r="K61" s="129"/>
      <c r="L61" s="129"/>
      <c r="M61" s="129"/>
      <c r="N61" s="129"/>
      <c r="O61" s="129"/>
      <c r="P61" s="129"/>
      <c r="Q61" s="129"/>
      <c r="R61" s="129"/>
      <c r="S61" s="129"/>
      <c r="T61" s="129"/>
      <c r="U61" s="129"/>
      <c r="V61" s="129"/>
      <c r="W61" s="129"/>
      <c r="X61" s="129"/>
      <c r="Y61" s="129"/>
    </row>
    <row r="62">
      <c r="A62" s="129"/>
      <c r="B62" s="129"/>
      <c r="D62" s="129"/>
      <c r="E62" s="129"/>
      <c r="F62" s="129"/>
      <c r="G62" s="129"/>
      <c r="H62" s="129"/>
      <c r="I62" s="129"/>
      <c r="J62" s="129"/>
      <c r="K62" s="129"/>
      <c r="L62" s="129"/>
      <c r="M62" s="129"/>
      <c r="N62" s="129"/>
      <c r="O62" s="129"/>
      <c r="P62" s="129"/>
      <c r="Q62" s="129"/>
      <c r="R62" s="129"/>
      <c r="S62" s="129"/>
      <c r="T62" s="129"/>
      <c r="U62" s="129"/>
      <c r="V62" s="129"/>
      <c r="W62" s="129"/>
      <c r="X62" s="129"/>
      <c r="Y62" s="129"/>
    </row>
    <row r="63">
      <c r="A63" s="129"/>
      <c r="B63" s="129"/>
      <c r="D63" s="129"/>
      <c r="E63" s="129"/>
      <c r="F63" s="129"/>
      <c r="G63" s="129"/>
      <c r="H63" s="129"/>
      <c r="I63" s="129"/>
      <c r="J63" s="129"/>
      <c r="K63" s="129"/>
      <c r="L63" s="129"/>
      <c r="M63" s="129"/>
      <c r="N63" s="129"/>
      <c r="O63" s="129"/>
      <c r="P63" s="129"/>
      <c r="Q63" s="129"/>
      <c r="R63" s="129"/>
      <c r="S63" s="129"/>
      <c r="T63" s="129"/>
      <c r="U63" s="129"/>
      <c r="V63" s="129"/>
      <c r="W63" s="129"/>
      <c r="X63" s="129"/>
      <c r="Y63" s="129"/>
    </row>
    <row r="64">
      <c r="A64" s="129"/>
      <c r="B64" s="129"/>
      <c r="D64" s="129"/>
      <c r="E64" s="129"/>
      <c r="F64" s="129"/>
      <c r="G64" s="129"/>
      <c r="H64" s="129"/>
      <c r="I64" s="129"/>
      <c r="J64" s="129"/>
      <c r="K64" s="129"/>
      <c r="L64" s="129"/>
      <c r="M64" s="129"/>
      <c r="N64" s="129"/>
      <c r="O64" s="129"/>
      <c r="P64" s="129"/>
      <c r="Q64" s="129"/>
      <c r="R64" s="129"/>
      <c r="S64" s="129"/>
      <c r="T64" s="129"/>
      <c r="U64" s="129"/>
      <c r="V64" s="129"/>
      <c r="W64" s="129"/>
      <c r="X64" s="129"/>
      <c r="Y64" s="129"/>
    </row>
    <row r="65">
      <c r="A65" s="129"/>
      <c r="B65" s="129"/>
      <c r="D65" s="129"/>
      <c r="E65" s="129"/>
      <c r="F65" s="129"/>
      <c r="G65" s="129"/>
      <c r="H65" s="129"/>
      <c r="I65" s="129"/>
      <c r="J65" s="129"/>
      <c r="K65" s="129"/>
      <c r="L65" s="129"/>
      <c r="M65" s="129"/>
      <c r="N65" s="129"/>
      <c r="O65" s="129"/>
      <c r="P65" s="129"/>
      <c r="Q65" s="129"/>
      <c r="R65" s="129"/>
      <c r="S65" s="129"/>
      <c r="T65" s="129"/>
      <c r="U65" s="129"/>
      <c r="V65" s="129"/>
      <c r="W65" s="129"/>
      <c r="X65" s="129"/>
      <c r="Y65" s="129"/>
    </row>
    <row r="66">
      <c r="A66" s="129"/>
      <c r="B66" s="129"/>
      <c r="D66" s="129"/>
      <c r="E66" s="129"/>
      <c r="F66" s="129"/>
      <c r="G66" s="129"/>
      <c r="H66" s="129"/>
      <c r="I66" s="129"/>
      <c r="J66" s="129"/>
      <c r="K66" s="129"/>
      <c r="L66" s="129"/>
      <c r="M66" s="129"/>
      <c r="N66" s="129"/>
      <c r="O66" s="129"/>
      <c r="P66" s="129"/>
      <c r="Q66" s="129"/>
      <c r="R66" s="129"/>
      <c r="S66" s="129"/>
      <c r="T66" s="129"/>
      <c r="U66" s="129"/>
      <c r="V66" s="129"/>
      <c r="W66" s="129"/>
      <c r="X66" s="129"/>
      <c r="Y66" s="129"/>
    </row>
    <row r="67">
      <c r="A67" s="129"/>
      <c r="B67" s="129"/>
      <c r="D67" s="129"/>
      <c r="E67" s="129"/>
      <c r="F67" s="129"/>
      <c r="G67" s="129"/>
      <c r="H67" s="129"/>
      <c r="I67" s="129"/>
      <c r="J67" s="129"/>
      <c r="K67" s="129"/>
      <c r="L67" s="129"/>
      <c r="M67" s="129"/>
      <c r="N67" s="129"/>
      <c r="O67" s="129"/>
      <c r="P67" s="129"/>
      <c r="Q67" s="129"/>
      <c r="R67" s="129"/>
      <c r="S67" s="129"/>
      <c r="T67" s="129"/>
      <c r="U67" s="129"/>
      <c r="V67" s="129"/>
      <c r="W67" s="129"/>
      <c r="X67" s="129"/>
      <c r="Y67" s="129"/>
    </row>
    <row r="68">
      <c r="A68" s="129"/>
      <c r="B68" s="129"/>
      <c r="D68" s="129"/>
      <c r="E68" s="129"/>
      <c r="F68" s="129"/>
      <c r="G68" s="129"/>
      <c r="H68" s="129"/>
      <c r="I68" s="129"/>
      <c r="J68" s="129"/>
      <c r="K68" s="129"/>
      <c r="L68" s="129"/>
      <c r="M68" s="129"/>
      <c r="N68" s="129"/>
      <c r="O68" s="129"/>
      <c r="P68" s="129"/>
      <c r="Q68" s="129"/>
      <c r="R68" s="129"/>
      <c r="S68" s="129"/>
      <c r="T68" s="129"/>
      <c r="U68" s="129"/>
      <c r="V68" s="129"/>
      <c r="W68" s="129"/>
      <c r="X68" s="129"/>
      <c r="Y68" s="129"/>
    </row>
    <row r="69">
      <c r="A69" s="129"/>
      <c r="B69" s="129"/>
      <c r="D69" s="129"/>
      <c r="E69" s="129"/>
      <c r="F69" s="129"/>
      <c r="G69" s="129"/>
      <c r="H69" s="129"/>
      <c r="I69" s="129"/>
      <c r="J69" s="129"/>
      <c r="K69" s="129"/>
      <c r="L69" s="129"/>
      <c r="M69" s="129"/>
      <c r="N69" s="129"/>
      <c r="O69" s="129"/>
      <c r="P69" s="129"/>
      <c r="Q69" s="129"/>
      <c r="R69" s="129"/>
      <c r="S69" s="129"/>
      <c r="T69" s="129"/>
      <c r="U69" s="129"/>
      <c r="V69" s="129"/>
      <c r="W69" s="129"/>
      <c r="X69" s="129"/>
      <c r="Y69" s="129"/>
    </row>
    <row r="70">
      <c r="A70" s="129"/>
      <c r="B70" s="129"/>
      <c r="D70" s="129"/>
      <c r="E70" s="129"/>
      <c r="F70" s="129"/>
      <c r="G70" s="129"/>
      <c r="H70" s="129"/>
      <c r="I70" s="129"/>
      <c r="J70" s="129"/>
      <c r="K70" s="129"/>
      <c r="L70" s="129"/>
      <c r="M70" s="129"/>
      <c r="N70" s="129"/>
      <c r="O70" s="129"/>
      <c r="P70" s="129"/>
      <c r="Q70" s="129"/>
      <c r="R70" s="129"/>
      <c r="S70" s="129"/>
      <c r="T70" s="129"/>
      <c r="U70" s="129"/>
      <c r="V70" s="129"/>
      <c r="W70" s="129"/>
      <c r="X70" s="129"/>
      <c r="Y70" s="129"/>
    </row>
    <row r="71">
      <c r="A71" s="129"/>
      <c r="B71" s="129"/>
      <c r="D71" s="129"/>
      <c r="E71" s="129"/>
      <c r="F71" s="129"/>
      <c r="G71" s="129"/>
      <c r="H71" s="129"/>
      <c r="I71" s="129"/>
      <c r="J71" s="129"/>
      <c r="K71" s="129"/>
      <c r="L71" s="129"/>
      <c r="M71" s="129"/>
      <c r="N71" s="129"/>
      <c r="O71" s="129"/>
      <c r="P71" s="129"/>
      <c r="Q71" s="129"/>
      <c r="R71" s="129"/>
      <c r="S71" s="129"/>
      <c r="T71" s="129"/>
      <c r="U71" s="129"/>
      <c r="V71" s="129"/>
      <c r="W71" s="129"/>
      <c r="X71" s="129"/>
      <c r="Y71" s="129"/>
    </row>
    <row r="72">
      <c r="A72" s="129"/>
      <c r="B72" s="129"/>
      <c r="D72" s="129"/>
      <c r="E72" s="129"/>
      <c r="F72" s="129"/>
      <c r="G72" s="129"/>
      <c r="H72" s="129"/>
      <c r="I72" s="129"/>
      <c r="J72" s="129"/>
      <c r="K72" s="129"/>
      <c r="L72" s="129"/>
      <c r="M72" s="129"/>
      <c r="N72" s="129"/>
      <c r="O72" s="129"/>
      <c r="P72" s="129"/>
      <c r="Q72" s="129"/>
      <c r="R72" s="129"/>
      <c r="S72" s="129"/>
      <c r="T72" s="129"/>
      <c r="U72" s="129"/>
      <c r="V72" s="129"/>
      <c r="W72" s="129"/>
      <c r="X72" s="129"/>
      <c r="Y72" s="129"/>
    </row>
    <row r="73">
      <c r="A73" s="129"/>
      <c r="B73" s="129"/>
      <c r="D73" s="129"/>
      <c r="E73" s="129"/>
      <c r="F73" s="129"/>
      <c r="G73" s="129"/>
      <c r="H73" s="129"/>
      <c r="I73" s="129"/>
      <c r="J73" s="129"/>
      <c r="K73" s="129"/>
      <c r="L73" s="129"/>
      <c r="M73" s="129"/>
      <c r="N73" s="129"/>
      <c r="O73" s="129"/>
      <c r="P73" s="129"/>
      <c r="Q73" s="129"/>
      <c r="R73" s="129"/>
      <c r="S73" s="129"/>
      <c r="T73" s="129"/>
      <c r="U73" s="129"/>
      <c r="V73" s="129"/>
      <c r="W73" s="129"/>
      <c r="X73" s="129"/>
      <c r="Y73" s="129"/>
    </row>
    <row r="74">
      <c r="A74" s="129"/>
      <c r="B74" s="129"/>
      <c r="D74" s="129"/>
      <c r="E74" s="129"/>
      <c r="F74" s="129"/>
      <c r="G74" s="129"/>
      <c r="H74" s="129"/>
      <c r="I74" s="129"/>
      <c r="J74" s="129"/>
      <c r="K74" s="129"/>
      <c r="L74" s="129"/>
      <c r="M74" s="129"/>
      <c r="N74" s="129"/>
      <c r="O74" s="129"/>
      <c r="P74" s="129"/>
      <c r="Q74" s="129"/>
      <c r="R74" s="129"/>
      <c r="S74" s="129"/>
      <c r="T74" s="129"/>
      <c r="U74" s="129"/>
      <c r="V74" s="129"/>
      <c r="W74" s="129"/>
      <c r="X74" s="129"/>
      <c r="Y74" s="129"/>
    </row>
    <row r="75">
      <c r="A75" s="129"/>
      <c r="B75" s="129"/>
      <c r="D75" s="129"/>
      <c r="E75" s="129"/>
      <c r="F75" s="129"/>
      <c r="G75" s="129"/>
      <c r="H75" s="129"/>
      <c r="I75" s="129"/>
      <c r="J75" s="129"/>
      <c r="K75" s="129"/>
      <c r="L75" s="129"/>
      <c r="M75" s="129"/>
      <c r="N75" s="129"/>
      <c r="O75" s="129"/>
      <c r="P75" s="129"/>
      <c r="Q75" s="129"/>
      <c r="R75" s="129"/>
      <c r="S75" s="129"/>
      <c r="T75" s="129"/>
      <c r="U75" s="129"/>
      <c r="V75" s="129"/>
      <c r="W75" s="129"/>
      <c r="X75" s="129"/>
      <c r="Y75" s="129"/>
    </row>
    <row r="76">
      <c r="A76" s="129"/>
      <c r="B76" s="129"/>
      <c r="D76" s="129"/>
      <c r="E76" s="129"/>
      <c r="F76" s="129"/>
      <c r="G76" s="129"/>
      <c r="H76" s="129"/>
      <c r="I76" s="129"/>
      <c r="J76" s="129"/>
      <c r="K76" s="129"/>
      <c r="L76" s="129"/>
      <c r="M76" s="129"/>
      <c r="N76" s="129"/>
      <c r="O76" s="129"/>
      <c r="P76" s="129"/>
      <c r="Q76" s="129"/>
      <c r="R76" s="129"/>
      <c r="S76" s="129"/>
      <c r="T76" s="129"/>
      <c r="U76" s="129"/>
      <c r="V76" s="129"/>
      <c r="W76" s="129"/>
      <c r="X76" s="129"/>
      <c r="Y76" s="129"/>
    </row>
    <row r="77">
      <c r="A77" s="129"/>
      <c r="B77" s="129"/>
      <c r="D77" s="129"/>
      <c r="E77" s="129"/>
      <c r="F77" s="129"/>
      <c r="G77" s="129"/>
      <c r="H77" s="129"/>
      <c r="I77" s="129"/>
      <c r="J77" s="129"/>
      <c r="K77" s="129"/>
      <c r="L77" s="129"/>
      <c r="M77" s="129"/>
      <c r="N77" s="129"/>
      <c r="O77" s="129"/>
      <c r="P77" s="129"/>
      <c r="Q77" s="129"/>
      <c r="R77" s="129"/>
      <c r="S77" s="129"/>
      <c r="T77" s="129"/>
      <c r="U77" s="129"/>
      <c r="V77" s="129"/>
      <c r="W77" s="129"/>
      <c r="X77" s="129"/>
      <c r="Y77" s="129"/>
    </row>
    <row r="78">
      <c r="A78" s="129"/>
      <c r="B78" s="129"/>
      <c r="D78" s="129"/>
      <c r="E78" s="129"/>
      <c r="F78" s="129"/>
      <c r="G78" s="129"/>
      <c r="H78" s="129"/>
      <c r="I78" s="129"/>
      <c r="J78" s="129"/>
      <c r="K78" s="129"/>
      <c r="L78" s="129"/>
      <c r="M78" s="129"/>
      <c r="N78" s="129"/>
      <c r="O78" s="129"/>
      <c r="P78" s="129"/>
      <c r="Q78" s="129"/>
      <c r="R78" s="129"/>
      <c r="S78" s="129"/>
      <c r="T78" s="129"/>
      <c r="U78" s="129"/>
      <c r="V78" s="129"/>
      <c r="W78" s="129"/>
      <c r="X78" s="129"/>
      <c r="Y78" s="129"/>
    </row>
    <row r="79">
      <c r="A79" s="129"/>
      <c r="B79" s="129"/>
      <c r="D79" s="129"/>
      <c r="E79" s="129"/>
      <c r="F79" s="129"/>
      <c r="G79" s="129"/>
      <c r="H79" s="129"/>
      <c r="I79" s="129"/>
      <c r="J79" s="129"/>
      <c r="K79" s="129"/>
      <c r="L79" s="129"/>
      <c r="M79" s="129"/>
      <c r="N79" s="129"/>
      <c r="O79" s="129"/>
      <c r="P79" s="129"/>
      <c r="Q79" s="129"/>
      <c r="R79" s="129"/>
      <c r="S79" s="129"/>
      <c r="T79" s="129"/>
      <c r="U79" s="129"/>
      <c r="V79" s="129"/>
      <c r="W79" s="129"/>
      <c r="X79" s="129"/>
      <c r="Y79" s="129"/>
    </row>
    <row r="80">
      <c r="A80" s="129"/>
      <c r="B80" s="129"/>
      <c r="D80" s="129"/>
      <c r="E80" s="129"/>
      <c r="F80" s="129"/>
      <c r="G80" s="129"/>
      <c r="H80" s="129"/>
      <c r="I80" s="129"/>
      <c r="J80" s="129"/>
      <c r="K80" s="129"/>
      <c r="L80" s="129"/>
      <c r="M80" s="129"/>
      <c r="N80" s="129"/>
      <c r="O80" s="129"/>
      <c r="P80" s="129"/>
      <c r="Q80" s="129"/>
      <c r="R80" s="129"/>
      <c r="S80" s="129"/>
      <c r="T80" s="129"/>
      <c r="U80" s="129"/>
      <c r="V80" s="129"/>
      <c r="W80" s="129"/>
      <c r="X80" s="129"/>
      <c r="Y80" s="129"/>
    </row>
    <row r="81">
      <c r="A81" s="129"/>
      <c r="B81" s="129"/>
      <c r="D81" s="129"/>
      <c r="E81" s="129"/>
      <c r="F81" s="129"/>
      <c r="G81" s="129"/>
      <c r="H81" s="129"/>
      <c r="I81" s="129"/>
      <c r="J81" s="129"/>
      <c r="K81" s="129"/>
      <c r="L81" s="129"/>
      <c r="M81" s="129"/>
      <c r="N81" s="129"/>
      <c r="O81" s="129"/>
      <c r="P81" s="129"/>
      <c r="Q81" s="129"/>
      <c r="R81" s="129"/>
      <c r="S81" s="129"/>
      <c r="T81" s="129"/>
      <c r="U81" s="129"/>
      <c r="V81" s="129"/>
      <c r="W81" s="129"/>
      <c r="X81" s="129"/>
      <c r="Y81" s="129"/>
    </row>
    <row r="82">
      <c r="A82" s="129"/>
      <c r="B82" s="129"/>
      <c r="D82" s="129"/>
      <c r="E82" s="129"/>
      <c r="F82" s="129"/>
      <c r="G82" s="129"/>
      <c r="H82" s="129"/>
      <c r="I82" s="129"/>
      <c r="J82" s="129"/>
      <c r="K82" s="129"/>
      <c r="L82" s="129"/>
      <c r="M82" s="129"/>
      <c r="N82" s="129"/>
      <c r="O82" s="129"/>
      <c r="P82" s="129"/>
      <c r="Q82" s="129"/>
      <c r="R82" s="129"/>
      <c r="S82" s="129"/>
      <c r="T82" s="129"/>
      <c r="U82" s="129"/>
      <c r="V82" s="129"/>
      <c r="W82" s="129"/>
      <c r="X82" s="129"/>
      <c r="Y82" s="129"/>
    </row>
    <row r="83">
      <c r="A83" s="129"/>
      <c r="B83" s="129"/>
      <c r="D83" s="129"/>
      <c r="E83" s="129"/>
      <c r="F83" s="129"/>
      <c r="G83" s="129"/>
      <c r="H83" s="129"/>
      <c r="I83" s="129"/>
      <c r="J83" s="129"/>
      <c r="K83" s="129"/>
      <c r="L83" s="129"/>
      <c r="M83" s="129"/>
      <c r="N83" s="129"/>
      <c r="O83" s="129"/>
      <c r="P83" s="129"/>
      <c r="Q83" s="129"/>
      <c r="R83" s="129"/>
      <c r="S83" s="129"/>
      <c r="T83" s="129"/>
      <c r="U83" s="129"/>
      <c r="V83" s="129"/>
      <c r="W83" s="129"/>
      <c r="X83" s="129"/>
      <c r="Y83" s="129"/>
    </row>
    <row r="84">
      <c r="A84" s="129"/>
      <c r="B84" s="129"/>
      <c r="D84" s="129"/>
      <c r="E84" s="129"/>
      <c r="F84" s="129"/>
      <c r="G84" s="129"/>
      <c r="H84" s="129"/>
      <c r="I84" s="129"/>
      <c r="J84" s="129"/>
      <c r="K84" s="129"/>
      <c r="L84" s="129"/>
      <c r="M84" s="129"/>
      <c r="N84" s="129"/>
      <c r="O84" s="129"/>
      <c r="P84" s="129"/>
      <c r="Q84" s="129"/>
      <c r="R84" s="129"/>
      <c r="S84" s="129"/>
      <c r="T84" s="129"/>
      <c r="U84" s="129"/>
      <c r="V84" s="129"/>
      <c r="W84" s="129"/>
      <c r="X84" s="129"/>
      <c r="Y84" s="129"/>
    </row>
    <row r="85">
      <c r="A85" s="129"/>
      <c r="B85" s="129"/>
      <c r="D85" s="129"/>
      <c r="E85" s="129"/>
      <c r="F85" s="129"/>
      <c r="G85" s="129"/>
      <c r="H85" s="129"/>
      <c r="I85" s="129"/>
      <c r="J85" s="129"/>
      <c r="K85" s="129"/>
      <c r="L85" s="129"/>
      <c r="M85" s="129"/>
      <c r="N85" s="129"/>
      <c r="O85" s="129"/>
      <c r="P85" s="129"/>
      <c r="Q85" s="129"/>
      <c r="R85" s="129"/>
      <c r="S85" s="129"/>
      <c r="T85" s="129"/>
      <c r="U85" s="129"/>
      <c r="V85" s="129"/>
      <c r="W85" s="129"/>
      <c r="X85" s="129"/>
      <c r="Y85" s="129"/>
    </row>
    <row r="86">
      <c r="A86" s="129"/>
      <c r="B86" s="129"/>
      <c r="D86" s="129"/>
      <c r="E86" s="129"/>
      <c r="F86" s="129"/>
      <c r="G86" s="129"/>
      <c r="H86" s="129"/>
      <c r="I86" s="129"/>
      <c r="J86" s="129"/>
      <c r="K86" s="129"/>
      <c r="L86" s="129"/>
      <c r="M86" s="129"/>
      <c r="N86" s="129"/>
      <c r="O86" s="129"/>
      <c r="P86" s="129"/>
      <c r="Q86" s="129"/>
      <c r="R86" s="129"/>
      <c r="S86" s="129"/>
      <c r="T86" s="129"/>
      <c r="U86" s="129"/>
      <c r="V86" s="129"/>
      <c r="W86" s="129"/>
      <c r="X86" s="129"/>
      <c r="Y86" s="129"/>
    </row>
    <row r="87">
      <c r="A87" s="129"/>
      <c r="B87" s="129"/>
      <c r="D87" s="129"/>
      <c r="E87" s="129"/>
      <c r="F87" s="129"/>
      <c r="G87" s="129"/>
      <c r="H87" s="129"/>
      <c r="I87" s="129"/>
      <c r="J87" s="129"/>
      <c r="K87" s="129"/>
      <c r="L87" s="129"/>
      <c r="M87" s="129"/>
      <c r="N87" s="129"/>
      <c r="O87" s="129"/>
      <c r="P87" s="129"/>
      <c r="Q87" s="129"/>
      <c r="R87" s="129"/>
      <c r="S87" s="129"/>
      <c r="T87" s="129"/>
      <c r="U87" s="129"/>
      <c r="V87" s="129"/>
      <c r="W87" s="129"/>
      <c r="X87" s="129"/>
      <c r="Y87" s="129"/>
    </row>
    <row r="88">
      <c r="A88" s="129"/>
      <c r="B88" s="129"/>
      <c r="D88" s="129"/>
      <c r="E88" s="129"/>
      <c r="F88" s="129"/>
      <c r="G88" s="129"/>
      <c r="H88" s="129"/>
      <c r="I88" s="129"/>
      <c r="J88" s="129"/>
      <c r="K88" s="129"/>
      <c r="L88" s="129"/>
      <c r="M88" s="129"/>
      <c r="N88" s="129"/>
      <c r="O88" s="129"/>
      <c r="P88" s="129"/>
      <c r="Q88" s="129"/>
      <c r="R88" s="129"/>
      <c r="S88" s="129"/>
      <c r="T88" s="129"/>
      <c r="U88" s="129"/>
      <c r="V88" s="129"/>
      <c r="W88" s="129"/>
      <c r="X88" s="129"/>
      <c r="Y88" s="129"/>
    </row>
    <row r="89">
      <c r="A89" s="129"/>
      <c r="B89" s="129"/>
      <c r="D89" s="129"/>
      <c r="E89" s="129"/>
      <c r="F89" s="129"/>
      <c r="G89" s="129"/>
      <c r="H89" s="129"/>
      <c r="I89" s="129"/>
      <c r="J89" s="129"/>
      <c r="K89" s="129"/>
      <c r="L89" s="129"/>
      <c r="M89" s="129"/>
      <c r="N89" s="129"/>
      <c r="O89" s="129"/>
      <c r="P89" s="129"/>
      <c r="Q89" s="129"/>
      <c r="R89" s="129"/>
      <c r="S89" s="129"/>
      <c r="T89" s="129"/>
      <c r="U89" s="129"/>
      <c r="V89" s="129"/>
      <c r="W89" s="129"/>
      <c r="X89" s="129"/>
      <c r="Y89" s="129"/>
    </row>
    <row r="90">
      <c r="A90" s="129"/>
      <c r="B90" s="129"/>
      <c r="D90" s="129"/>
      <c r="E90" s="129"/>
      <c r="F90" s="129"/>
      <c r="G90" s="129"/>
      <c r="H90" s="129"/>
      <c r="I90" s="129"/>
      <c r="J90" s="129"/>
      <c r="K90" s="129"/>
      <c r="L90" s="129"/>
      <c r="M90" s="129"/>
      <c r="N90" s="129"/>
      <c r="O90" s="129"/>
      <c r="P90" s="129"/>
      <c r="Q90" s="129"/>
      <c r="R90" s="129"/>
      <c r="S90" s="129"/>
      <c r="T90" s="129"/>
      <c r="U90" s="129"/>
      <c r="V90" s="129"/>
      <c r="W90" s="129"/>
      <c r="X90" s="129"/>
      <c r="Y90" s="129"/>
    </row>
    <row r="91">
      <c r="A91" s="129"/>
      <c r="B91" s="129"/>
      <c r="D91" s="129"/>
      <c r="E91" s="129"/>
      <c r="F91" s="129"/>
      <c r="G91" s="129"/>
      <c r="H91" s="129"/>
      <c r="I91" s="129"/>
      <c r="J91" s="129"/>
      <c r="K91" s="129"/>
      <c r="L91" s="129"/>
      <c r="M91" s="129"/>
      <c r="N91" s="129"/>
      <c r="O91" s="129"/>
      <c r="P91" s="129"/>
      <c r="Q91" s="129"/>
      <c r="R91" s="129"/>
      <c r="S91" s="129"/>
      <c r="T91" s="129"/>
      <c r="U91" s="129"/>
      <c r="V91" s="129"/>
      <c r="W91" s="129"/>
      <c r="X91" s="129"/>
      <c r="Y91" s="129"/>
    </row>
    <row r="92">
      <c r="A92" s="129"/>
      <c r="B92" s="129"/>
      <c r="D92" s="129"/>
      <c r="E92" s="129"/>
      <c r="F92" s="129"/>
      <c r="G92" s="129"/>
      <c r="H92" s="129"/>
      <c r="I92" s="129"/>
      <c r="J92" s="129"/>
      <c r="K92" s="129"/>
      <c r="L92" s="129"/>
      <c r="M92" s="129"/>
      <c r="N92" s="129"/>
      <c r="O92" s="129"/>
      <c r="P92" s="129"/>
      <c r="Q92" s="129"/>
      <c r="R92" s="129"/>
      <c r="S92" s="129"/>
      <c r="T92" s="129"/>
      <c r="U92" s="129"/>
      <c r="V92" s="129"/>
      <c r="W92" s="129"/>
      <c r="X92" s="129"/>
      <c r="Y92" s="129"/>
    </row>
    <row r="93">
      <c r="A93" s="129"/>
      <c r="B93" s="129"/>
      <c r="D93" s="129"/>
      <c r="E93" s="129"/>
      <c r="F93" s="129"/>
      <c r="G93" s="129"/>
      <c r="H93" s="129"/>
      <c r="I93" s="129"/>
      <c r="J93" s="129"/>
      <c r="K93" s="129"/>
      <c r="L93" s="129"/>
      <c r="M93" s="129"/>
      <c r="N93" s="129"/>
      <c r="O93" s="129"/>
      <c r="P93" s="129"/>
      <c r="Q93" s="129"/>
      <c r="R93" s="129"/>
      <c r="S93" s="129"/>
      <c r="T93" s="129"/>
      <c r="U93" s="129"/>
      <c r="V93" s="129"/>
      <c r="W93" s="129"/>
      <c r="X93" s="129"/>
      <c r="Y93" s="129"/>
    </row>
    <row r="94">
      <c r="A94" s="129"/>
      <c r="B94" s="129"/>
      <c r="D94" s="129"/>
      <c r="E94" s="129"/>
      <c r="F94" s="129"/>
      <c r="G94" s="129"/>
      <c r="H94" s="129"/>
      <c r="I94" s="129"/>
      <c r="J94" s="129"/>
      <c r="K94" s="129"/>
      <c r="L94" s="129"/>
      <c r="M94" s="129"/>
      <c r="N94" s="129"/>
      <c r="O94" s="129"/>
      <c r="P94" s="129"/>
      <c r="Q94" s="129"/>
      <c r="R94" s="129"/>
      <c r="S94" s="129"/>
      <c r="T94" s="129"/>
      <c r="U94" s="129"/>
      <c r="V94" s="129"/>
      <c r="W94" s="129"/>
      <c r="X94" s="129"/>
      <c r="Y94" s="129"/>
    </row>
    <row r="95">
      <c r="A95" s="129"/>
      <c r="B95" s="129"/>
      <c r="D95" s="129"/>
      <c r="E95" s="129"/>
      <c r="F95" s="129"/>
      <c r="G95" s="129"/>
      <c r="H95" s="129"/>
      <c r="I95" s="129"/>
      <c r="J95" s="129"/>
      <c r="K95" s="129"/>
      <c r="L95" s="129"/>
      <c r="M95" s="129"/>
      <c r="N95" s="129"/>
      <c r="O95" s="129"/>
      <c r="P95" s="129"/>
      <c r="Q95" s="129"/>
      <c r="R95" s="129"/>
      <c r="S95" s="129"/>
      <c r="T95" s="129"/>
      <c r="U95" s="129"/>
      <c r="V95" s="129"/>
      <c r="W95" s="129"/>
      <c r="X95" s="129"/>
      <c r="Y95" s="129"/>
    </row>
    <row r="96">
      <c r="A96" s="129"/>
      <c r="B96" s="129"/>
      <c r="D96" s="129"/>
      <c r="E96" s="129"/>
      <c r="F96" s="129"/>
      <c r="G96" s="129"/>
      <c r="H96" s="129"/>
      <c r="I96" s="129"/>
      <c r="J96" s="129"/>
      <c r="K96" s="129"/>
      <c r="L96" s="129"/>
      <c r="M96" s="129"/>
      <c r="N96" s="129"/>
      <c r="O96" s="129"/>
      <c r="P96" s="129"/>
      <c r="Q96" s="129"/>
      <c r="R96" s="129"/>
      <c r="S96" s="129"/>
      <c r="T96" s="129"/>
      <c r="U96" s="129"/>
      <c r="V96" s="129"/>
      <c r="W96" s="129"/>
      <c r="X96" s="129"/>
      <c r="Y96" s="129"/>
    </row>
    <row r="97">
      <c r="A97" s="129"/>
      <c r="B97" s="129"/>
      <c r="D97" s="129"/>
      <c r="E97" s="129"/>
      <c r="F97" s="129"/>
      <c r="G97" s="129"/>
      <c r="H97" s="129"/>
      <c r="I97" s="129"/>
      <c r="J97" s="129"/>
      <c r="K97" s="129"/>
      <c r="L97" s="129"/>
      <c r="M97" s="129"/>
      <c r="N97" s="129"/>
      <c r="O97" s="129"/>
      <c r="P97" s="129"/>
      <c r="Q97" s="129"/>
      <c r="R97" s="129"/>
      <c r="S97" s="129"/>
      <c r="T97" s="129"/>
      <c r="U97" s="129"/>
      <c r="V97" s="129"/>
      <c r="W97" s="129"/>
      <c r="X97" s="129"/>
      <c r="Y97" s="129"/>
    </row>
    <row r="98">
      <c r="A98" s="129"/>
      <c r="B98" s="129"/>
      <c r="D98" s="129"/>
      <c r="E98" s="129"/>
      <c r="F98" s="129"/>
      <c r="G98" s="129"/>
      <c r="H98" s="129"/>
      <c r="I98" s="129"/>
      <c r="J98" s="129"/>
      <c r="K98" s="129"/>
      <c r="L98" s="129"/>
      <c r="M98" s="129"/>
      <c r="N98" s="129"/>
      <c r="O98" s="129"/>
      <c r="P98" s="129"/>
      <c r="Q98" s="129"/>
      <c r="R98" s="129"/>
      <c r="S98" s="129"/>
      <c r="T98" s="129"/>
      <c r="U98" s="129"/>
      <c r="V98" s="129"/>
      <c r="W98" s="129"/>
      <c r="X98" s="129"/>
      <c r="Y98" s="129"/>
    </row>
    <row r="99">
      <c r="A99" s="129"/>
      <c r="B99" s="129"/>
      <c r="D99" s="129"/>
      <c r="E99" s="129"/>
      <c r="F99" s="129"/>
      <c r="G99" s="129"/>
      <c r="H99" s="129"/>
      <c r="I99" s="129"/>
      <c r="J99" s="129"/>
      <c r="K99" s="129"/>
      <c r="L99" s="129"/>
      <c r="M99" s="129"/>
      <c r="N99" s="129"/>
      <c r="O99" s="129"/>
      <c r="P99" s="129"/>
      <c r="Q99" s="129"/>
      <c r="R99" s="129"/>
      <c r="S99" s="129"/>
      <c r="T99" s="129"/>
      <c r="U99" s="129"/>
      <c r="V99" s="129"/>
      <c r="W99" s="129"/>
      <c r="X99" s="129"/>
      <c r="Y99" s="129"/>
    </row>
    <row r="100">
      <c r="A100" s="129"/>
      <c r="B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row>
    <row r="101">
      <c r="A101" s="129"/>
      <c r="B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row>
    <row r="102">
      <c r="A102" s="129"/>
      <c r="B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row>
    <row r="103">
      <c r="A103" s="129"/>
      <c r="B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row>
    <row r="104">
      <c r="A104" s="129"/>
      <c r="B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row>
    <row r="105">
      <c r="A105" s="129"/>
      <c r="B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row>
    <row r="106">
      <c r="A106" s="129"/>
      <c r="B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row>
    <row r="107">
      <c r="A107" s="129"/>
      <c r="B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row>
    <row r="108">
      <c r="A108" s="129"/>
      <c r="B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row>
    <row r="109">
      <c r="A109" s="129"/>
      <c r="B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row>
    <row r="110">
      <c r="A110" s="129"/>
      <c r="B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row>
    <row r="111">
      <c r="A111" s="129"/>
      <c r="B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row>
    <row r="112">
      <c r="A112" s="129"/>
      <c r="B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row>
    <row r="113">
      <c r="A113" s="129"/>
      <c r="B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row>
    <row r="114">
      <c r="A114" s="129"/>
      <c r="B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row>
    <row r="115">
      <c r="A115" s="129"/>
      <c r="B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row>
    <row r="116">
      <c r="A116" s="129"/>
      <c r="B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row>
    <row r="117">
      <c r="A117" s="129"/>
      <c r="B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row>
    <row r="118">
      <c r="A118" s="129"/>
      <c r="B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row>
    <row r="119">
      <c r="A119" s="129"/>
      <c r="B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row>
    <row r="120">
      <c r="A120" s="129"/>
      <c r="B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row>
    <row r="121">
      <c r="A121" s="129"/>
      <c r="B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row>
    <row r="122">
      <c r="A122" s="129"/>
      <c r="B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row>
    <row r="123">
      <c r="A123" s="129"/>
      <c r="B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row>
    <row r="124">
      <c r="A124" s="129"/>
      <c r="B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row>
    <row r="125">
      <c r="A125" s="129"/>
      <c r="B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row>
    <row r="126">
      <c r="A126" s="129"/>
      <c r="B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row>
    <row r="127">
      <c r="A127" s="129"/>
      <c r="B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row>
    <row r="128">
      <c r="A128" s="129"/>
      <c r="B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row>
    <row r="129">
      <c r="A129" s="129"/>
      <c r="B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row>
    <row r="130">
      <c r="A130" s="129"/>
      <c r="B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row>
    <row r="131">
      <c r="A131" s="129"/>
      <c r="B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row>
    <row r="132">
      <c r="A132" s="129"/>
      <c r="B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row>
    <row r="133">
      <c r="A133" s="129"/>
      <c r="B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row>
    <row r="134">
      <c r="A134" s="129"/>
      <c r="B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row>
    <row r="135">
      <c r="A135" s="129"/>
      <c r="B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row>
    <row r="136">
      <c r="A136" s="129"/>
      <c r="B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row>
    <row r="137">
      <c r="A137" s="129"/>
      <c r="B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row>
    <row r="138">
      <c r="A138" s="129"/>
      <c r="B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row>
    <row r="139">
      <c r="A139" s="129"/>
      <c r="B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row>
    <row r="140">
      <c r="A140" s="129"/>
      <c r="B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row>
    <row r="141">
      <c r="A141" s="129"/>
      <c r="B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row>
    <row r="142">
      <c r="A142" s="129"/>
      <c r="B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row>
    <row r="143">
      <c r="A143" s="129"/>
      <c r="B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row>
    <row r="144">
      <c r="A144" s="129"/>
      <c r="B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row>
    <row r="145">
      <c r="A145" s="129"/>
      <c r="B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row>
    <row r="146">
      <c r="A146" s="129"/>
      <c r="B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row>
    <row r="147">
      <c r="A147" s="129"/>
      <c r="B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row>
    <row r="148">
      <c r="A148" s="129"/>
      <c r="B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row>
    <row r="149">
      <c r="A149" s="129"/>
      <c r="B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row>
    <row r="150">
      <c r="A150" s="129"/>
      <c r="B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row>
    <row r="151">
      <c r="A151" s="129"/>
      <c r="B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row>
    <row r="152">
      <c r="A152" s="129"/>
      <c r="B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row>
    <row r="153">
      <c r="A153" s="129"/>
      <c r="B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row>
    <row r="154">
      <c r="A154" s="129"/>
      <c r="B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row>
    <row r="155">
      <c r="A155" s="129"/>
      <c r="B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row>
    <row r="156">
      <c r="A156" s="129"/>
      <c r="B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row>
    <row r="157">
      <c r="A157" s="129"/>
      <c r="B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row>
    <row r="158">
      <c r="A158" s="129"/>
      <c r="B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row>
    <row r="159">
      <c r="A159" s="129"/>
      <c r="B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row>
    <row r="160">
      <c r="A160" s="129"/>
      <c r="B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row>
    <row r="161">
      <c r="A161" s="129"/>
      <c r="B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row>
    <row r="162">
      <c r="A162" s="129"/>
      <c r="B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row>
    <row r="163">
      <c r="A163" s="129"/>
      <c r="B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row>
    <row r="164">
      <c r="A164" s="129"/>
      <c r="B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row>
    <row r="165">
      <c r="A165" s="129"/>
      <c r="B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row>
    <row r="166">
      <c r="A166" s="129"/>
      <c r="B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row>
    <row r="167">
      <c r="A167" s="129"/>
      <c r="B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row>
    <row r="168">
      <c r="A168" s="129"/>
      <c r="B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row>
    <row r="169">
      <c r="A169" s="129"/>
      <c r="B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row>
    <row r="170">
      <c r="A170" s="129"/>
      <c r="B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row>
    <row r="171">
      <c r="A171" s="129"/>
      <c r="B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row>
    <row r="172">
      <c r="A172" s="129"/>
      <c r="B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row>
    <row r="173">
      <c r="A173" s="129"/>
      <c r="B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row>
    <row r="174">
      <c r="A174" s="129"/>
      <c r="B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row>
    <row r="175">
      <c r="A175" s="129"/>
      <c r="B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row>
    <row r="176">
      <c r="A176" s="129"/>
      <c r="B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row>
    <row r="177">
      <c r="A177" s="129"/>
      <c r="B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row>
    <row r="178">
      <c r="A178" s="129"/>
      <c r="B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row>
    <row r="179">
      <c r="A179" s="129"/>
      <c r="B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row>
    <row r="180">
      <c r="A180" s="129"/>
      <c r="B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row>
    <row r="181">
      <c r="A181" s="129"/>
      <c r="B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row>
    <row r="182">
      <c r="A182" s="129"/>
      <c r="B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row>
    <row r="183">
      <c r="A183" s="129"/>
      <c r="B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row>
    <row r="184">
      <c r="A184" s="129"/>
      <c r="B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row>
    <row r="185">
      <c r="A185" s="129"/>
      <c r="B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row>
    <row r="186">
      <c r="A186" s="129"/>
      <c r="B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row>
    <row r="187">
      <c r="A187" s="129"/>
      <c r="B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row>
    <row r="188">
      <c r="A188" s="129"/>
      <c r="B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row>
    <row r="189">
      <c r="A189" s="129"/>
      <c r="B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row>
    <row r="190">
      <c r="A190" s="129"/>
      <c r="B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row>
    <row r="191">
      <c r="A191" s="129"/>
      <c r="B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row>
    <row r="192">
      <c r="A192" s="129"/>
      <c r="B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row>
    <row r="193">
      <c r="A193" s="129"/>
      <c r="B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row>
    <row r="194">
      <c r="A194" s="129"/>
      <c r="B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row>
    <row r="195">
      <c r="A195" s="129"/>
      <c r="B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row>
    <row r="196">
      <c r="A196" s="129"/>
      <c r="B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row>
    <row r="197">
      <c r="A197" s="129"/>
      <c r="B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row>
    <row r="198">
      <c r="A198" s="129"/>
      <c r="B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row>
    <row r="199">
      <c r="A199" s="129"/>
      <c r="B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row>
    <row r="200">
      <c r="A200" s="129"/>
      <c r="B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row>
    <row r="201">
      <c r="A201" s="129"/>
      <c r="B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row>
    <row r="202">
      <c r="A202" s="129"/>
      <c r="B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row>
    <row r="203">
      <c r="A203" s="129"/>
      <c r="B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row>
    <row r="204">
      <c r="A204" s="129"/>
      <c r="B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row>
    <row r="205">
      <c r="A205" s="129"/>
      <c r="B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row>
    <row r="206">
      <c r="A206" s="129"/>
      <c r="B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row>
    <row r="207">
      <c r="A207" s="129"/>
      <c r="B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row>
    <row r="208">
      <c r="A208" s="129"/>
      <c r="B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row>
    <row r="209">
      <c r="A209" s="129"/>
      <c r="B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row>
    <row r="210">
      <c r="A210" s="129"/>
      <c r="B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row>
    <row r="211">
      <c r="A211" s="129"/>
      <c r="B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row>
    <row r="212">
      <c r="A212" s="129"/>
      <c r="B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row>
    <row r="213">
      <c r="A213" s="129"/>
      <c r="B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row>
    <row r="214">
      <c r="A214" s="129"/>
      <c r="B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row>
    <row r="215">
      <c r="A215" s="129"/>
      <c r="B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row>
    <row r="216">
      <c r="A216" s="129"/>
      <c r="B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row>
    <row r="217">
      <c r="A217" s="129"/>
      <c r="B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row>
    <row r="218">
      <c r="A218" s="129"/>
      <c r="B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row>
    <row r="219">
      <c r="A219" s="129"/>
      <c r="B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row>
    <row r="220">
      <c r="A220" s="129"/>
      <c r="B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row>
    <row r="221">
      <c r="A221" s="129"/>
      <c r="B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row>
    <row r="222">
      <c r="A222" s="129"/>
      <c r="B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row>
    <row r="223">
      <c r="A223" s="129"/>
      <c r="B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row>
    <row r="224">
      <c r="A224" s="129"/>
      <c r="B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row>
    <row r="225">
      <c r="A225" s="129"/>
      <c r="B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row>
    <row r="226">
      <c r="A226" s="129"/>
      <c r="B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row>
    <row r="227">
      <c r="A227" s="129"/>
      <c r="B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row>
    <row r="228">
      <c r="A228" s="129"/>
      <c r="B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row>
    <row r="229">
      <c r="A229" s="129"/>
      <c r="B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row>
    <row r="230">
      <c r="A230" s="129"/>
      <c r="B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row>
    <row r="231">
      <c r="A231" s="129"/>
      <c r="B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row>
    <row r="232">
      <c r="A232" s="129"/>
      <c r="B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row>
    <row r="233">
      <c r="A233" s="129"/>
      <c r="B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row>
    <row r="234">
      <c r="A234" s="129"/>
      <c r="B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row>
    <row r="235">
      <c r="A235" s="129"/>
      <c r="B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row>
    <row r="236">
      <c r="A236" s="129"/>
      <c r="B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row>
    <row r="237">
      <c r="A237" s="129"/>
      <c r="B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row>
    <row r="238">
      <c r="A238" s="129"/>
      <c r="B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row>
    <row r="239">
      <c r="A239" s="129"/>
      <c r="B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row>
    <row r="240">
      <c r="A240" s="129"/>
      <c r="B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row>
    <row r="241">
      <c r="A241" s="129"/>
      <c r="B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row>
    <row r="242">
      <c r="A242" s="129"/>
      <c r="B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row>
    <row r="243">
      <c r="A243" s="129"/>
      <c r="B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row>
    <row r="244">
      <c r="A244" s="129"/>
      <c r="B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row>
    <row r="245">
      <c r="A245" s="129"/>
      <c r="B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row>
    <row r="246">
      <c r="A246" s="129"/>
      <c r="B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row>
    <row r="247">
      <c r="A247" s="129"/>
      <c r="B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row>
    <row r="248">
      <c r="A248" s="129"/>
      <c r="B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row>
    <row r="249">
      <c r="A249" s="129"/>
      <c r="B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row>
    <row r="250">
      <c r="A250" s="129"/>
      <c r="B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row>
    <row r="251">
      <c r="A251" s="129"/>
      <c r="B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row>
    <row r="252">
      <c r="A252" s="129"/>
      <c r="B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row>
    <row r="253">
      <c r="A253" s="129"/>
      <c r="B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row>
    <row r="254">
      <c r="A254" s="129"/>
      <c r="B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row>
    <row r="255">
      <c r="A255" s="129"/>
      <c r="B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row>
    <row r="256">
      <c r="A256" s="129"/>
      <c r="B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row>
    <row r="257">
      <c r="A257" s="129"/>
      <c r="B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row>
    <row r="258">
      <c r="A258" s="129"/>
      <c r="B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row>
    <row r="259">
      <c r="A259" s="129"/>
      <c r="B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row>
    <row r="260">
      <c r="A260" s="129"/>
      <c r="B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row>
    <row r="261">
      <c r="A261" s="129"/>
      <c r="B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row>
    <row r="262">
      <c r="A262" s="129"/>
      <c r="B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row>
    <row r="263">
      <c r="A263" s="129"/>
      <c r="B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row>
    <row r="264">
      <c r="A264" s="129"/>
      <c r="B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row>
    <row r="265">
      <c r="A265" s="129"/>
      <c r="B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row>
    <row r="266">
      <c r="A266" s="129"/>
      <c r="B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row>
    <row r="267">
      <c r="A267" s="129"/>
      <c r="B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row>
    <row r="268">
      <c r="A268" s="129"/>
      <c r="B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row>
    <row r="269">
      <c r="A269" s="129"/>
      <c r="B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row>
    <row r="270">
      <c r="A270" s="129"/>
      <c r="B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row>
    <row r="271">
      <c r="A271" s="129"/>
      <c r="B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row>
    <row r="272">
      <c r="A272" s="129"/>
      <c r="B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row>
    <row r="273">
      <c r="A273" s="129"/>
      <c r="B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row>
    <row r="274">
      <c r="A274" s="129"/>
      <c r="B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row>
    <row r="275">
      <c r="A275" s="129"/>
      <c r="B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row>
    <row r="276">
      <c r="A276" s="129"/>
      <c r="B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row>
    <row r="277">
      <c r="A277" s="129"/>
      <c r="B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row>
    <row r="278">
      <c r="A278" s="129"/>
      <c r="B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row>
    <row r="279">
      <c r="A279" s="129"/>
      <c r="B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row>
    <row r="280">
      <c r="A280" s="129"/>
      <c r="B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row>
    <row r="281">
      <c r="A281" s="129"/>
      <c r="B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row>
    <row r="282">
      <c r="A282" s="129"/>
      <c r="B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row>
    <row r="283">
      <c r="A283" s="129"/>
      <c r="B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row>
    <row r="284">
      <c r="A284" s="129"/>
      <c r="B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row>
    <row r="285">
      <c r="A285" s="129"/>
      <c r="B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row>
    <row r="286">
      <c r="A286" s="129"/>
      <c r="B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row>
    <row r="287">
      <c r="A287" s="129"/>
      <c r="B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row>
    <row r="288">
      <c r="A288" s="129"/>
      <c r="B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row>
    <row r="289">
      <c r="A289" s="129"/>
      <c r="B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row>
    <row r="290">
      <c r="A290" s="129"/>
      <c r="B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row>
    <row r="291">
      <c r="A291" s="129"/>
      <c r="B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row>
    <row r="292">
      <c r="A292" s="129"/>
      <c r="B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row>
    <row r="293">
      <c r="A293" s="129"/>
      <c r="B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row>
    <row r="294">
      <c r="A294" s="129"/>
      <c r="B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row>
    <row r="295">
      <c r="A295" s="129"/>
      <c r="B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row>
    <row r="296">
      <c r="A296" s="129"/>
      <c r="B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row>
    <row r="297">
      <c r="A297" s="129"/>
      <c r="B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row>
    <row r="298">
      <c r="A298" s="129"/>
      <c r="B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row>
    <row r="299">
      <c r="A299" s="129"/>
      <c r="B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row>
    <row r="300">
      <c r="A300" s="129"/>
      <c r="B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row>
    <row r="301">
      <c r="A301" s="129"/>
      <c r="B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row>
    <row r="302">
      <c r="A302" s="129"/>
      <c r="B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row>
    <row r="303">
      <c r="A303" s="129"/>
      <c r="B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row>
    <row r="304">
      <c r="A304" s="129"/>
      <c r="B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row>
    <row r="305">
      <c r="A305" s="129"/>
      <c r="B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row>
    <row r="306">
      <c r="A306" s="129"/>
      <c r="B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row>
    <row r="307">
      <c r="A307" s="129"/>
      <c r="B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row>
    <row r="308">
      <c r="A308" s="129"/>
      <c r="B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row>
    <row r="309">
      <c r="A309" s="129"/>
      <c r="B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row>
    <row r="310">
      <c r="A310" s="129"/>
      <c r="B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row>
    <row r="311">
      <c r="A311" s="129"/>
      <c r="B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row>
    <row r="312">
      <c r="A312" s="129"/>
      <c r="B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row>
    <row r="313">
      <c r="A313" s="129"/>
      <c r="B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row>
    <row r="314">
      <c r="A314" s="129"/>
      <c r="B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row>
    <row r="315">
      <c r="A315" s="129"/>
      <c r="B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row>
    <row r="316">
      <c r="A316" s="129"/>
      <c r="B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row>
    <row r="317">
      <c r="A317" s="129"/>
      <c r="B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row>
    <row r="318">
      <c r="A318" s="129"/>
      <c r="B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row>
    <row r="319">
      <c r="A319" s="129"/>
      <c r="B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row>
    <row r="320">
      <c r="A320" s="129"/>
      <c r="B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row>
    <row r="321">
      <c r="A321" s="129"/>
      <c r="B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row>
    <row r="322">
      <c r="A322" s="129"/>
      <c r="B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row>
    <row r="323">
      <c r="A323" s="129"/>
      <c r="B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row>
    <row r="324">
      <c r="A324" s="129"/>
      <c r="B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row>
    <row r="325">
      <c r="A325" s="129"/>
      <c r="B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row>
    <row r="326">
      <c r="A326" s="129"/>
      <c r="B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row>
    <row r="327">
      <c r="A327" s="129"/>
      <c r="B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row>
    <row r="328">
      <c r="A328" s="129"/>
      <c r="B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row>
    <row r="329">
      <c r="A329" s="129"/>
      <c r="B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row>
    <row r="330">
      <c r="A330" s="129"/>
      <c r="B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row>
    <row r="331">
      <c r="A331" s="129"/>
      <c r="B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row>
    <row r="332">
      <c r="A332" s="129"/>
      <c r="B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row>
    <row r="333">
      <c r="A333" s="129"/>
      <c r="B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row>
    <row r="334">
      <c r="A334" s="129"/>
      <c r="B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row>
    <row r="335">
      <c r="A335" s="129"/>
      <c r="B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row>
    <row r="336">
      <c r="A336" s="129"/>
      <c r="B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row>
    <row r="337">
      <c r="A337" s="129"/>
      <c r="B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row>
    <row r="338">
      <c r="A338" s="129"/>
      <c r="B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row>
    <row r="339">
      <c r="A339" s="129"/>
      <c r="B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row>
    <row r="340">
      <c r="A340" s="129"/>
      <c r="B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row>
    <row r="341">
      <c r="A341" s="129"/>
      <c r="B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row>
    <row r="342">
      <c r="A342" s="129"/>
      <c r="B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row>
    <row r="343">
      <c r="A343" s="129"/>
      <c r="B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row>
    <row r="344">
      <c r="A344" s="129"/>
      <c r="B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row>
    <row r="345">
      <c r="A345" s="129"/>
      <c r="B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row>
    <row r="346">
      <c r="A346" s="129"/>
      <c r="B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row>
    <row r="347">
      <c r="A347" s="129"/>
      <c r="B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row>
    <row r="348">
      <c r="A348" s="129"/>
      <c r="B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row>
    <row r="349">
      <c r="A349" s="129"/>
      <c r="B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row>
    <row r="350">
      <c r="A350" s="129"/>
      <c r="B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row>
    <row r="351">
      <c r="A351" s="129"/>
      <c r="B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row>
    <row r="352">
      <c r="A352" s="129"/>
      <c r="B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row>
    <row r="353">
      <c r="A353" s="129"/>
      <c r="B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row>
    <row r="354">
      <c r="A354" s="129"/>
      <c r="B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row>
    <row r="355">
      <c r="A355" s="129"/>
      <c r="B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row>
    <row r="356">
      <c r="A356" s="129"/>
      <c r="B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row>
    <row r="357">
      <c r="A357" s="129"/>
      <c r="B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row>
    <row r="358">
      <c r="A358" s="129"/>
      <c r="B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row>
    <row r="359">
      <c r="A359" s="129"/>
      <c r="B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row>
    <row r="360">
      <c r="A360" s="129"/>
      <c r="B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row>
    <row r="361">
      <c r="A361" s="129"/>
      <c r="B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row>
    <row r="362">
      <c r="A362" s="129"/>
      <c r="B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row>
    <row r="363">
      <c r="A363" s="129"/>
      <c r="B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row>
    <row r="364">
      <c r="A364" s="129"/>
      <c r="B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row>
    <row r="365">
      <c r="A365" s="129"/>
      <c r="B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row>
    <row r="366">
      <c r="A366" s="129"/>
      <c r="B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row>
    <row r="367">
      <c r="A367" s="129"/>
      <c r="B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row>
    <row r="368">
      <c r="A368" s="129"/>
      <c r="B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row>
    <row r="369">
      <c r="A369" s="129"/>
      <c r="B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row>
    <row r="370">
      <c r="A370" s="129"/>
      <c r="B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row>
    <row r="371">
      <c r="A371" s="129"/>
      <c r="B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row>
    <row r="372">
      <c r="A372" s="129"/>
      <c r="B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row>
    <row r="373">
      <c r="A373" s="129"/>
      <c r="B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row>
    <row r="374">
      <c r="A374" s="129"/>
      <c r="B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row>
    <row r="375">
      <c r="A375" s="129"/>
      <c r="B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row>
    <row r="376">
      <c r="A376" s="129"/>
      <c r="B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row>
    <row r="377">
      <c r="A377" s="129"/>
      <c r="B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row>
    <row r="378">
      <c r="A378" s="129"/>
      <c r="B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row>
    <row r="379">
      <c r="A379" s="129"/>
      <c r="B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row>
    <row r="380">
      <c r="A380" s="129"/>
      <c r="B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row>
    <row r="381">
      <c r="A381" s="129"/>
      <c r="B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row>
    <row r="382">
      <c r="A382" s="129"/>
      <c r="B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row>
    <row r="383">
      <c r="A383" s="129"/>
      <c r="B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row>
    <row r="384">
      <c r="A384" s="129"/>
      <c r="B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row>
    <row r="385">
      <c r="A385" s="129"/>
      <c r="B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row>
    <row r="386">
      <c r="A386" s="129"/>
      <c r="B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row>
    <row r="387">
      <c r="A387" s="129"/>
      <c r="B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row>
    <row r="388">
      <c r="A388" s="129"/>
      <c r="B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row>
    <row r="389">
      <c r="A389" s="129"/>
      <c r="B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row>
    <row r="390">
      <c r="A390" s="129"/>
      <c r="B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row>
    <row r="391">
      <c r="A391" s="129"/>
      <c r="B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row>
    <row r="392">
      <c r="A392" s="129"/>
      <c r="B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row>
    <row r="393">
      <c r="A393" s="129"/>
      <c r="B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row>
    <row r="394">
      <c r="A394" s="129"/>
      <c r="B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row>
    <row r="395">
      <c r="A395" s="129"/>
      <c r="B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row>
    <row r="396">
      <c r="A396" s="129"/>
      <c r="B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row>
    <row r="397">
      <c r="A397" s="129"/>
      <c r="B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row>
    <row r="398">
      <c r="A398" s="129"/>
      <c r="B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row>
    <row r="399">
      <c r="A399" s="129"/>
      <c r="B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row>
    <row r="400">
      <c r="A400" s="129"/>
      <c r="B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row>
    <row r="401">
      <c r="A401" s="129"/>
      <c r="B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row>
    <row r="402">
      <c r="A402" s="129"/>
      <c r="B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row>
    <row r="403">
      <c r="A403" s="129"/>
      <c r="B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row>
    <row r="404">
      <c r="A404" s="129"/>
      <c r="B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row>
    <row r="405">
      <c r="A405" s="129"/>
      <c r="B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row>
    <row r="406">
      <c r="A406" s="129"/>
      <c r="B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row>
    <row r="407">
      <c r="A407" s="129"/>
      <c r="B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row>
    <row r="408">
      <c r="A408" s="129"/>
      <c r="B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row>
    <row r="409">
      <c r="A409" s="129"/>
      <c r="B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row>
    <row r="410">
      <c r="A410" s="129"/>
      <c r="B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row>
    <row r="411">
      <c r="A411" s="129"/>
      <c r="B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row>
    <row r="412">
      <c r="A412" s="129"/>
      <c r="B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row>
    <row r="413">
      <c r="A413" s="129"/>
      <c r="B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row>
    <row r="414">
      <c r="A414" s="129"/>
      <c r="B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row>
    <row r="415">
      <c r="A415" s="129"/>
      <c r="B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row>
    <row r="416">
      <c r="A416" s="129"/>
      <c r="B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row>
    <row r="417">
      <c r="A417" s="129"/>
      <c r="B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row>
    <row r="418">
      <c r="A418" s="129"/>
      <c r="B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row>
    <row r="419">
      <c r="A419" s="129"/>
      <c r="B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row>
    <row r="420">
      <c r="A420" s="129"/>
      <c r="B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row>
    <row r="421">
      <c r="A421" s="129"/>
      <c r="B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row>
    <row r="422">
      <c r="A422" s="129"/>
      <c r="B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row>
    <row r="423">
      <c r="A423" s="129"/>
      <c r="B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row>
    <row r="424">
      <c r="A424" s="129"/>
      <c r="B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row>
    <row r="425">
      <c r="A425" s="129"/>
      <c r="B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row>
    <row r="426">
      <c r="A426" s="129"/>
      <c r="B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row>
    <row r="427">
      <c r="A427" s="129"/>
      <c r="B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row>
    <row r="428">
      <c r="A428" s="129"/>
      <c r="B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row>
    <row r="429">
      <c r="A429" s="129"/>
      <c r="B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row>
    <row r="430">
      <c r="A430" s="129"/>
      <c r="B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row>
    <row r="431">
      <c r="A431" s="129"/>
      <c r="B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row>
    <row r="432">
      <c r="A432" s="129"/>
      <c r="B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row>
    <row r="433">
      <c r="A433" s="129"/>
      <c r="B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row>
    <row r="434">
      <c r="A434" s="129"/>
      <c r="B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row>
    <row r="435">
      <c r="A435" s="129"/>
      <c r="B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row>
    <row r="436">
      <c r="A436" s="129"/>
      <c r="B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row>
    <row r="437">
      <c r="A437" s="129"/>
      <c r="B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row>
    <row r="438">
      <c r="A438" s="129"/>
      <c r="B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row>
    <row r="439">
      <c r="A439" s="129"/>
      <c r="B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row>
    <row r="440">
      <c r="A440" s="129"/>
      <c r="B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row>
    <row r="441">
      <c r="A441" s="129"/>
      <c r="B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row>
    <row r="442">
      <c r="A442" s="129"/>
      <c r="B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row>
    <row r="443">
      <c r="A443" s="129"/>
      <c r="B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row>
    <row r="444">
      <c r="A444" s="129"/>
      <c r="B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row>
    <row r="445">
      <c r="A445" s="129"/>
      <c r="B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row>
    <row r="446">
      <c r="A446" s="129"/>
      <c r="B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row>
    <row r="447">
      <c r="A447" s="129"/>
      <c r="B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row>
    <row r="448">
      <c r="A448" s="129"/>
      <c r="B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row>
    <row r="449">
      <c r="A449" s="129"/>
      <c r="B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row>
    <row r="450">
      <c r="A450" s="129"/>
      <c r="B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row>
    <row r="451">
      <c r="A451" s="129"/>
      <c r="B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row>
    <row r="452">
      <c r="A452" s="129"/>
      <c r="B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row>
    <row r="453">
      <c r="A453" s="129"/>
      <c r="B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row>
    <row r="454">
      <c r="A454" s="129"/>
      <c r="B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row>
    <row r="455">
      <c r="A455" s="129"/>
      <c r="B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row>
    <row r="456">
      <c r="A456" s="129"/>
      <c r="B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row>
    <row r="457">
      <c r="A457" s="129"/>
      <c r="B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row>
    <row r="458">
      <c r="A458" s="129"/>
      <c r="B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row>
    <row r="459">
      <c r="A459" s="129"/>
      <c r="B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row>
    <row r="460">
      <c r="A460" s="129"/>
      <c r="B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row>
    <row r="461">
      <c r="A461" s="129"/>
      <c r="B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row>
    <row r="462">
      <c r="A462" s="129"/>
      <c r="B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row>
    <row r="463">
      <c r="A463" s="129"/>
      <c r="B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row>
    <row r="464">
      <c r="A464" s="129"/>
      <c r="B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row>
    <row r="465">
      <c r="A465" s="129"/>
      <c r="B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row>
    <row r="466">
      <c r="A466" s="129"/>
      <c r="B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row>
    <row r="467">
      <c r="A467" s="129"/>
      <c r="B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row>
    <row r="468">
      <c r="A468" s="129"/>
      <c r="B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row>
    <row r="469">
      <c r="A469" s="129"/>
      <c r="B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row>
    <row r="470">
      <c r="A470" s="129"/>
      <c r="B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row>
    <row r="471">
      <c r="A471" s="129"/>
      <c r="B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row>
    <row r="472">
      <c r="A472" s="129"/>
      <c r="B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row>
    <row r="473">
      <c r="A473" s="129"/>
      <c r="B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row>
    <row r="474">
      <c r="A474" s="129"/>
      <c r="B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row>
    <row r="475">
      <c r="A475" s="129"/>
      <c r="B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row>
    <row r="476">
      <c r="A476" s="129"/>
      <c r="B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row>
    <row r="477">
      <c r="A477" s="129"/>
      <c r="B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row>
    <row r="478">
      <c r="A478" s="129"/>
      <c r="B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row>
    <row r="479">
      <c r="A479" s="129"/>
      <c r="B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row>
    <row r="480">
      <c r="A480" s="129"/>
      <c r="B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row>
    <row r="481">
      <c r="A481" s="129"/>
      <c r="B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row>
    <row r="482">
      <c r="A482" s="129"/>
      <c r="B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row>
    <row r="483">
      <c r="A483" s="129"/>
      <c r="B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row>
    <row r="484">
      <c r="A484" s="129"/>
      <c r="B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row>
    <row r="485">
      <c r="A485" s="129"/>
      <c r="B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row>
    <row r="486">
      <c r="A486" s="129"/>
      <c r="B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row>
    <row r="487">
      <c r="A487" s="129"/>
      <c r="B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row>
    <row r="488">
      <c r="A488" s="129"/>
      <c r="B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row>
    <row r="489">
      <c r="A489" s="129"/>
      <c r="B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row>
    <row r="490">
      <c r="A490" s="129"/>
      <c r="B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row>
    <row r="491">
      <c r="A491" s="129"/>
      <c r="B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row>
    <row r="492">
      <c r="A492" s="129"/>
      <c r="B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row>
    <row r="493">
      <c r="A493" s="129"/>
      <c r="B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row>
    <row r="494">
      <c r="A494" s="129"/>
      <c r="B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row>
    <row r="495">
      <c r="A495" s="129"/>
      <c r="B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row>
    <row r="496">
      <c r="A496" s="129"/>
      <c r="B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row>
    <row r="497">
      <c r="A497" s="129"/>
      <c r="B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row>
    <row r="498">
      <c r="A498" s="129"/>
      <c r="B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row>
    <row r="499">
      <c r="A499" s="129"/>
      <c r="B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row>
    <row r="500">
      <c r="A500" s="129"/>
      <c r="B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row>
    <row r="501">
      <c r="A501" s="129"/>
      <c r="B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row>
    <row r="502">
      <c r="A502" s="129"/>
      <c r="B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row>
    <row r="503">
      <c r="A503" s="129"/>
      <c r="B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row>
    <row r="504">
      <c r="A504" s="129"/>
      <c r="B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row>
    <row r="505">
      <c r="A505" s="129"/>
      <c r="B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row>
    <row r="506">
      <c r="A506" s="129"/>
      <c r="B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row>
    <row r="507">
      <c r="A507" s="129"/>
      <c r="B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row>
    <row r="508">
      <c r="A508" s="129"/>
      <c r="B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row>
    <row r="509">
      <c r="A509" s="129"/>
      <c r="B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row>
    <row r="510">
      <c r="A510" s="129"/>
      <c r="B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row>
    <row r="511">
      <c r="A511" s="129"/>
      <c r="B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row>
    <row r="512">
      <c r="A512" s="129"/>
      <c r="B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row>
    <row r="513">
      <c r="A513" s="129"/>
      <c r="B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row>
    <row r="514">
      <c r="A514" s="129"/>
      <c r="B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row>
    <row r="515">
      <c r="A515" s="129"/>
      <c r="B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row>
    <row r="516">
      <c r="A516" s="129"/>
      <c r="B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row>
    <row r="517">
      <c r="A517" s="129"/>
      <c r="B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row>
    <row r="518">
      <c r="A518" s="129"/>
      <c r="B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row>
    <row r="519">
      <c r="A519" s="129"/>
      <c r="B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row>
    <row r="520">
      <c r="A520" s="129"/>
      <c r="B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row>
    <row r="521">
      <c r="A521" s="129"/>
      <c r="B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row>
    <row r="522">
      <c r="A522" s="129"/>
      <c r="B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row>
    <row r="523">
      <c r="A523" s="129"/>
      <c r="B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row>
    <row r="524">
      <c r="A524" s="129"/>
      <c r="B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row>
    <row r="525">
      <c r="A525" s="129"/>
      <c r="B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row>
    <row r="526">
      <c r="A526" s="129"/>
      <c r="B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row>
    <row r="527">
      <c r="A527" s="129"/>
      <c r="B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row>
    <row r="528">
      <c r="A528" s="129"/>
      <c r="B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row>
    <row r="529">
      <c r="A529" s="129"/>
      <c r="B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row>
    <row r="530">
      <c r="A530" s="129"/>
      <c r="B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row>
    <row r="531">
      <c r="A531" s="129"/>
      <c r="B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row>
    <row r="532">
      <c r="A532" s="129"/>
      <c r="B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row>
    <row r="533">
      <c r="A533" s="129"/>
      <c r="B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row>
    <row r="534">
      <c r="A534" s="129"/>
      <c r="B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row>
    <row r="535">
      <c r="A535" s="129"/>
      <c r="B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row>
    <row r="536">
      <c r="A536" s="129"/>
      <c r="B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row>
    <row r="537">
      <c r="A537" s="129"/>
      <c r="B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row>
    <row r="538">
      <c r="A538" s="129"/>
      <c r="B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row>
    <row r="539">
      <c r="A539" s="129"/>
      <c r="B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row>
    <row r="540">
      <c r="A540" s="129"/>
      <c r="B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row>
    <row r="541">
      <c r="A541" s="129"/>
      <c r="B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row>
    <row r="542">
      <c r="A542" s="129"/>
      <c r="B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row>
    <row r="543">
      <c r="A543" s="129"/>
      <c r="B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row>
    <row r="544">
      <c r="A544" s="129"/>
      <c r="B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row>
    <row r="545">
      <c r="A545" s="129"/>
      <c r="B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row>
    <row r="546">
      <c r="A546" s="129"/>
      <c r="B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row>
    <row r="547">
      <c r="A547" s="129"/>
      <c r="B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row>
    <row r="548">
      <c r="A548" s="129"/>
      <c r="B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row>
    <row r="549">
      <c r="A549" s="129"/>
      <c r="B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row>
    <row r="550">
      <c r="A550" s="129"/>
      <c r="B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row>
    <row r="551">
      <c r="A551" s="129"/>
      <c r="B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row>
    <row r="552">
      <c r="A552" s="129"/>
      <c r="B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row>
    <row r="553">
      <c r="A553" s="129"/>
      <c r="B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row>
    <row r="554">
      <c r="A554" s="129"/>
      <c r="B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row>
    <row r="555">
      <c r="A555" s="129"/>
      <c r="B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row>
    <row r="556">
      <c r="A556" s="129"/>
      <c r="B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row>
    <row r="557">
      <c r="A557" s="129"/>
      <c r="B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row>
    <row r="558">
      <c r="A558" s="129"/>
      <c r="B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row>
    <row r="559">
      <c r="A559" s="129"/>
      <c r="B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row>
    <row r="560">
      <c r="A560" s="129"/>
      <c r="B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row>
    <row r="561">
      <c r="A561" s="129"/>
      <c r="B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row>
    <row r="562">
      <c r="A562" s="129"/>
      <c r="B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row>
    <row r="563">
      <c r="A563" s="129"/>
      <c r="B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row>
    <row r="564">
      <c r="A564" s="129"/>
      <c r="B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row>
    <row r="565">
      <c r="A565" s="129"/>
      <c r="B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row>
    <row r="566">
      <c r="A566" s="129"/>
      <c r="B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row>
    <row r="567">
      <c r="A567" s="129"/>
      <c r="B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row>
    <row r="568">
      <c r="A568" s="129"/>
      <c r="B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row>
    <row r="569">
      <c r="A569" s="129"/>
      <c r="B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row>
    <row r="570">
      <c r="A570" s="129"/>
      <c r="B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row>
    <row r="571">
      <c r="A571" s="129"/>
      <c r="B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row>
    <row r="572">
      <c r="A572" s="129"/>
      <c r="B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row>
    <row r="573">
      <c r="A573" s="129"/>
      <c r="B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row>
    <row r="574">
      <c r="A574" s="129"/>
      <c r="B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row>
    <row r="575">
      <c r="A575" s="129"/>
      <c r="B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row>
    <row r="576">
      <c r="A576" s="129"/>
      <c r="B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row>
    <row r="577">
      <c r="A577" s="129"/>
      <c r="B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row>
    <row r="578">
      <c r="A578" s="129"/>
      <c r="B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row>
    <row r="579">
      <c r="A579" s="129"/>
      <c r="B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row>
    <row r="580">
      <c r="A580" s="129"/>
      <c r="B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row>
    <row r="581">
      <c r="A581" s="129"/>
      <c r="B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row>
    <row r="582">
      <c r="A582" s="129"/>
      <c r="B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row>
    <row r="583">
      <c r="A583" s="129"/>
      <c r="B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row>
    <row r="584">
      <c r="A584" s="129"/>
      <c r="B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row>
    <row r="585">
      <c r="A585" s="129"/>
      <c r="B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row>
    <row r="586">
      <c r="A586" s="129"/>
      <c r="B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row>
    <row r="587">
      <c r="A587" s="129"/>
      <c r="B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row>
    <row r="588">
      <c r="A588" s="129"/>
      <c r="B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row>
    <row r="589">
      <c r="A589" s="129"/>
      <c r="B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row>
    <row r="590">
      <c r="A590" s="129"/>
      <c r="B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row>
    <row r="591">
      <c r="A591" s="129"/>
      <c r="B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row>
    <row r="592">
      <c r="A592" s="129"/>
      <c r="B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row>
    <row r="593">
      <c r="A593" s="129"/>
      <c r="B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row>
    <row r="594">
      <c r="A594" s="129"/>
      <c r="B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row>
    <row r="595">
      <c r="A595" s="129"/>
      <c r="B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row>
    <row r="596">
      <c r="A596" s="129"/>
      <c r="B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row>
    <row r="597">
      <c r="A597" s="129"/>
      <c r="B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row>
    <row r="598">
      <c r="A598" s="129"/>
      <c r="B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row>
    <row r="599">
      <c r="A599" s="129"/>
      <c r="B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row>
    <row r="600">
      <c r="A600" s="129"/>
      <c r="B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row>
    <row r="601">
      <c r="A601" s="129"/>
      <c r="B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row>
    <row r="602">
      <c r="A602" s="129"/>
      <c r="B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row>
    <row r="603">
      <c r="A603" s="129"/>
      <c r="B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row>
    <row r="604">
      <c r="A604" s="129"/>
      <c r="B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row>
    <row r="605">
      <c r="A605" s="129"/>
      <c r="B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row>
    <row r="606">
      <c r="A606" s="129"/>
      <c r="B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row>
    <row r="607">
      <c r="A607" s="129"/>
      <c r="B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row>
    <row r="608">
      <c r="A608" s="129"/>
      <c r="B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row>
    <row r="609">
      <c r="A609" s="129"/>
      <c r="B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row>
    <row r="610">
      <c r="A610" s="129"/>
      <c r="B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row>
    <row r="611">
      <c r="A611" s="129"/>
      <c r="B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row>
    <row r="612">
      <c r="A612" s="129"/>
      <c r="B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row>
    <row r="613">
      <c r="A613" s="129"/>
      <c r="B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row>
    <row r="614">
      <c r="A614" s="129"/>
      <c r="B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row>
    <row r="615">
      <c r="A615" s="129"/>
      <c r="B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row>
    <row r="616">
      <c r="A616" s="129"/>
      <c r="B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row>
    <row r="617">
      <c r="A617" s="129"/>
      <c r="B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row>
    <row r="618">
      <c r="A618" s="129"/>
      <c r="B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row>
    <row r="619">
      <c r="A619" s="129"/>
      <c r="B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row>
    <row r="620">
      <c r="A620" s="129"/>
      <c r="B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row>
    <row r="621">
      <c r="A621" s="129"/>
      <c r="B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row>
    <row r="622">
      <c r="A622" s="129"/>
      <c r="B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row>
    <row r="623">
      <c r="A623" s="129"/>
      <c r="B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row>
    <row r="624">
      <c r="A624" s="129"/>
      <c r="B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row>
    <row r="625">
      <c r="A625" s="129"/>
      <c r="B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row>
    <row r="626">
      <c r="A626" s="129"/>
      <c r="B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row>
    <row r="627">
      <c r="A627" s="129"/>
      <c r="B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row>
    <row r="628">
      <c r="A628" s="129"/>
      <c r="B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row>
    <row r="629">
      <c r="A629" s="129"/>
      <c r="B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row>
    <row r="630">
      <c r="A630" s="129"/>
      <c r="B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row>
    <row r="631">
      <c r="A631" s="129"/>
      <c r="B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row>
    <row r="632">
      <c r="A632" s="129"/>
      <c r="B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row>
    <row r="633">
      <c r="A633" s="129"/>
      <c r="B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row>
    <row r="634">
      <c r="A634" s="129"/>
      <c r="B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row>
    <row r="635">
      <c r="A635" s="129"/>
      <c r="B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row>
    <row r="636">
      <c r="A636" s="129"/>
      <c r="B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row>
    <row r="637">
      <c r="A637" s="129"/>
      <c r="B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row>
    <row r="638">
      <c r="A638" s="129"/>
      <c r="B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row>
    <row r="639">
      <c r="A639" s="129"/>
      <c r="B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row>
    <row r="640">
      <c r="A640" s="129"/>
      <c r="B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row>
    <row r="641">
      <c r="A641" s="129"/>
      <c r="B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row>
    <row r="642">
      <c r="A642" s="129"/>
      <c r="B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row>
    <row r="643">
      <c r="A643" s="129"/>
      <c r="B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row>
    <row r="644">
      <c r="A644" s="129"/>
      <c r="B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row>
    <row r="645">
      <c r="A645" s="129"/>
      <c r="B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row>
    <row r="646">
      <c r="A646" s="129"/>
      <c r="B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row>
    <row r="647">
      <c r="A647" s="129"/>
      <c r="B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row>
    <row r="648">
      <c r="A648" s="129"/>
      <c r="B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row>
    <row r="649">
      <c r="A649" s="129"/>
      <c r="B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row>
    <row r="650">
      <c r="A650" s="129"/>
      <c r="B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row>
    <row r="651">
      <c r="A651" s="129"/>
      <c r="B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row>
    <row r="652">
      <c r="A652" s="129"/>
      <c r="B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row>
    <row r="653">
      <c r="A653" s="129"/>
      <c r="B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row>
    <row r="654">
      <c r="A654" s="129"/>
      <c r="B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row>
    <row r="655">
      <c r="A655" s="129"/>
      <c r="B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row>
    <row r="656">
      <c r="A656" s="129"/>
      <c r="B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row>
    <row r="657">
      <c r="A657" s="129"/>
      <c r="B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row>
    <row r="658">
      <c r="A658" s="129"/>
      <c r="B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row>
    <row r="659">
      <c r="A659" s="129"/>
      <c r="B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row>
    <row r="660">
      <c r="A660" s="129"/>
      <c r="B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row>
    <row r="661">
      <c r="A661" s="129"/>
      <c r="B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row>
    <row r="662">
      <c r="A662" s="129"/>
      <c r="B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row>
    <row r="663">
      <c r="A663" s="129"/>
      <c r="B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row>
    <row r="664">
      <c r="A664" s="129"/>
      <c r="B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row>
    <row r="665">
      <c r="A665" s="129"/>
      <c r="B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row>
    <row r="666">
      <c r="A666" s="129"/>
      <c r="B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row>
    <row r="667">
      <c r="A667" s="129"/>
      <c r="B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row>
    <row r="668">
      <c r="A668" s="129"/>
      <c r="B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row>
    <row r="669">
      <c r="A669" s="129"/>
      <c r="B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row>
    <row r="670">
      <c r="A670" s="129"/>
      <c r="B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row>
    <row r="671">
      <c r="A671" s="129"/>
      <c r="B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row>
    <row r="672">
      <c r="A672" s="129"/>
      <c r="B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row>
    <row r="673">
      <c r="A673" s="129"/>
      <c r="B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row>
    <row r="674">
      <c r="A674" s="129"/>
      <c r="B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row>
    <row r="675">
      <c r="A675" s="129"/>
      <c r="B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row>
    <row r="676">
      <c r="A676" s="129"/>
      <c r="B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row>
    <row r="677">
      <c r="A677" s="129"/>
      <c r="B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row>
    <row r="678">
      <c r="A678" s="129"/>
      <c r="B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row>
    <row r="679">
      <c r="A679" s="129"/>
      <c r="B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row>
    <row r="680">
      <c r="A680" s="129"/>
      <c r="B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row>
    <row r="681">
      <c r="A681" s="129"/>
      <c r="B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row>
    <row r="682">
      <c r="A682" s="129"/>
      <c r="B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row>
    <row r="683">
      <c r="A683" s="129"/>
      <c r="B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row>
    <row r="684">
      <c r="A684" s="129"/>
      <c r="B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row>
    <row r="685">
      <c r="A685" s="129"/>
      <c r="B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row>
    <row r="686">
      <c r="A686" s="129"/>
      <c r="B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row>
    <row r="687">
      <c r="A687" s="129"/>
      <c r="B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row>
    <row r="688">
      <c r="A688" s="129"/>
      <c r="B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row>
    <row r="689">
      <c r="A689" s="129"/>
      <c r="B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row>
    <row r="690">
      <c r="A690" s="129"/>
      <c r="B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row>
    <row r="691">
      <c r="A691" s="129"/>
      <c r="B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row>
    <row r="692">
      <c r="A692" s="129"/>
      <c r="B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row>
    <row r="693">
      <c r="A693" s="129"/>
      <c r="B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row>
    <row r="694">
      <c r="A694" s="129"/>
      <c r="B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row>
    <row r="695">
      <c r="A695" s="129"/>
      <c r="B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row>
    <row r="696">
      <c r="A696" s="129"/>
      <c r="B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row>
    <row r="697">
      <c r="A697" s="129"/>
      <c r="B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row>
    <row r="698">
      <c r="A698" s="129"/>
      <c r="B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row>
    <row r="699">
      <c r="A699" s="129"/>
      <c r="B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row>
    <row r="700">
      <c r="A700" s="129"/>
      <c r="B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row>
    <row r="701">
      <c r="A701" s="129"/>
      <c r="B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row>
    <row r="702">
      <c r="A702" s="129"/>
      <c r="B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row>
    <row r="703">
      <c r="A703" s="129"/>
      <c r="B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row>
    <row r="704">
      <c r="A704" s="129"/>
      <c r="B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row>
    <row r="705">
      <c r="A705" s="129"/>
      <c r="B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row>
    <row r="706">
      <c r="A706" s="129"/>
      <c r="B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row>
    <row r="707">
      <c r="A707" s="129"/>
      <c r="B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row>
    <row r="708">
      <c r="A708" s="129"/>
      <c r="B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row>
    <row r="709">
      <c r="A709" s="129"/>
      <c r="B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row>
    <row r="710">
      <c r="A710" s="129"/>
      <c r="B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row>
    <row r="711">
      <c r="A711" s="129"/>
      <c r="B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row>
    <row r="712">
      <c r="A712" s="129"/>
      <c r="B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row>
    <row r="713">
      <c r="A713" s="129"/>
      <c r="B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row>
    <row r="714">
      <c r="A714" s="129"/>
      <c r="B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row>
    <row r="715">
      <c r="A715" s="129"/>
      <c r="B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row>
    <row r="716">
      <c r="A716" s="129"/>
      <c r="B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row>
    <row r="717">
      <c r="A717" s="129"/>
      <c r="B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row>
    <row r="718">
      <c r="A718" s="129"/>
      <c r="B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row>
    <row r="719">
      <c r="A719" s="129"/>
      <c r="B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row>
    <row r="720">
      <c r="A720" s="129"/>
      <c r="B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row>
    <row r="721">
      <c r="A721" s="129"/>
      <c r="B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row>
    <row r="722">
      <c r="A722" s="129"/>
      <c r="B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row>
    <row r="723">
      <c r="A723" s="129"/>
      <c r="B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row>
    <row r="724">
      <c r="A724" s="129"/>
      <c r="B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row>
    <row r="725">
      <c r="A725" s="129"/>
      <c r="B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row>
    <row r="726">
      <c r="A726" s="129"/>
      <c r="B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row>
    <row r="727">
      <c r="A727" s="129"/>
      <c r="B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row>
    <row r="728">
      <c r="A728" s="129"/>
      <c r="B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row>
    <row r="729">
      <c r="A729" s="129"/>
      <c r="B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row>
    <row r="730">
      <c r="A730" s="129"/>
      <c r="B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row>
    <row r="731">
      <c r="A731" s="129"/>
      <c r="B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row>
    <row r="732">
      <c r="A732" s="129"/>
      <c r="B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row>
    <row r="733">
      <c r="A733" s="129"/>
      <c r="B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row>
    <row r="734">
      <c r="A734" s="129"/>
      <c r="B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row>
    <row r="735">
      <c r="A735" s="129"/>
      <c r="B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row>
    <row r="736">
      <c r="A736" s="129"/>
      <c r="B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row>
    <row r="737">
      <c r="A737" s="129"/>
      <c r="B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row>
    <row r="738">
      <c r="A738" s="129"/>
      <c r="B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row>
    <row r="739">
      <c r="A739" s="129"/>
      <c r="B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row>
    <row r="740">
      <c r="A740" s="129"/>
      <c r="B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row>
    <row r="741">
      <c r="A741" s="129"/>
      <c r="B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row>
    <row r="742">
      <c r="A742" s="129"/>
      <c r="B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row>
    <row r="743">
      <c r="A743" s="129"/>
      <c r="B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row>
    <row r="744">
      <c r="A744" s="129"/>
      <c r="B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row>
    <row r="745">
      <c r="A745" s="129"/>
      <c r="B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row>
    <row r="746">
      <c r="A746" s="129"/>
      <c r="B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row>
    <row r="747">
      <c r="A747" s="129"/>
      <c r="B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row>
    <row r="748">
      <c r="A748" s="129"/>
      <c r="B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row>
    <row r="749">
      <c r="A749" s="129"/>
      <c r="B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row>
    <row r="750">
      <c r="A750" s="129"/>
      <c r="B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row>
    <row r="751">
      <c r="A751" s="129"/>
      <c r="B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row>
    <row r="752">
      <c r="A752" s="129"/>
      <c r="B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row>
    <row r="753">
      <c r="A753" s="129"/>
      <c r="B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row>
    <row r="754">
      <c r="A754" s="129"/>
      <c r="B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row>
    <row r="755">
      <c r="A755" s="129"/>
      <c r="B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row>
    <row r="756">
      <c r="A756" s="129"/>
      <c r="B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row>
    <row r="757">
      <c r="A757" s="129"/>
      <c r="B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row>
    <row r="758">
      <c r="A758" s="129"/>
      <c r="B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row>
    <row r="759">
      <c r="A759" s="129"/>
      <c r="B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row>
    <row r="760">
      <c r="A760" s="129"/>
      <c r="B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row>
    <row r="761">
      <c r="A761" s="129"/>
      <c r="B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row>
    <row r="762">
      <c r="A762" s="129"/>
      <c r="B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row>
    <row r="763">
      <c r="A763" s="129"/>
      <c r="B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row>
    <row r="764">
      <c r="A764" s="129"/>
      <c r="B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row>
    <row r="765">
      <c r="A765" s="129"/>
      <c r="B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row>
    <row r="766">
      <c r="A766" s="129"/>
      <c r="B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row>
    <row r="767">
      <c r="A767" s="129"/>
      <c r="B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row>
    <row r="768">
      <c r="A768" s="129"/>
      <c r="B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row>
    <row r="769">
      <c r="A769" s="129"/>
      <c r="B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row>
    <row r="770">
      <c r="A770" s="129"/>
      <c r="B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row>
    <row r="771">
      <c r="A771" s="129"/>
      <c r="B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row>
    <row r="772">
      <c r="A772" s="129"/>
      <c r="B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row>
    <row r="773">
      <c r="A773" s="129"/>
      <c r="B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row>
    <row r="774">
      <c r="A774" s="129"/>
      <c r="B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row>
    <row r="775">
      <c r="A775" s="129"/>
      <c r="B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row>
    <row r="776">
      <c r="A776" s="129"/>
      <c r="B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row>
    <row r="777">
      <c r="A777" s="129"/>
      <c r="B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row>
    <row r="778">
      <c r="A778" s="129"/>
      <c r="B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row>
    <row r="779">
      <c r="A779" s="129"/>
      <c r="B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row>
    <row r="780">
      <c r="A780" s="129"/>
      <c r="B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row>
    <row r="781">
      <c r="A781" s="129"/>
      <c r="B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row>
    <row r="782">
      <c r="A782" s="129"/>
      <c r="B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row>
    <row r="783">
      <c r="A783" s="129"/>
      <c r="B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row>
    <row r="784">
      <c r="A784" s="129"/>
      <c r="B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row>
    <row r="785">
      <c r="A785" s="129"/>
      <c r="B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row>
    <row r="786">
      <c r="A786" s="129"/>
      <c r="B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row>
    <row r="787">
      <c r="A787" s="129"/>
      <c r="B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row>
    <row r="788">
      <c r="A788" s="129"/>
      <c r="B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row>
    <row r="789">
      <c r="A789" s="129"/>
      <c r="B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row>
    <row r="790">
      <c r="A790" s="129"/>
      <c r="B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row>
    <row r="791">
      <c r="A791" s="129"/>
      <c r="B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row>
    <row r="792">
      <c r="A792" s="129"/>
      <c r="B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row>
    <row r="793">
      <c r="A793" s="129"/>
      <c r="B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row>
    <row r="794">
      <c r="A794" s="129"/>
      <c r="B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row>
    <row r="795">
      <c r="A795" s="129"/>
      <c r="B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row>
    <row r="796">
      <c r="A796" s="129"/>
      <c r="B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row>
    <row r="797">
      <c r="A797" s="129"/>
      <c r="B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row>
    <row r="798">
      <c r="A798" s="129"/>
      <c r="B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row>
    <row r="799">
      <c r="A799" s="129"/>
      <c r="B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row>
    <row r="800">
      <c r="A800" s="129"/>
      <c r="B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row>
    <row r="801">
      <c r="A801" s="129"/>
      <c r="B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row>
    <row r="802">
      <c r="A802" s="129"/>
      <c r="B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row>
    <row r="803">
      <c r="A803" s="129"/>
      <c r="B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row>
    <row r="804">
      <c r="A804" s="129"/>
      <c r="B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row>
    <row r="805">
      <c r="A805" s="129"/>
      <c r="B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row>
    <row r="806">
      <c r="A806" s="129"/>
      <c r="B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row>
    <row r="807">
      <c r="A807" s="129"/>
      <c r="B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row>
    <row r="808">
      <c r="A808" s="129"/>
      <c r="B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row>
    <row r="809">
      <c r="A809" s="129"/>
      <c r="B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row>
    <row r="810">
      <c r="A810" s="129"/>
      <c r="B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row>
    <row r="811">
      <c r="A811" s="129"/>
      <c r="B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row>
    <row r="812">
      <c r="A812" s="129"/>
      <c r="B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row>
    <row r="813">
      <c r="A813" s="129"/>
      <c r="B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row>
    <row r="814">
      <c r="A814" s="129"/>
      <c r="B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row>
    <row r="815">
      <c r="A815" s="129"/>
      <c r="B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row>
    <row r="816">
      <c r="A816" s="129"/>
      <c r="B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row>
    <row r="817">
      <c r="A817" s="129"/>
      <c r="B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row>
    <row r="818">
      <c r="A818" s="129"/>
      <c r="B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row>
    <row r="819">
      <c r="A819" s="129"/>
      <c r="B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row>
    <row r="820">
      <c r="A820" s="129"/>
      <c r="B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row>
    <row r="821">
      <c r="A821" s="129"/>
      <c r="B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row>
    <row r="822">
      <c r="A822" s="129"/>
      <c r="B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row>
    <row r="823">
      <c r="A823" s="129"/>
      <c r="B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row>
    <row r="824">
      <c r="A824" s="129"/>
      <c r="B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row>
    <row r="825">
      <c r="A825" s="129"/>
      <c r="B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row>
    <row r="826">
      <c r="A826" s="129"/>
      <c r="B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row>
    <row r="827">
      <c r="A827" s="129"/>
      <c r="B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row>
    <row r="828">
      <c r="A828" s="129"/>
      <c r="B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row>
    <row r="829">
      <c r="A829" s="129"/>
      <c r="B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row>
    <row r="830">
      <c r="A830" s="129"/>
      <c r="B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row>
    <row r="831">
      <c r="A831" s="129"/>
      <c r="B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row>
    <row r="832">
      <c r="A832" s="129"/>
      <c r="B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row>
    <row r="833">
      <c r="A833" s="129"/>
      <c r="B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row>
    <row r="834">
      <c r="A834" s="129"/>
      <c r="B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row>
    <row r="835">
      <c r="A835" s="129"/>
      <c r="B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row>
    <row r="836">
      <c r="A836" s="129"/>
      <c r="B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row>
    <row r="837">
      <c r="A837" s="129"/>
      <c r="B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row>
    <row r="838">
      <c r="A838" s="129"/>
      <c r="B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row>
    <row r="839">
      <c r="A839" s="129"/>
      <c r="B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row>
    <row r="840">
      <c r="A840" s="129"/>
      <c r="B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row>
    <row r="841">
      <c r="A841" s="129"/>
      <c r="B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row>
    <row r="842">
      <c r="A842" s="129"/>
      <c r="B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row>
    <row r="843">
      <c r="A843" s="129"/>
      <c r="B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row>
    <row r="844">
      <c r="A844" s="129"/>
      <c r="B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row>
    <row r="845">
      <c r="A845" s="129"/>
      <c r="B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row>
    <row r="846">
      <c r="A846" s="129"/>
      <c r="B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row>
    <row r="847">
      <c r="A847" s="129"/>
      <c r="B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row>
    <row r="848">
      <c r="A848" s="129"/>
      <c r="B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row>
    <row r="849">
      <c r="A849" s="129"/>
      <c r="B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row>
    <row r="850">
      <c r="A850" s="129"/>
      <c r="B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row>
    <row r="851">
      <c r="A851" s="129"/>
      <c r="B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row>
    <row r="852">
      <c r="A852" s="129"/>
      <c r="B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row>
    <row r="853">
      <c r="A853" s="129"/>
      <c r="B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row>
    <row r="854">
      <c r="A854" s="129"/>
      <c r="B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row>
    <row r="855">
      <c r="A855" s="129"/>
      <c r="B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row>
    <row r="856">
      <c r="A856" s="129"/>
      <c r="B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row>
    <row r="857">
      <c r="A857" s="129"/>
      <c r="B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row>
    <row r="858">
      <c r="A858" s="129"/>
      <c r="B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row>
    <row r="859">
      <c r="A859" s="129"/>
      <c r="B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row>
    <row r="860">
      <c r="A860" s="129"/>
      <c r="B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row>
    <row r="861">
      <c r="A861" s="129"/>
      <c r="B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row>
    <row r="862">
      <c r="A862" s="129"/>
      <c r="B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row>
    <row r="863">
      <c r="A863" s="129"/>
      <c r="B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row>
    <row r="864">
      <c r="A864" s="129"/>
      <c r="B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row>
    <row r="865">
      <c r="A865" s="129"/>
      <c r="B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row>
    <row r="866">
      <c r="A866" s="129"/>
      <c r="B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row>
    <row r="867">
      <c r="A867" s="129"/>
      <c r="B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row>
    <row r="868">
      <c r="A868" s="129"/>
      <c r="B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row>
    <row r="869">
      <c r="A869" s="129"/>
      <c r="B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row>
    <row r="870">
      <c r="A870" s="129"/>
      <c r="B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row>
    <row r="871">
      <c r="A871" s="129"/>
      <c r="B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row>
    <row r="872">
      <c r="A872" s="129"/>
      <c r="B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row>
    <row r="873">
      <c r="A873" s="129"/>
      <c r="B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row>
    <row r="874">
      <c r="A874" s="129"/>
      <c r="B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row>
    <row r="875">
      <c r="A875" s="129"/>
      <c r="B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row>
    <row r="876">
      <c r="A876" s="129"/>
      <c r="B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row>
    <row r="877">
      <c r="A877" s="129"/>
      <c r="B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row>
    <row r="878">
      <c r="A878" s="129"/>
      <c r="B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row>
    <row r="879">
      <c r="A879" s="129"/>
      <c r="B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row>
    <row r="880">
      <c r="A880" s="129"/>
      <c r="B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row>
    <row r="881">
      <c r="A881" s="129"/>
      <c r="B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row>
    <row r="882">
      <c r="A882" s="129"/>
      <c r="B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row>
    <row r="883">
      <c r="A883" s="129"/>
      <c r="B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row>
    <row r="884">
      <c r="A884" s="129"/>
      <c r="B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row>
    <row r="885">
      <c r="A885" s="129"/>
      <c r="B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row>
    <row r="886">
      <c r="A886" s="129"/>
      <c r="B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row>
    <row r="887">
      <c r="A887" s="129"/>
      <c r="B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row>
    <row r="888">
      <c r="A888" s="129"/>
      <c r="B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row>
    <row r="889">
      <c r="A889" s="129"/>
      <c r="B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row>
    <row r="890">
      <c r="A890" s="129"/>
      <c r="B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row>
    <row r="891">
      <c r="A891" s="129"/>
      <c r="B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row>
    <row r="892">
      <c r="A892" s="129"/>
      <c r="B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row>
    <row r="893">
      <c r="A893" s="129"/>
      <c r="B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row>
    <row r="894">
      <c r="A894" s="129"/>
      <c r="B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row>
    <row r="895">
      <c r="A895" s="129"/>
      <c r="B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row>
    <row r="896">
      <c r="A896" s="129"/>
      <c r="B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row>
    <row r="897">
      <c r="A897" s="129"/>
      <c r="B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row>
    <row r="898">
      <c r="A898" s="129"/>
      <c r="B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row>
    <row r="899">
      <c r="A899" s="129"/>
      <c r="B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row>
    <row r="900">
      <c r="A900" s="129"/>
      <c r="B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row>
    <row r="901">
      <c r="A901" s="129"/>
      <c r="B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row>
    <row r="902">
      <c r="A902" s="129"/>
      <c r="B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row>
    <row r="903">
      <c r="A903" s="129"/>
      <c r="B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row>
    <row r="904">
      <c r="A904" s="129"/>
      <c r="B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row>
    <row r="905">
      <c r="A905" s="129"/>
      <c r="B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row>
    <row r="906">
      <c r="A906" s="129"/>
      <c r="B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row>
    <row r="907">
      <c r="A907" s="129"/>
      <c r="B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row>
    <row r="908">
      <c r="A908" s="129"/>
      <c r="B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row>
    <row r="909">
      <c r="A909" s="129"/>
      <c r="B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row>
    <row r="910">
      <c r="A910" s="129"/>
      <c r="B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row>
    <row r="911">
      <c r="A911" s="129"/>
      <c r="B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row>
    <row r="912">
      <c r="A912" s="129"/>
      <c r="B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row>
    <row r="913">
      <c r="A913" s="129"/>
      <c r="B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row>
    <row r="914">
      <c r="A914" s="129"/>
      <c r="B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row>
    <row r="915">
      <c r="A915" s="129"/>
      <c r="B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row>
    <row r="916">
      <c r="A916" s="129"/>
      <c r="B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row>
    <row r="917">
      <c r="A917" s="129"/>
      <c r="B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row>
    <row r="918">
      <c r="A918" s="129"/>
      <c r="B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row>
    <row r="919">
      <c r="A919" s="129"/>
      <c r="B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row>
    <row r="920">
      <c r="A920" s="129"/>
      <c r="B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row>
    <row r="921">
      <c r="A921" s="129"/>
      <c r="B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row>
    <row r="922">
      <c r="A922" s="129"/>
      <c r="B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row>
    <row r="923">
      <c r="A923" s="129"/>
      <c r="B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row>
    <row r="924">
      <c r="A924" s="129"/>
      <c r="B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row>
    <row r="925">
      <c r="A925" s="129"/>
      <c r="B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row>
    <row r="926">
      <c r="A926" s="129"/>
      <c r="B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row>
    <row r="927">
      <c r="A927" s="129"/>
      <c r="B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row>
    <row r="928">
      <c r="A928" s="129"/>
      <c r="B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row>
    <row r="929">
      <c r="A929" s="129"/>
      <c r="B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row>
    <row r="930">
      <c r="A930" s="129"/>
      <c r="B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row>
    <row r="931">
      <c r="A931" s="129"/>
      <c r="B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row>
    <row r="932">
      <c r="A932" s="129"/>
      <c r="B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row>
    <row r="933">
      <c r="A933" s="129"/>
      <c r="B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row>
    <row r="934">
      <c r="A934" s="129"/>
      <c r="B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row>
    <row r="935">
      <c r="A935" s="129"/>
      <c r="B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row>
    <row r="936">
      <c r="A936" s="129"/>
      <c r="B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row>
    <row r="937">
      <c r="A937" s="129"/>
      <c r="B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row>
    <row r="938">
      <c r="A938" s="129"/>
      <c r="B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row>
    <row r="939">
      <c r="A939" s="129"/>
      <c r="B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row>
    <row r="940">
      <c r="A940" s="129"/>
      <c r="B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row>
    <row r="941">
      <c r="A941" s="129"/>
      <c r="B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row>
    <row r="942">
      <c r="A942" s="129"/>
      <c r="B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row>
    <row r="943">
      <c r="A943" s="129"/>
      <c r="B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row>
    <row r="944">
      <c r="A944" s="129"/>
      <c r="B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row>
    <row r="945">
      <c r="A945" s="129"/>
      <c r="B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row>
    <row r="946">
      <c r="A946" s="129"/>
      <c r="B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row>
    <row r="947">
      <c r="A947" s="129"/>
      <c r="B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row>
    <row r="948">
      <c r="A948" s="129"/>
      <c r="B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row>
    <row r="949">
      <c r="A949" s="129"/>
      <c r="B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row>
    <row r="950">
      <c r="A950" s="129"/>
      <c r="B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row>
    <row r="951">
      <c r="A951" s="129"/>
      <c r="B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row>
    <row r="952">
      <c r="A952" s="129"/>
      <c r="B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row>
    <row r="953">
      <c r="A953" s="129"/>
      <c r="B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row>
    <row r="954">
      <c r="A954" s="129"/>
      <c r="B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row>
    <row r="955">
      <c r="A955" s="129"/>
      <c r="B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row>
    <row r="956">
      <c r="A956" s="129"/>
      <c r="B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row>
    <row r="957">
      <c r="A957" s="129"/>
      <c r="B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row>
    <row r="958">
      <c r="A958" s="129"/>
      <c r="B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row>
    <row r="959">
      <c r="A959" s="129"/>
      <c r="B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row>
    <row r="960">
      <c r="A960" s="129"/>
      <c r="B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row>
    <row r="961">
      <c r="A961" s="129"/>
      <c r="B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row>
    <row r="962">
      <c r="A962" s="129"/>
      <c r="B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row>
    <row r="963">
      <c r="A963" s="129"/>
      <c r="B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row>
    <row r="964">
      <c r="A964" s="129"/>
      <c r="B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row>
    <row r="965">
      <c r="A965" s="129"/>
      <c r="B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row>
    <row r="966">
      <c r="A966" s="129"/>
      <c r="B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row>
    <row r="967">
      <c r="A967" s="129"/>
      <c r="B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row>
    <row r="968">
      <c r="A968" s="129"/>
      <c r="B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row>
    <row r="969">
      <c r="A969" s="129"/>
      <c r="B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row>
    <row r="970">
      <c r="A970" s="129"/>
      <c r="B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row>
    <row r="971">
      <c r="A971" s="129"/>
      <c r="B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row>
    <row r="972">
      <c r="A972" s="129"/>
      <c r="B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row>
    <row r="973">
      <c r="A973" s="129"/>
      <c r="B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row>
    <row r="974">
      <c r="A974" s="129"/>
      <c r="B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row>
    <row r="975">
      <c r="A975" s="129"/>
      <c r="B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row>
    <row r="976">
      <c r="A976" s="129"/>
      <c r="B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row>
    <row r="977">
      <c r="A977" s="129"/>
      <c r="B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row>
    <row r="978">
      <c r="A978" s="129"/>
      <c r="B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row>
    <row r="979">
      <c r="A979" s="129"/>
      <c r="B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row>
    <row r="980">
      <c r="A980" s="129"/>
      <c r="B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row>
    <row r="981">
      <c r="A981" s="129"/>
      <c r="B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row>
    <row r="982">
      <c r="A982" s="129"/>
      <c r="B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row>
    <row r="983">
      <c r="A983" s="129"/>
      <c r="B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row>
    <row r="984">
      <c r="A984" s="129"/>
      <c r="B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row>
    <row r="985">
      <c r="A985" s="129"/>
      <c r="B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row>
    <row r="986">
      <c r="A986" s="129"/>
      <c r="B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row>
    <row r="987">
      <c r="A987" s="129"/>
      <c r="B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row>
    <row r="988">
      <c r="A988" s="129"/>
      <c r="B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row>
    <row r="989">
      <c r="A989" s="129"/>
      <c r="B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row>
    <row r="990">
      <c r="A990" s="129"/>
      <c r="B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row>
    <row r="991">
      <c r="A991" s="129"/>
      <c r="B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row>
    <row r="992">
      <c r="A992" s="129"/>
      <c r="B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row>
    <row r="993">
      <c r="A993" s="129"/>
      <c r="B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row>
    <row r="994">
      <c r="A994" s="129"/>
      <c r="B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row>
    <row r="995">
      <c r="A995" s="129"/>
      <c r="B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row>
    <row r="996">
      <c r="A996" s="129"/>
      <c r="B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row>
    <row r="997">
      <c r="A997" s="129"/>
      <c r="B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row>
    <row r="998">
      <c r="A998" s="129"/>
      <c r="B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row>
    <row r="999">
      <c r="A999" s="129"/>
      <c r="B999" s="129"/>
      <c r="D999" s="129"/>
      <c r="E999" s="129"/>
      <c r="F999" s="129"/>
      <c r="G999" s="129"/>
      <c r="H999" s="129"/>
      <c r="I999" s="129"/>
      <c r="J999" s="129"/>
      <c r="K999" s="129"/>
      <c r="L999" s="129"/>
      <c r="M999" s="129"/>
      <c r="N999" s="129"/>
      <c r="O999" s="129"/>
      <c r="P999" s="129"/>
      <c r="Q999" s="129"/>
      <c r="R999" s="129"/>
      <c r="S999" s="129"/>
      <c r="T999" s="129"/>
      <c r="U999" s="129"/>
      <c r="V999" s="129"/>
      <c r="W999" s="129"/>
      <c r="X999" s="129"/>
      <c r="Y999" s="129"/>
    </row>
    <row r="1000">
      <c r="A1000" s="129"/>
      <c r="B1000" s="129"/>
      <c r="D1000" s="129"/>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row>
    <row r="1001">
      <c r="A1001" s="129"/>
      <c r="B1001" s="129"/>
      <c r="D1001" s="129"/>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Y1001" s="129"/>
    </row>
    <row r="1002">
      <c r="A1002" s="129"/>
      <c r="B1002" s="129"/>
      <c r="D1002" s="129"/>
      <c r="E1002" s="129"/>
      <c r="F1002" s="129"/>
      <c r="G1002" s="129"/>
      <c r="H1002" s="129"/>
      <c r="I1002" s="129"/>
      <c r="J1002" s="129"/>
      <c r="K1002" s="129"/>
      <c r="L1002" s="129"/>
      <c r="M1002" s="129"/>
      <c r="N1002" s="129"/>
      <c r="O1002" s="129"/>
      <c r="P1002" s="129"/>
      <c r="Q1002" s="129"/>
      <c r="R1002" s="129"/>
      <c r="S1002" s="129"/>
      <c r="T1002" s="129"/>
      <c r="U1002" s="129"/>
      <c r="V1002" s="129"/>
      <c r="W1002" s="129"/>
      <c r="X1002" s="129"/>
      <c r="Y1002" s="129"/>
    </row>
  </sheetData>
  <mergeCells count="3">
    <mergeCell ref="A1:B1"/>
    <mergeCell ref="C1:C1002"/>
    <mergeCell ref="A9:B9"/>
  </mergeCells>
  <conditionalFormatting sqref="A1:C1 P1:Y1 A8:B9">
    <cfRule type="notContainsBlanks" dxfId="2" priority="1">
      <formula>LEN(TRIM(A1))&gt;0</formula>
    </cfRule>
  </conditionalFormatting>
  <conditionalFormatting sqref="A2:B5">
    <cfRule type="notContainsBlanks" dxfId="1" priority="2">
      <formula>LEN(TRIM(A2))&gt;0</formula>
    </cfRule>
  </conditionalFormatting>
  <conditionalFormatting sqref="A10:B13">
    <cfRule type="notContainsBlanks" dxfId="1" priority="3">
      <formula>LEN(TRIM(A10))&gt;0</formula>
    </cfRule>
  </conditionalFormatting>
  <conditionalFormatting sqref="N10:N13">
    <cfRule type="notContainsBlanks" dxfId="3" priority="4">
      <formula>LEN(TRIM(N10))&gt;0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1076</v>
      </c>
    </row>
    <row r="2">
      <c r="A2" s="38" t="s">
        <v>908</v>
      </c>
    </row>
    <row r="3">
      <c r="A3" s="38" t="s">
        <v>3559</v>
      </c>
    </row>
  </sheetData>
  <drawing r:id="rId1"/>
</worksheet>
</file>